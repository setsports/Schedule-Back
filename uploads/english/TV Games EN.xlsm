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chighladze\Desktop\"/>
    </mc:Choice>
  </mc:AlternateContent>
  <xr:revisionPtr revIDLastSave="0" documentId="13_ncr:1_{C1A590E9-3E35-49E9-B5DF-D66B092301D8}" xr6:coauthVersionLast="36" xr6:coauthVersionMax="36" xr10:uidLastSave="{00000000-0000-0000-0000-000000000000}"/>
  <bookViews>
    <workbookView xWindow="28680" yWindow="-15" windowWidth="29040" windowHeight="15840" tabRatio="670" firstSheet="6" activeTab="10" xr2:uid="{00000000-000D-0000-FFFF-FFFF00000000}"/>
  </bookViews>
  <sheets>
    <sheet name="Sheet_Template" sheetId="362" r:id="rId1"/>
    <sheet name="GMT Glossary" sheetId="347" r:id="rId2"/>
    <sheet name="Sheet_Estonia" sheetId="366" r:id="rId3"/>
    <sheet name="Sheet_Latvia" sheetId="359" r:id="rId4"/>
    <sheet name="Sheet_Lithuania" sheetId="360" r:id="rId5"/>
    <sheet name="Sheet_Azerbaijan" sheetId="349" r:id="rId6"/>
    <sheet name="Sheet_Kazakhstan" sheetId="351" r:id="rId7"/>
    <sheet name="Sheet_Ukraine" sheetId="361" r:id="rId8"/>
    <sheet name="Sheet_Kyrgyzstan" sheetId="352" r:id="rId9"/>
    <sheet name="Sheet_Moldova" sheetId="355" r:id="rId10"/>
    <sheet name="Sheet_Uzbekistan" sheetId="357" r:id="rId11"/>
    <sheet name="Sheet_Turkmenistan" sheetId="363" r:id="rId12"/>
    <sheet name="Sheet_Tajikistan" sheetId="364" r:id="rId13"/>
    <sheet name="Sheet_Philippines" sheetId="365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57" l="1"/>
  <c r="F5" i="357"/>
  <c r="F7" i="357"/>
  <c r="F9" i="357"/>
  <c r="F11" i="357"/>
  <c r="F12" i="357"/>
  <c r="F15" i="357"/>
  <c r="F17" i="357"/>
  <c r="F20" i="357"/>
  <c r="F22" i="357"/>
  <c r="F24" i="357"/>
  <c r="F27" i="357"/>
  <c r="F30" i="357"/>
  <c r="F33" i="357"/>
  <c r="F35" i="357"/>
  <c r="F37" i="357"/>
  <c r="F39" i="357"/>
  <c r="F41" i="357"/>
  <c r="F43" i="357"/>
  <c r="F44" i="357"/>
  <c r="F46" i="357"/>
  <c r="F49" i="357"/>
  <c r="F51" i="357"/>
  <c r="F54" i="357"/>
  <c r="F57" i="357"/>
  <c r="F59" i="357"/>
  <c r="F61" i="357"/>
  <c r="F63" i="357"/>
  <c r="F65" i="357"/>
  <c r="F67" i="357"/>
  <c r="F69" i="357"/>
  <c r="F71" i="357"/>
  <c r="F73" i="357"/>
  <c r="F74" i="357"/>
  <c r="F76" i="357"/>
  <c r="F78" i="357"/>
  <c r="F81" i="357"/>
  <c r="F83" i="357"/>
  <c r="F86" i="357"/>
  <c r="F88" i="357"/>
  <c r="F90" i="357"/>
  <c r="F92" i="357"/>
  <c r="F94" i="357"/>
  <c r="F96" i="357"/>
  <c r="F98" i="357"/>
  <c r="F99" i="357"/>
  <c r="F101" i="357"/>
  <c r="F103" i="357"/>
  <c r="F105" i="357"/>
  <c r="F106" i="357"/>
  <c r="F109" i="357"/>
  <c r="F111" i="357"/>
  <c r="F113" i="357"/>
  <c r="F115" i="357"/>
  <c r="F117" i="357"/>
  <c r="F119" i="357"/>
  <c r="F121" i="357"/>
  <c r="F123" i="357"/>
  <c r="F125" i="357"/>
  <c r="F127" i="357"/>
  <c r="F129" i="357"/>
  <c r="F131" i="357"/>
  <c r="F133" i="357"/>
  <c r="F135" i="357"/>
  <c r="F137" i="357"/>
  <c r="F140" i="357"/>
  <c r="F142" i="357"/>
  <c r="F144" i="357"/>
  <c r="F146" i="357"/>
  <c r="F148" i="357"/>
  <c r="F150" i="357"/>
  <c r="F152" i="357"/>
  <c r="F154" i="357"/>
  <c r="F156" i="357"/>
  <c r="F158" i="357"/>
  <c r="F160" i="357"/>
  <c r="F163" i="357"/>
  <c r="F165" i="357"/>
  <c r="G3" i="357"/>
  <c r="H3" i="357" s="1"/>
  <c r="G5" i="357"/>
  <c r="I5" i="357" s="1"/>
  <c r="G7" i="357"/>
  <c r="G9" i="357"/>
  <c r="G11" i="357"/>
  <c r="G12" i="357"/>
  <c r="G15" i="357"/>
  <c r="G17" i="357"/>
  <c r="G20" i="357"/>
  <c r="H20" i="357" s="1"/>
  <c r="G22" i="357"/>
  <c r="I22" i="357" s="1"/>
  <c r="G24" i="357"/>
  <c r="G27" i="357"/>
  <c r="G30" i="357"/>
  <c r="G33" i="357"/>
  <c r="G35" i="357"/>
  <c r="G37" i="357"/>
  <c r="G39" i="357"/>
  <c r="H39" i="357" s="1"/>
  <c r="G41" i="357"/>
  <c r="I41" i="357" s="1"/>
  <c r="G43" i="357"/>
  <c r="G44" i="357"/>
  <c r="G46" i="357"/>
  <c r="G49" i="357"/>
  <c r="G51" i="357"/>
  <c r="G54" i="357"/>
  <c r="G57" i="357"/>
  <c r="H57" i="357" s="1"/>
  <c r="G59" i="357"/>
  <c r="I59" i="357" s="1"/>
  <c r="G61" i="357"/>
  <c r="G63" i="357"/>
  <c r="G65" i="357"/>
  <c r="G67" i="357"/>
  <c r="G69" i="357"/>
  <c r="G71" i="357"/>
  <c r="G73" i="357"/>
  <c r="H73" i="357" s="1"/>
  <c r="G74" i="357"/>
  <c r="I74" i="357" s="1"/>
  <c r="G76" i="357"/>
  <c r="G78" i="357"/>
  <c r="G81" i="357"/>
  <c r="G83" i="357"/>
  <c r="G86" i="357"/>
  <c r="G88" i="357"/>
  <c r="G90" i="357"/>
  <c r="H90" i="357" s="1"/>
  <c r="G92" i="357"/>
  <c r="I92" i="357" s="1"/>
  <c r="G94" i="357"/>
  <c r="G96" i="357"/>
  <c r="G98" i="357"/>
  <c r="G99" i="357"/>
  <c r="G101" i="357"/>
  <c r="G103" i="357"/>
  <c r="G105" i="357"/>
  <c r="H105" i="357" s="1"/>
  <c r="G106" i="357"/>
  <c r="I106" i="357" s="1"/>
  <c r="G109" i="357"/>
  <c r="G111" i="357"/>
  <c r="G113" i="357"/>
  <c r="G115" i="357"/>
  <c r="G117" i="357"/>
  <c r="G119" i="357"/>
  <c r="G121" i="357"/>
  <c r="H121" i="357" s="1"/>
  <c r="G123" i="357"/>
  <c r="I123" i="357" s="1"/>
  <c r="G125" i="357"/>
  <c r="G127" i="357"/>
  <c r="G129" i="357"/>
  <c r="G131" i="357"/>
  <c r="G133" i="357"/>
  <c r="G135" i="357"/>
  <c r="G137" i="357"/>
  <c r="H137" i="357" s="1"/>
  <c r="G140" i="357"/>
  <c r="I140" i="357" s="1"/>
  <c r="G142" i="357"/>
  <c r="G144" i="357"/>
  <c r="G146" i="357"/>
  <c r="G148" i="357"/>
  <c r="G150" i="357"/>
  <c r="G152" i="357"/>
  <c r="G154" i="357"/>
  <c r="H154" i="357" s="1"/>
  <c r="G156" i="357"/>
  <c r="I156" i="357" s="1"/>
  <c r="G158" i="357"/>
  <c r="G160" i="357"/>
  <c r="G163" i="357"/>
  <c r="G165" i="357"/>
  <c r="H7" i="357"/>
  <c r="H9" i="357"/>
  <c r="H11" i="357"/>
  <c r="H12" i="357"/>
  <c r="H15" i="357"/>
  <c r="H17" i="357"/>
  <c r="H24" i="357"/>
  <c r="H27" i="357"/>
  <c r="H30" i="357"/>
  <c r="H33" i="357"/>
  <c r="H35" i="357"/>
  <c r="H37" i="357"/>
  <c r="H43" i="357"/>
  <c r="H44" i="357"/>
  <c r="H46" i="357"/>
  <c r="H49" i="357"/>
  <c r="H51" i="357"/>
  <c r="H54" i="357"/>
  <c r="H61" i="357"/>
  <c r="H63" i="357"/>
  <c r="H65" i="357"/>
  <c r="H67" i="357"/>
  <c r="H69" i="357"/>
  <c r="H71" i="357"/>
  <c r="H76" i="357"/>
  <c r="H78" i="357"/>
  <c r="H81" i="357"/>
  <c r="H83" i="357"/>
  <c r="H86" i="357"/>
  <c r="H88" i="357"/>
  <c r="H94" i="357"/>
  <c r="H96" i="357"/>
  <c r="H98" i="357"/>
  <c r="H99" i="357"/>
  <c r="H101" i="357"/>
  <c r="H103" i="357"/>
  <c r="H109" i="357"/>
  <c r="H111" i="357"/>
  <c r="H113" i="357"/>
  <c r="H115" i="357"/>
  <c r="H117" i="357"/>
  <c r="H119" i="357"/>
  <c r="H125" i="357"/>
  <c r="H127" i="357"/>
  <c r="H129" i="357"/>
  <c r="H131" i="357"/>
  <c r="H133" i="357"/>
  <c r="H135" i="357"/>
  <c r="H142" i="357"/>
  <c r="H144" i="357"/>
  <c r="H146" i="357"/>
  <c r="H148" i="357"/>
  <c r="H150" i="357"/>
  <c r="H152" i="357"/>
  <c r="H158" i="357"/>
  <c r="H160" i="357"/>
  <c r="H163" i="357"/>
  <c r="H165" i="357"/>
  <c r="I3" i="357"/>
  <c r="I7" i="357"/>
  <c r="I9" i="357"/>
  <c r="I11" i="357"/>
  <c r="I12" i="357"/>
  <c r="I15" i="357"/>
  <c r="I17" i="357"/>
  <c r="I20" i="357"/>
  <c r="I24" i="357"/>
  <c r="I27" i="357"/>
  <c r="I30" i="357"/>
  <c r="I33" i="357"/>
  <c r="I35" i="357"/>
  <c r="I37" i="357"/>
  <c r="I39" i="357"/>
  <c r="I43" i="357"/>
  <c r="I44" i="357"/>
  <c r="I46" i="357"/>
  <c r="I49" i="357"/>
  <c r="I51" i="357"/>
  <c r="I54" i="357"/>
  <c r="I57" i="357"/>
  <c r="I61" i="357"/>
  <c r="I63" i="357"/>
  <c r="I65" i="357"/>
  <c r="I67" i="357"/>
  <c r="I69" i="357"/>
  <c r="I71" i="357"/>
  <c r="I73" i="357"/>
  <c r="I76" i="357"/>
  <c r="I78" i="357"/>
  <c r="I81" i="357"/>
  <c r="I83" i="357"/>
  <c r="I86" i="357"/>
  <c r="I88" i="357"/>
  <c r="I90" i="357"/>
  <c r="I94" i="357"/>
  <c r="I96" i="357"/>
  <c r="I98" i="357"/>
  <c r="I99" i="357"/>
  <c r="I101" i="357"/>
  <c r="I103" i="357"/>
  <c r="I105" i="357"/>
  <c r="I109" i="357"/>
  <c r="I111" i="357"/>
  <c r="I113" i="357"/>
  <c r="I115" i="357"/>
  <c r="I117" i="357"/>
  <c r="I119" i="357"/>
  <c r="I121" i="357"/>
  <c r="I125" i="357"/>
  <c r="I127" i="357"/>
  <c r="I129" i="357"/>
  <c r="I131" i="357"/>
  <c r="I133" i="357"/>
  <c r="I135" i="357"/>
  <c r="I137" i="357"/>
  <c r="I142" i="357"/>
  <c r="I144" i="357"/>
  <c r="I146" i="357"/>
  <c r="I148" i="357"/>
  <c r="I150" i="357"/>
  <c r="I152" i="357"/>
  <c r="I154" i="357"/>
  <c r="I158" i="357"/>
  <c r="I160" i="357"/>
  <c r="I163" i="357"/>
  <c r="I165" i="357"/>
  <c r="F4" i="357"/>
  <c r="F8" i="357"/>
  <c r="F13" i="357"/>
  <c r="F16" i="357"/>
  <c r="F21" i="357"/>
  <c r="F23" i="357"/>
  <c r="F28" i="357"/>
  <c r="F31" i="357"/>
  <c r="F36" i="357"/>
  <c r="F40" i="357"/>
  <c r="F19" i="357"/>
  <c r="F48" i="357"/>
  <c r="F53" i="357"/>
  <c r="F58" i="357"/>
  <c r="F62" i="357"/>
  <c r="F66" i="357"/>
  <c r="F70" i="357"/>
  <c r="F75" i="357"/>
  <c r="F79" i="357"/>
  <c r="F80" i="357"/>
  <c r="F84" i="357"/>
  <c r="F89" i="357"/>
  <c r="F93" i="357"/>
  <c r="F100" i="357"/>
  <c r="F107" i="357"/>
  <c r="F110" i="357"/>
  <c r="F114" i="357"/>
  <c r="F118" i="357"/>
  <c r="F122" i="357"/>
  <c r="F126" i="357"/>
  <c r="F130" i="357"/>
  <c r="F134" i="357"/>
  <c r="F138" i="357"/>
  <c r="F139" i="357"/>
  <c r="F143" i="357"/>
  <c r="F147" i="357"/>
  <c r="F153" i="357"/>
  <c r="F157" i="357"/>
  <c r="F162" i="357"/>
  <c r="G4" i="357"/>
  <c r="H4" i="357" s="1"/>
  <c r="G8" i="357"/>
  <c r="I8" i="357" s="1"/>
  <c r="G13" i="357"/>
  <c r="G16" i="357"/>
  <c r="G21" i="357"/>
  <c r="G23" i="357"/>
  <c r="H23" i="357" s="1"/>
  <c r="G28" i="357"/>
  <c r="H28" i="357" s="1"/>
  <c r="G31" i="357"/>
  <c r="H31" i="357" s="1"/>
  <c r="G36" i="357"/>
  <c r="I36" i="357" s="1"/>
  <c r="G40" i="357"/>
  <c r="I40" i="357" s="1"/>
  <c r="G19" i="357"/>
  <c r="G48" i="357"/>
  <c r="G53" i="357"/>
  <c r="G58" i="357"/>
  <c r="G62" i="357"/>
  <c r="H62" i="357" s="1"/>
  <c r="G66" i="357"/>
  <c r="H66" i="357" s="1"/>
  <c r="G70" i="357"/>
  <c r="I70" i="357" s="1"/>
  <c r="G75" i="357"/>
  <c r="I75" i="357" s="1"/>
  <c r="G79" i="357"/>
  <c r="G80" i="357"/>
  <c r="G84" i="357"/>
  <c r="G89" i="357"/>
  <c r="H89" i="357" s="1"/>
  <c r="G93" i="357"/>
  <c r="I93" i="357" s="1"/>
  <c r="G100" i="357"/>
  <c r="G107" i="357"/>
  <c r="H107" i="357" s="1"/>
  <c r="G110" i="357"/>
  <c r="I110" i="357" s="1"/>
  <c r="G114" i="357"/>
  <c r="G118" i="357"/>
  <c r="G122" i="357"/>
  <c r="G126" i="357"/>
  <c r="I126" i="357" s="1"/>
  <c r="G130" i="357"/>
  <c r="H130" i="357" s="1"/>
  <c r="G134" i="357"/>
  <c r="H134" i="357" s="1"/>
  <c r="G138" i="357"/>
  <c r="H138" i="357" s="1"/>
  <c r="G139" i="357"/>
  <c r="I139" i="357" s="1"/>
  <c r="G143" i="357"/>
  <c r="G147" i="357"/>
  <c r="G153" i="357"/>
  <c r="G157" i="357"/>
  <c r="G162" i="357"/>
  <c r="H162" i="357" s="1"/>
  <c r="H13" i="357"/>
  <c r="H16" i="357"/>
  <c r="H21" i="357"/>
  <c r="H19" i="357"/>
  <c r="H48" i="357"/>
  <c r="H53" i="357"/>
  <c r="H58" i="357"/>
  <c r="H79" i="357"/>
  <c r="H80" i="357"/>
  <c r="H84" i="357"/>
  <c r="H100" i="357"/>
  <c r="H114" i="357"/>
  <c r="H118" i="357"/>
  <c r="H122" i="357"/>
  <c r="H126" i="357"/>
  <c r="H143" i="357"/>
  <c r="H147" i="357"/>
  <c r="H153" i="357"/>
  <c r="H157" i="357"/>
  <c r="I4" i="357"/>
  <c r="I13" i="357"/>
  <c r="I16" i="357"/>
  <c r="I21" i="357"/>
  <c r="I31" i="357"/>
  <c r="I19" i="357"/>
  <c r="I48" i="357"/>
  <c r="I53" i="357"/>
  <c r="I58" i="357"/>
  <c r="I66" i="357"/>
  <c r="I79" i="357"/>
  <c r="I80" i="357"/>
  <c r="I84" i="357"/>
  <c r="I89" i="357"/>
  <c r="I100" i="357"/>
  <c r="I114" i="357"/>
  <c r="I118" i="357"/>
  <c r="I122" i="357"/>
  <c r="I134" i="357"/>
  <c r="I143" i="357"/>
  <c r="I147" i="357"/>
  <c r="I153" i="357"/>
  <c r="I157" i="357"/>
  <c r="I23" i="357" l="1"/>
  <c r="I130" i="357"/>
  <c r="H93" i="357"/>
  <c r="I162" i="357"/>
  <c r="H156" i="357"/>
  <c r="H140" i="357"/>
  <c r="H123" i="357"/>
  <c r="H106" i="357"/>
  <c r="H92" i="357"/>
  <c r="H74" i="357"/>
  <c r="H59" i="357"/>
  <c r="H41" i="357"/>
  <c r="H22" i="357"/>
  <c r="H5" i="357"/>
  <c r="I107" i="357"/>
  <c r="I28" i="357"/>
  <c r="H36" i="357"/>
  <c r="I138" i="357"/>
  <c r="I62" i="357"/>
  <c r="H70" i="357"/>
  <c r="H139" i="357"/>
  <c r="H110" i="357"/>
  <c r="H75" i="357"/>
  <c r="H40" i="357"/>
  <c r="H8" i="357"/>
  <c r="F3" i="361"/>
  <c r="F5" i="361"/>
  <c r="F7" i="361"/>
  <c r="F9" i="361"/>
  <c r="F11" i="361"/>
  <c r="F13" i="361"/>
  <c r="F16" i="361"/>
  <c r="F18" i="361"/>
  <c r="F20" i="361"/>
  <c r="F22" i="361"/>
  <c r="F24" i="361"/>
  <c r="F26" i="361"/>
  <c r="F28" i="361"/>
  <c r="F30" i="361"/>
  <c r="F33" i="361"/>
  <c r="F35" i="361"/>
  <c r="F37" i="361"/>
  <c r="F39" i="361"/>
  <c r="F41" i="361"/>
  <c r="F43" i="361"/>
  <c r="F45" i="361"/>
  <c r="F47" i="361"/>
  <c r="F49" i="361"/>
  <c r="F51" i="361"/>
  <c r="F53" i="361"/>
  <c r="F55" i="361"/>
  <c r="F57" i="361"/>
  <c r="F59" i="361"/>
  <c r="F61" i="361"/>
  <c r="F64" i="361"/>
  <c r="F66" i="361"/>
  <c r="F68" i="361"/>
  <c r="F70" i="361"/>
  <c r="F72" i="361"/>
  <c r="F74" i="361"/>
  <c r="F75" i="361"/>
  <c r="F77" i="361"/>
  <c r="F79" i="361"/>
  <c r="F82" i="361"/>
  <c r="F84" i="361"/>
  <c r="F86" i="361"/>
  <c r="F87" i="361"/>
  <c r="F88" i="361"/>
  <c r="F90" i="361"/>
  <c r="F92" i="361"/>
  <c r="F94" i="361"/>
  <c r="F96" i="361"/>
  <c r="F98" i="361"/>
  <c r="F99" i="361"/>
  <c r="F101" i="361"/>
  <c r="F103" i="361"/>
  <c r="F105" i="361"/>
  <c r="F107" i="361"/>
  <c r="F108" i="361"/>
  <c r="F110" i="361"/>
  <c r="F112" i="361"/>
  <c r="F114" i="361"/>
  <c r="F116" i="361"/>
  <c r="F118" i="361"/>
  <c r="F120" i="361"/>
  <c r="F123" i="361"/>
  <c r="F125" i="361"/>
  <c r="F126" i="361"/>
  <c r="F128" i="361"/>
  <c r="F130" i="361"/>
  <c r="F132" i="361"/>
  <c r="F134" i="361"/>
  <c r="F136" i="361"/>
  <c r="F138" i="361"/>
  <c r="F140" i="361"/>
  <c r="F142" i="361"/>
  <c r="F144" i="361"/>
  <c r="F146" i="361"/>
  <c r="F148" i="361"/>
  <c r="F150" i="361"/>
  <c r="F152" i="361"/>
  <c r="F154" i="361"/>
  <c r="F155" i="361"/>
  <c r="F157" i="361"/>
  <c r="F159" i="361"/>
  <c r="F162" i="361"/>
  <c r="F164" i="361"/>
  <c r="F165" i="361"/>
  <c r="F167" i="361"/>
  <c r="G3" i="361"/>
  <c r="G5" i="361"/>
  <c r="H5" i="361" s="1"/>
  <c r="G7" i="361"/>
  <c r="G9" i="361"/>
  <c r="H9" i="361" s="1"/>
  <c r="G11" i="361"/>
  <c r="G13" i="361"/>
  <c r="G16" i="361"/>
  <c r="H16" i="361" s="1"/>
  <c r="G18" i="361"/>
  <c r="G20" i="361"/>
  <c r="G22" i="361"/>
  <c r="H22" i="361" s="1"/>
  <c r="G24" i="361"/>
  <c r="G26" i="361"/>
  <c r="H26" i="361" s="1"/>
  <c r="G28" i="361"/>
  <c r="G30" i="361"/>
  <c r="G33" i="361"/>
  <c r="G35" i="361"/>
  <c r="G37" i="361"/>
  <c r="G39" i="361"/>
  <c r="I39" i="361" s="1"/>
  <c r="G41" i="361"/>
  <c r="G43" i="361"/>
  <c r="H43" i="361" s="1"/>
  <c r="G45" i="361"/>
  <c r="G47" i="361"/>
  <c r="G49" i="361"/>
  <c r="I49" i="361" s="1"/>
  <c r="G51" i="361"/>
  <c r="G53" i="361"/>
  <c r="G55" i="361"/>
  <c r="I55" i="361" s="1"/>
  <c r="G57" i="361"/>
  <c r="G59" i="361"/>
  <c r="H59" i="361" s="1"/>
  <c r="G61" i="361"/>
  <c r="G64" i="361"/>
  <c r="G66" i="361"/>
  <c r="I66" i="361" s="1"/>
  <c r="G68" i="361"/>
  <c r="G70" i="361"/>
  <c r="G72" i="361"/>
  <c r="I72" i="361" s="1"/>
  <c r="G74" i="361"/>
  <c r="G75" i="361"/>
  <c r="H75" i="361" s="1"/>
  <c r="G77" i="361"/>
  <c r="G79" i="361"/>
  <c r="G82" i="361"/>
  <c r="I82" i="361" s="1"/>
  <c r="G84" i="361"/>
  <c r="G86" i="361"/>
  <c r="G87" i="361"/>
  <c r="I87" i="361" s="1"/>
  <c r="G88" i="361"/>
  <c r="G90" i="361"/>
  <c r="H90" i="361" s="1"/>
  <c r="G92" i="361"/>
  <c r="G94" i="361"/>
  <c r="G96" i="361"/>
  <c r="H96" i="361" s="1"/>
  <c r="G98" i="361"/>
  <c r="G99" i="361"/>
  <c r="G101" i="361"/>
  <c r="I101" i="361" s="1"/>
  <c r="G103" i="361"/>
  <c r="G105" i="361"/>
  <c r="H105" i="361" s="1"/>
  <c r="G107" i="361"/>
  <c r="G108" i="361"/>
  <c r="G110" i="361"/>
  <c r="I110" i="361" s="1"/>
  <c r="G112" i="361"/>
  <c r="G114" i="361"/>
  <c r="G116" i="361"/>
  <c r="H116" i="361" s="1"/>
  <c r="G118" i="361"/>
  <c r="G120" i="361"/>
  <c r="H120" i="361" s="1"/>
  <c r="G123" i="361"/>
  <c r="G125" i="361"/>
  <c r="G126" i="361"/>
  <c r="I126" i="361" s="1"/>
  <c r="G128" i="361"/>
  <c r="G130" i="361"/>
  <c r="G132" i="361"/>
  <c r="H132" i="361" s="1"/>
  <c r="G134" i="361"/>
  <c r="G136" i="361"/>
  <c r="H136" i="361" s="1"/>
  <c r="G138" i="361"/>
  <c r="G140" i="361"/>
  <c r="G142" i="361"/>
  <c r="I142" i="361" s="1"/>
  <c r="G144" i="361"/>
  <c r="G146" i="361"/>
  <c r="G148" i="361"/>
  <c r="H148" i="361" s="1"/>
  <c r="G150" i="361"/>
  <c r="G152" i="361"/>
  <c r="H152" i="361" s="1"/>
  <c r="G154" i="361"/>
  <c r="G155" i="361"/>
  <c r="G157" i="361"/>
  <c r="H157" i="361" s="1"/>
  <c r="G159" i="361"/>
  <c r="G162" i="361"/>
  <c r="G164" i="361"/>
  <c r="I164" i="361" s="1"/>
  <c r="G165" i="361"/>
  <c r="G167" i="361"/>
  <c r="H167" i="361" s="1"/>
  <c r="H3" i="361"/>
  <c r="H7" i="361"/>
  <c r="H11" i="361"/>
  <c r="H13" i="361"/>
  <c r="H18" i="361"/>
  <c r="H20" i="361"/>
  <c r="H24" i="361"/>
  <c r="H28" i="361"/>
  <c r="H30" i="361"/>
  <c r="H33" i="361"/>
  <c r="H35" i="361"/>
  <c r="H37" i="361"/>
  <c r="H39" i="361"/>
  <c r="H41" i="361"/>
  <c r="H45" i="361"/>
  <c r="H47" i="361"/>
  <c r="H51" i="361"/>
  <c r="H53" i="361"/>
  <c r="H57" i="361"/>
  <c r="H61" i="361"/>
  <c r="H64" i="361"/>
  <c r="H68" i="361"/>
  <c r="H70" i="361"/>
  <c r="H74" i="361"/>
  <c r="H77" i="361"/>
  <c r="H79" i="361"/>
  <c r="H84" i="361"/>
  <c r="H86" i="361"/>
  <c r="H88" i="361"/>
  <c r="H92" i="361"/>
  <c r="H94" i="361"/>
  <c r="H98" i="361"/>
  <c r="H99" i="361"/>
  <c r="H103" i="361"/>
  <c r="H107" i="361"/>
  <c r="H108" i="361"/>
  <c r="H112" i="361"/>
  <c r="H114" i="361"/>
  <c r="H118" i="361"/>
  <c r="H123" i="361"/>
  <c r="H125" i="361"/>
  <c r="H128" i="361"/>
  <c r="H130" i="361"/>
  <c r="H134" i="361"/>
  <c r="H138" i="361"/>
  <c r="H140" i="361"/>
  <c r="H144" i="361"/>
  <c r="H146" i="361"/>
  <c r="H150" i="361"/>
  <c r="H154" i="361"/>
  <c r="H155" i="361"/>
  <c r="H159" i="361"/>
  <c r="H162" i="361"/>
  <c r="H165" i="361"/>
  <c r="I3" i="361"/>
  <c r="I7" i="361"/>
  <c r="I11" i="361"/>
  <c r="I13" i="361"/>
  <c r="I18" i="361"/>
  <c r="I20" i="361"/>
  <c r="I24" i="361"/>
  <c r="I28" i="361"/>
  <c r="I30" i="361"/>
  <c r="I33" i="361"/>
  <c r="I35" i="361"/>
  <c r="I37" i="361"/>
  <c r="I41" i="361"/>
  <c r="I45" i="361"/>
  <c r="I47" i="361"/>
  <c r="I51" i="361"/>
  <c r="I53" i="361"/>
  <c r="I57" i="361"/>
  <c r="I61" i="361"/>
  <c r="I64" i="361"/>
  <c r="I68" i="361"/>
  <c r="I70" i="361"/>
  <c r="I74" i="361"/>
  <c r="I77" i="361"/>
  <c r="I79" i="361"/>
  <c r="I84" i="361"/>
  <c r="I86" i="361"/>
  <c r="I88" i="361"/>
  <c r="I92" i="361"/>
  <c r="I94" i="361"/>
  <c r="I96" i="361"/>
  <c r="I98" i="361"/>
  <c r="I99" i="361"/>
  <c r="I103" i="361"/>
  <c r="I107" i="361"/>
  <c r="I108" i="361"/>
  <c r="I112" i="361"/>
  <c r="I114" i="361"/>
  <c r="I118" i="361"/>
  <c r="I123" i="361"/>
  <c r="I125" i="361"/>
  <c r="I128" i="361"/>
  <c r="I130" i="361"/>
  <c r="I134" i="361"/>
  <c r="I138" i="361"/>
  <c r="I140" i="361"/>
  <c r="I144" i="361"/>
  <c r="I146" i="361"/>
  <c r="I150" i="361"/>
  <c r="I154" i="361"/>
  <c r="I155" i="361"/>
  <c r="I157" i="361"/>
  <c r="I159" i="361"/>
  <c r="I162" i="361"/>
  <c r="I165" i="361"/>
  <c r="F4" i="355"/>
  <c r="F5" i="355"/>
  <c r="F6" i="355"/>
  <c r="F9" i="355"/>
  <c r="F12" i="355"/>
  <c r="F15" i="355"/>
  <c r="F20" i="355"/>
  <c r="F23" i="355"/>
  <c r="F26" i="355"/>
  <c r="F30" i="355"/>
  <c r="F33" i="355"/>
  <c r="F37" i="355"/>
  <c r="F40" i="355"/>
  <c r="F44" i="355"/>
  <c r="F48" i="355"/>
  <c r="F51" i="355"/>
  <c r="F52" i="355"/>
  <c r="F53" i="355"/>
  <c r="F58" i="355"/>
  <c r="F61" i="355"/>
  <c r="F64" i="355"/>
  <c r="F66" i="355"/>
  <c r="F68" i="355"/>
  <c r="F71" i="355"/>
  <c r="F74" i="355"/>
  <c r="F77" i="355"/>
  <c r="F81" i="355"/>
  <c r="F85" i="355"/>
  <c r="F88" i="355"/>
  <c r="F89" i="355"/>
  <c r="F90" i="355"/>
  <c r="F95" i="355"/>
  <c r="F98" i="355"/>
  <c r="F101" i="355"/>
  <c r="F104" i="355"/>
  <c r="F107" i="355"/>
  <c r="F110" i="355"/>
  <c r="F113" i="355"/>
  <c r="F116" i="355"/>
  <c r="F119" i="355"/>
  <c r="F122" i="355"/>
  <c r="F124" i="355"/>
  <c r="F127" i="355"/>
  <c r="F130" i="355"/>
  <c r="F133" i="355"/>
  <c r="F136" i="355"/>
  <c r="F139" i="355"/>
  <c r="F142" i="355"/>
  <c r="F145" i="355"/>
  <c r="F146" i="355"/>
  <c r="F149" i="355"/>
  <c r="F152" i="355"/>
  <c r="F155" i="355"/>
  <c r="F157" i="355"/>
  <c r="F162" i="355"/>
  <c r="F163" i="355"/>
  <c r="F168" i="355"/>
  <c r="F171" i="355"/>
  <c r="F174" i="355"/>
  <c r="F177" i="355"/>
  <c r="F180" i="355"/>
  <c r="F181" i="355"/>
  <c r="F186" i="355"/>
  <c r="F188" i="355"/>
  <c r="F191" i="355"/>
  <c r="F194" i="355"/>
  <c r="F196" i="355"/>
  <c r="F199" i="355"/>
  <c r="F202" i="355"/>
  <c r="F204" i="355"/>
  <c r="F207" i="355"/>
  <c r="F210" i="355"/>
  <c r="F213" i="355"/>
  <c r="F216" i="355"/>
  <c r="F219" i="355"/>
  <c r="F222" i="355"/>
  <c r="F225" i="355"/>
  <c r="F228" i="355"/>
  <c r="F231" i="355"/>
  <c r="F234" i="355"/>
  <c r="F237" i="355"/>
  <c r="F240" i="355"/>
  <c r="F242" i="355"/>
  <c r="F245" i="355"/>
  <c r="F248" i="355"/>
  <c r="F251" i="355"/>
  <c r="G4" i="355"/>
  <c r="G5" i="355"/>
  <c r="I5" i="355" s="1"/>
  <c r="G6" i="355"/>
  <c r="I6" i="355" s="1"/>
  <c r="G9" i="355"/>
  <c r="G12" i="355"/>
  <c r="G15" i="355"/>
  <c r="G20" i="355"/>
  <c r="H20" i="355" s="1"/>
  <c r="G23" i="355"/>
  <c r="I23" i="355" s="1"/>
  <c r="G26" i="355"/>
  <c r="G30" i="355"/>
  <c r="H30" i="355" s="1"/>
  <c r="G33" i="355"/>
  <c r="I33" i="355" s="1"/>
  <c r="G37" i="355"/>
  <c r="G40" i="355"/>
  <c r="G44" i="355"/>
  <c r="G48" i="355"/>
  <c r="H48" i="355" s="1"/>
  <c r="G51" i="355"/>
  <c r="I51" i="355" s="1"/>
  <c r="G52" i="355"/>
  <c r="G53" i="355"/>
  <c r="H53" i="355" s="1"/>
  <c r="G58" i="355"/>
  <c r="H58" i="355" s="1"/>
  <c r="G61" i="355"/>
  <c r="G64" i="355"/>
  <c r="G66" i="355"/>
  <c r="G68" i="355"/>
  <c r="H68" i="355" s="1"/>
  <c r="G71" i="355"/>
  <c r="I71" i="355" s="1"/>
  <c r="G74" i="355"/>
  <c r="G77" i="355"/>
  <c r="H77" i="355" s="1"/>
  <c r="G81" i="355"/>
  <c r="H81" i="355" s="1"/>
  <c r="G85" i="355"/>
  <c r="G88" i="355"/>
  <c r="G89" i="355"/>
  <c r="G90" i="355"/>
  <c r="I90" i="355" s="1"/>
  <c r="G95" i="355"/>
  <c r="I95" i="355" s="1"/>
  <c r="G98" i="355"/>
  <c r="G101" i="355"/>
  <c r="H101" i="355" s="1"/>
  <c r="G104" i="355"/>
  <c r="H104" i="355" s="1"/>
  <c r="G107" i="355"/>
  <c r="G110" i="355"/>
  <c r="G113" i="355"/>
  <c r="I113" i="355" s="1"/>
  <c r="G116" i="355"/>
  <c r="I116" i="355" s="1"/>
  <c r="G119" i="355"/>
  <c r="I119" i="355" s="1"/>
  <c r="G122" i="355"/>
  <c r="G124" i="355"/>
  <c r="H124" i="355" s="1"/>
  <c r="G127" i="355"/>
  <c r="H127" i="355" s="1"/>
  <c r="G130" i="355"/>
  <c r="G133" i="355"/>
  <c r="G136" i="355"/>
  <c r="G139" i="355"/>
  <c r="I139" i="355" s="1"/>
  <c r="G142" i="355"/>
  <c r="I142" i="355" s="1"/>
  <c r="G145" i="355"/>
  <c r="G146" i="355"/>
  <c r="I146" i="355" s="1"/>
  <c r="G149" i="355"/>
  <c r="I149" i="355" s="1"/>
  <c r="G152" i="355"/>
  <c r="G155" i="355"/>
  <c r="G157" i="355"/>
  <c r="G162" i="355"/>
  <c r="H162" i="355" s="1"/>
  <c r="G163" i="355"/>
  <c r="I163" i="355" s="1"/>
  <c r="G168" i="355"/>
  <c r="G171" i="355"/>
  <c r="I171" i="355" s="1"/>
  <c r="G174" i="355"/>
  <c r="I174" i="355" s="1"/>
  <c r="G177" i="355"/>
  <c r="G180" i="355"/>
  <c r="G181" i="355"/>
  <c r="G186" i="355"/>
  <c r="H186" i="355" s="1"/>
  <c r="G188" i="355"/>
  <c r="I188" i="355" s="1"/>
  <c r="G191" i="355"/>
  <c r="G194" i="355"/>
  <c r="I194" i="355" s="1"/>
  <c r="G196" i="355"/>
  <c r="I196" i="355" s="1"/>
  <c r="G199" i="355"/>
  <c r="G202" i="355"/>
  <c r="G204" i="355"/>
  <c r="G207" i="355"/>
  <c r="H207" i="355" s="1"/>
  <c r="G210" i="355"/>
  <c r="I210" i="355" s="1"/>
  <c r="G213" i="355"/>
  <c r="G216" i="355"/>
  <c r="I216" i="355" s="1"/>
  <c r="G219" i="355"/>
  <c r="I219" i="355" s="1"/>
  <c r="G222" i="355"/>
  <c r="G225" i="355"/>
  <c r="G228" i="355"/>
  <c r="I228" i="355" s="1"/>
  <c r="G231" i="355"/>
  <c r="H231" i="355" s="1"/>
  <c r="G234" i="355"/>
  <c r="I234" i="355" s="1"/>
  <c r="G237" i="355"/>
  <c r="G240" i="355"/>
  <c r="H240" i="355" s="1"/>
  <c r="G242" i="355"/>
  <c r="H242" i="355" s="1"/>
  <c r="G245" i="355"/>
  <c r="G248" i="355"/>
  <c r="G251" i="355"/>
  <c r="H251" i="355" s="1"/>
  <c r="H4" i="355"/>
  <c r="H9" i="355"/>
  <c r="H12" i="355"/>
  <c r="H15" i="355"/>
  <c r="H26" i="355"/>
  <c r="H37" i="355"/>
  <c r="H40" i="355"/>
  <c r="H44" i="355"/>
  <c r="H52" i="355"/>
  <c r="H61" i="355"/>
  <c r="H64" i="355"/>
  <c r="H66" i="355"/>
  <c r="H74" i="355"/>
  <c r="H85" i="355"/>
  <c r="H88" i="355"/>
  <c r="H89" i="355"/>
  <c r="H98" i="355"/>
  <c r="H107" i="355"/>
  <c r="H110" i="355"/>
  <c r="H113" i="355"/>
  <c r="H122" i="355"/>
  <c r="H130" i="355"/>
  <c r="H133" i="355"/>
  <c r="H136" i="355"/>
  <c r="H145" i="355"/>
  <c r="H152" i="355"/>
  <c r="H155" i="355"/>
  <c r="H157" i="355"/>
  <c r="H168" i="355"/>
  <c r="H177" i="355"/>
  <c r="H180" i="355"/>
  <c r="H181" i="355"/>
  <c r="H191" i="355"/>
  <c r="H199" i="355"/>
  <c r="H202" i="355"/>
  <c r="H204" i="355"/>
  <c r="H213" i="355"/>
  <c r="H222" i="355"/>
  <c r="H225" i="355"/>
  <c r="H228" i="355"/>
  <c r="H237" i="355"/>
  <c r="H245" i="355"/>
  <c r="H248" i="355"/>
  <c r="I4" i="355"/>
  <c r="I9" i="355"/>
  <c r="I12" i="355"/>
  <c r="I15" i="355"/>
  <c r="I26" i="355"/>
  <c r="I30" i="355"/>
  <c r="I37" i="355"/>
  <c r="I40" i="355"/>
  <c r="I44" i="355"/>
  <c r="I52" i="355"/>
  <c r="I53" i="355"/>
  <c r="I58" i="355"/>
  <c r="I61" i="355"/>
  <c r="I64" i="355"/>
  <c r="I66" i="355"/>
  <c r="I74" i="355"/>
  <c r="I85" i="355"/>
  <c r="I88" i="355"/>
  <c r="I89" i="355"/>
  <c r="I98" i="355"/>
  <c r="I107" i="355"/>
  <c r="I110" i="355"/>
  <c r="I122" i="355"/>
  <c r="I124" i="355"/>
  <c r="I130" i="355"/>
  <c r="I133" i="355"/>
  <c r="I136" i="355"/>
  <c r="I145" i="355"/>
  <c r="I152" i="355"/>
  <c r="I155" i="355"/>
  <c r="I157" i="355"/>
  <c r="I162" i="355"/>
  <c r="I168" i="355"/>
  <c r="I177" i="355"/>
  <c r="I180" i="355"/>
  <c r="I181" i="355"/>
  <c r="I186" i="355"/>
  <c r="I191" i="355"/>
  <c r="I199" i="355"/>
  <c r="I202" i="355"/>
  <c r="I204" i="355"/>
  <c r="I213" i="355"/>
  <c r="I222" i="355"/>
  <c r="I225" i="355"/>
  <c r="I237" i="355"/>
  <c r="I240" i="355"/>
  <c r="I242" i="355"/>
  <c r="I245" i="355"/>
  <c r="I248" i="355"/>
  <c r="I251" i="355"/>
  <c r="F6" i="357"/>
  <c r="F14" i="357"/>
  <c r="F25" i="357"/>
  <c r="F29" i="357"/>
  <c r="F38" i="357"/>
  <c r="F42" i="357"/>
  <c r="F50" i="357"/>
  <c r="F55" i="357"/>
  <c r="F64" i="357"/>
  <c r="F72" i="357"/>
  <c r="F34" i="357"/>
  <c r="F87" i="357"/>
  <c r="F97" i="357"/>
  <c r="F108" i="357"/>
  <c r="F116" i="357"/>
  <c r="F124" i="357"/>
  <c r="F132" i="357"/>
  <c r="F141" i="357"/>
  <c r="F149" i="357"/>
  <c r="F151" i="357"/>
  <c r="F159" i="357"/>
  <c r="G6" i="357"/>
  <c r="I6" i="357" s="1"/>
  <c r="G14" i="357"/>
  <c r="H14" i="357" s="1"/>
  <c r="G25" i="357"/>
  <c r="G29" i="357"/>
  <c r="G38" i="357"/>
  <c r="H38" i="357" s="1"/>
  <c r="G42" i="357"/>
  <c r="G50" i="357"/>
  <c r="H50" i="357" s="1"/>
  <c r="G55" i="357"/>
  <c r="I55" i="357" s="1"/>
  <c r="G64" i="357"/>
  <c r="H64" i="357" s="1"/>
  <c r="G72" i="357"/>
  <c r="H72" i="357" s="1"/>
  <c r="G34" i="357"/>
  <c r="G87" i="357"/>
  <c r="H87" i="357" s="1"/>
  <c r="G97" i="357"/>
  <c r="H97" i="357" s="1"/>
  <c r="G108" i="357"/>
  <c r="G116" i="357"/>
  <c r="H116" i="357" s="1"/>
  <c r="G124" i="357"/>
  <c r="I124" i="357" s="1"/>
  <c r="G132" i="357"/>
  <c r="H132" i="357" s="1"/>
  <c r="G141" i="357"/>
  <c r="H141" i="357" s="1"/>
  <c r="G149" i="357"/>
  <c r="G151" i="357"/>
  <c r="H151" i="357" s="1"/>
  <c r="G159" i="357"/>
  <c r="H159" i="357" s="1"/>
  <c r="H25" i="357"/>
  <c r="H29" i="357"/>
  <c r="H42" i="357"/>
  <c r="H34" i="357"/>
  <c r="H108" i="357"/>
  <c r="H149" i="357"/>
  <c r="I25" i="357"/>
  <c r="I29" i="357"/>
  <c r="I38" i="357"/>
  <c r="I42" i="357"/>
  <c r="I50" i="357"/>
  <c r="I34" i="357"/>
  <c r="I87" i="357"/>
  <c r="I108" i="357"/>
  <c r="I132" i="357"/>
  <c r="I149" i="357"/>
  <c r="I151" i="357"/>
  <c r="G2" i="364"/>
  <c r="G4" i="364"/>
  <c r="G6" i="364"/>
  <c r="G8" i="364"/>
  <c r="G10" i="364"/>
  <c r="G13" i="364"/>
  <c r="G14" i="364"/>
  <c r="G16" i="364"/>
  <c r="G18" i="364"/>
  <c r="G21" i="364"/>
  <c r="G23" i="364"/>
  <c r="G25" i="364"/>
  <c r="G26" i="364"/>
  <c r="G28" i="364"/>
  <c r="G29" i="364"/>
  <c r="G31" i="364"/>
  <c r="G32" i="364"/>
  <c r="G34" i="364"/>
  <c r="G36" i="364"/>
  <c r="G38" i="364"/>
  <c r="G40" i="364"/>
  <c r="G42" i="364"/>
  <c r="G19" i="364"/>
  <c r="G45" i="364"/>
  <c r="G47" i="364"/>
  <c r="G48" i="364"/>
  <c r="G50" i="364"/>
  <c r="G52" i="364"/>
  <c r="G53" i="364"/>
  <c r="G55" i="364"/>
  <c r="G56" i="364"/>
  <c r="G58" i="364"/>
  <c r="G60" i="364"/>
  <c r="G62" i="364"/>
  <c r="G64" i="364"/>
  <c r="G66" i="364"/>
  <c r="G68" i="364"/>
  <c r="G70" i="364"/>
  <c r="G72" i="364"/>
  <c r="G75" i="364"/>
  <c r="G77" i="364"/>
  <c r="G79" i="364"/>
  <c r="G80" i="364"/>
  <c r="G82" i="364"/>
  <c r="G84" i="364"/>
  <c r="G85" i="364"/>
  <c r="G87" i="364"/>
  <c r="G89" i="364"/>
  <c r="G91" i="364"/>
  <c r="G93" i="364"/>
  <c r="G95" i="364"/>
  <c r="G97" i="364"/>
  <c r="G100" i="364"/>
  <c r="G102" i="364"/>
  <c r="G104" i="364"/>
  <c r="G107" i="364"/>
  <c r="G108" i="364"/>
  <c r="G110" i="364"/>
  <c r="G112" i="364"/>
  <c r="G114" i="364"/>
  <c r="G116" i="364"/>
  <c r="G118" i="364"/>
  <c r="G120" i="364"/>
  <c r="G122" i="364"/>
  <c r="G124" i="364"/>
  <c r="G126" i="364"/>
  <c r="G128" i="364"/>
  <c r="G130" i="364"/>
  <c r="G132" i="364"/>
  <c r="G134" i="364"/>
  <c r="G136" i="364"/>
  <c r="G138" i="364"/>
  <c r="G139" i="364"/>
  <c r="G141" i="364"/>
  <c r="G143" i="364"/>
  <c r="G145" i="364"/>
  <c r="G147" i="364"/>
  <c r="G149" i="364"/>
  <c r="G151" i="364"/>
  <c r="G153" i="364"/>
  <c r="G155" i="364"/>
  <c r="G157" i="364"/>
  <c r="G159" i="364"/>
  <c r="G161" i="364"/>
  <c r="G162" i="364"/>
  <c r="G164" i="364"/>
  <c r="G3" i="364"/>
  <c r="G5" i="364"/>
  <c r="G7" i="364"/>
  <c r="G9" i="364"/>
  <c r="G11" i="364"/>
  <c r="G12" i="364"/>
  <c r="G15" i="364"/>
  <c r="G17" i="364"/>
  <c r="G20" i="364"/>
  <c r="G22" i="364"/>
  <c r="G24" i="364"/>
  <c r="G27" i="364"/>
  <c r="G30" i="364"/>
  <c r="G33" i="364"/>
  <c r="G35" i="364"/>
  <c r="G37" i="364"/>
  <c r="G39" i="364"/>
  <c r="G41" i="364"/>
  <c r="G43" i="364"/>
  <c r="G44" i="364"/>
  <c r="G46" i="364"/>
  <c r="G49" i="364"/>
  <c r="G51" i="364"/>
  <c r="G54" i="364"/>
  <c r="G57" i="364"/>
  <c r="G59" i="364"/>
  <c r="G61" i="364"/>
  <c r="G63" i="364"/>
  <c r="G65" i="364"/>
  <c r="G67" i="364"/>
  <c r="G69" i="364"/>
  <c r="G71" i="364"/>
  <c r="G73" i="364"/>
  <c r="G74" i="364"/>
  <c r="G76" i="364"/>
  <c r="G78" i="364"/>
  <c r="G81" i="364"/>
  <c r="G83" i="364"/>
  <c r="G86" i="364"/>
  <c r="G88" i="364"/>
  <c r="G90" i="364"/>
  <c r="G92" i="364"/>
  <c r="G94" i="364"/>
  <c r="G96" i="364"/>
  <c r="G98" i="364"/>
  <c r="G99" i="364"/>
  <c r="G101" i="364"/>
  <c r="G103" i="364"/>
  <c r="G105" i="364"/>
  <c r="G106" i="364"/>
  <c r="G109" i="364"/>
  <c r="G111" i="364"/>
  <c r="G113" i="364"/>
  <c r="G115" i="364"/>
  <c r="G117" i="364"/>
  <c r="G119" i="364"/>
  <c r="G121" i="364"/>
  <c r="G123" i="364"/>
  <c r="G125" i="364"/>
  <c r="G127" i="364"/>
  <c r="G129" i="364"/>
  <c r="G131" i="364"/>
  <c r="G133" i="364"/>
  <c r="G135" i="364"/>
  <c r="G137" i="364"/>
  <c r="G140" i="364"/>
  <c r="G142" i="364"/>
  <c r="G144" i="364"/>
  <c r="G146" i="364"/>
  <c r="G148" i="364"/>
  <c r="G150" i="364"/>
  <c r="G152" i="364"/>
  <c r="G154" i="364"/>
  <c r="G156" i="364"/>
  <c r="G158" i="364"/>
  <c r="G160" i="364"/>
  <c r="G163" i="364"/>
  <c r="G165" i="364"/>
  <c r="G2" i="363"/>
  <c r="G4" i="363"/>
  <c r="G6" i="363"/>
  <c r="G8" i="363"/>
  <c r="G10" i="363"/>
  <c r="G13" i="363"/>
  <c r="G14" i="363"/>
  <c r="G16" i="363"/>
  <c r="G18" i="363"/>
  <c r="G21" i="363"/>
  <c r="G23" i="363"/>
  <c r="G25" i="363"/>
  <c r="G26" i="363"/>
  <c r="G28" i="363"/>
  <c r="G29" i="363"/>
  <c r="G31" i="363"/>
  <c r="G32" i="363"/>
  <c r="G34" i="363"/>
  <c r="G36" i="363"/>
  <c r="G38" i="363"/>
  <c r="G40" i="363"/>
  <c r="G42" i="363"/>
  <c r="G19" i="363"/>
  <c r="G45" i="363"/>
  <c r="G47" i="363"/>
  <c r="G48" i="363"/>
  <c r="G50" i="363"/>
  <c r="G52" i="363"/>
  <c r="G53" i="363"/>
  <c r="G55" i="363"/>
  <c r="G56" i="363"/>
  <c r="G58" i="363"/>
  <c r="G60" i="363"/>
  <c r="G62" i="363"/>
  <c r="G64" i="363"/>
  <c r="G66" i="363"/>
  <c r="G68" i="363"/>
  <c r="G70" i="363"/>
  <c r="G72" i="363"/>
  <c r="G75" i="363"/>
  <c r="G77" i="363"/>
  <c r="G79" i="363"/>
  <c r="G80" i="363"/>
  <c r="G82" i="363"/>
  <c r="G84" i="363"/>
  <c r="G85" i="363"/>
  <c r="G87" i="363"/>
  <c r="G89" i="363"/>
  <c r="G91" i="363"/>
  <c r="G93" i="363"/>
  <c r="G95" i="363"/>
  <c r="G97" i="363"/>
  <c r="G100" i="363"/>
  <c r="G102" i="363"/>
  <c r="G104" i="363"/>
  <c r="G107" i="363"/>
  <c r="G108" i="363"/>
  <c r="G110" i="363"/>
  <c r="G112" i="363"/>
  <c r="G114" i="363"/>
  <c r="G116" i="363"/>
  <c r="G118" i="363"/>
  <c r="G120" i="363"/>
  <c r="G122" i="363"/>
  <c r="G124" i="363"/>
  <c r="G126" i="363"/>
  <c r="G128" i="363"/>
  <c r="G130" i="363"/>
  <c r="G132" i="363"/>
  <c r="G134" i="363"/>
  <c r="G136" i="363"/>
  <c r="G138" i="363"/>
  <c r="G139" i="363"/>
  <c r="G141" i="363"/>
  <c r="G143" i="363"/>
  <c r="G145" i="363"/>
  <c r="G147" i="363"/>
  <c r="G149" i="363"/>
  <c r="G151" i="363"/>
  <c r="G153" i="363"/>
  <c r="G155" i="363"/>
  <c r="G157" i="363"/>
  <c r="G159" i="363"/>
  <c r="G161" i="363"/>
  <c r="G162" i="363"/>
  <c r="G164" i="363"/>
  <c r="G3" i="363"/>
  <c r="G5" i="363"/>
  <c r="G7" i="363"/>
  <c r="G9" i="363"/>
  <c r="G11" i="363"/>
  <c r="G12" i="363"/>
  <c r="G15" i="363"/>
  <c r="G17" i="363"/>
  <c r="G20" i="363"/>
  <c r="G22" i="363"/>
  <c r="G24" i="363"/>
  <c r="G27" i="363"/>
  <c r="G30" i="363"/>
  <c r="G33" i="363"/>
  <c r="G35" i="363"/>
  <c r="G37" i="363"/>
  <c r="G39" i="363"/>
  <c r="G41" i="363"/>
  <c r="G43" i="363"/>
  <c r="G44" i="363"/>
  <c r="G46" i="363"/>
  <c r="G49" i="363"/>
  <c r="G51" i="363"/>
  <c r="G54" i="363"/>
  <c r="G57" i="363"/>
  <c r="G59" i="363"/>
  <c r="G61" i="363"/>
  <c r="G63" i="363"/>
  <c r="G65" i="363"/>
  <c r="G67" i="363"/>
  <c r="G69" i="363"/>
  <c r="G71" i="363"/>
  <c r="G73" i="363"/>
  <c r="G74" i="363"/>
  <c r="G76" i="363"/>
  <c r="G78" i="363"/>
  <c r="G81" i="363"/>
  <c r="G83" i="363"/>
  <c r="G86" i="363"/>
  <c r="G88" i="363"/>
  <c r="G90" i="363"/>
  <c r="G92" i="363"/>
  <c r="G94" i="363"/>
  <c r="G96" i="363"/>
  <c r="G98" i="363"/>
  <c r="G99" i="363"/>
  <c r="G101" i="363"/>
  <c r="G103" i="363"/>
  <c r="G105" i="363"/>
  <c r="G106" i="363"/>
  <c r="G109" i="363"/>
  <c r="G111" i="363"/>
  <c r="G113" i="363"/>
  <c r="G115" i="363"/>
  <c r="G117" i="363"/>
  <c r="G119" i="363"/>
  <c r="G121" i="363"/>
  <c r="G123" i="363"/>
  <c r="G125" i="363"/>
  <c r="G127" i="363"/>
  <c r="G129" i="363"/>
  <c r="G131" i="363"/>
  <c r="G133" i="363"/>
  <c r="G135" i="363"/>
  <c r="G137" i="363"/>
  <c r="G140" i="363"/>
  <c r="G142" i="363"/>
  <c r="G144" i="363"/>
  <c r="G146" i="363"/>
  <c r="G148" i="363"/>
  <c r="G150" i="363"/>
  <c r="G152" i="363"/>
  <c r="G154" i="363"/>
  <c r="G156" i="363"/>
  <c r="G158" i="363"/>
  <c r="G160" i="363"/>
  <c r="G163" i="363"/>
  <c r="G165" i="363"/>
  <c r="G2" i="355"/>
  <c r="G7" i="355"/>
  <c r="G10" i="355"/>
  <c r="G13" i="355"/>
  <c r="G16" i="355"/>
  <c r="G19" i="355"/>
  <c r="G21" i="355"/>
  <c r="G24" i="355"/>
  <c r="G27" i="355"/>
  <c r="G31" i="355"/>
  <c r="G34" i="355"/>
  <c r="G36" i="355"/>
  <c r="G38" i="355"/>
  <c r="G41" i="355"/>
  <c r="G42" i="355"/>
  <c r="G45" i="355"/>
  <c r="G46" i="355"/>
  <c r="G49" i="355"/>
  <c r="G54" i="355"/>
  <c r="G56" i="355"/>
  <c r="G59" i="355"/>
  <c r="G62" i="355"/>
  <c r="G28" i="355"/>
  <c r="G67" i="355"/>
  <c r="G70" i="355"/>
  <c r="G72" i="355"/>
  <c r="G75" i="355"/>
  <c r="G78" i="355"/>
  <c r="G79" i="355"/>
  <c r="G82" i="355"/>
  <c r="G83" i="355"/>
  <c r="G86" i="355"/>
  <c r="G91" i="355"/>
  <c r="G93" i="355"/>
  <c r="G96" i="355"/>
  <c r="G99" i="355"/>
  <c r="G102" i="355"/>
  <c r="G105" i="355"/>
  <c r="G108" i="355"/>
  <c r="G112" i="355"/>
  <c r="G115" i="355"/>
  <c r="G118" i="355"/>
  <c r="G120" i="355"/>
  <c r="G123" i="355"/>
  <c r="G126" i="355"/>
  <c r="G128" i="355"/>
  <c r="G131" i="355"/>
  <c r="G134" i="355"/>
  <c r="G137" i="355"/>
  <c r="G140" i="355"/>
  <c r="G143" i="355"/>
  <c r="G147" i="355"/>
  <c r="G151" i="355"/>
  <c r="G154" i="355"/>
  <c r="G158" i="355"/>
  <c r="G161" i="355"/>
  <c r="G164" i="355"/>
  <c r="G166" i="355"/>
  <c r="G169" i="355"/>
  <c r="G172" i="355"/>
  <c r="G175" i="355"/>
  <c r="G178" i="355"/>
  <c r="G182" i="355"/>
  <c r="G184" i="355"/>
  <c r="G187" i="355"/>
  <c r="G190" i="355"/>
  <c r="G193" i="355"/>
  <c r="G197" i="355"/>
  <c r="G200" i="355"/>
  <c r="G203" i="355"/>
  <c r="G206" i="355"/>
  <c r="G209" i="355"/>
  <c r="G211" i="355"/>
  <c r="G214" i="355"/>
  <c r="G217" i="355"/>
  <c r="G220" i="355"/>
  <c r="G223" i="355"/>
  <c r="G226" i="355"/>
  <c r="G229" i="355"/>
  <c r="G232" i="355"/>
  <c r="G235" i="355"/>
  <c r="G238" i="355"/>
  <c r="G241" i="355"/>
  <c r="G244" i="355"/>
  <c r="G246" i="355"/>
  <c r="G249" i="355"/>
  <c r="G3" i="355"/>
  <c r="G8" i="355"/>
  <c r="G11" i="355"/>
  <c r="G14" i="355"/>
  <c r="G17" i="355"/>
  <c r="G18" i="355"/>
  <c r="G22" i="355"/>
  <c r="G25" i="355"/>
  <c r="G29" i="355"/>
  <c r="G32" i="355"/>
  <c r="G35" i="355"/>
  <c r="G39" i="355"/>
  <c r="G43" i="355"/>
  <c r="G47" i="355"/>
  <c r="G50" i="355"/>
  <c r="G55" i="355"/>
  <c r="G57" i="355"/>
  <c r="G60" i="355"/>
  <c r="G63" i="355"/>
  <c r="G65" i="355"/>
  <c r="G69" i="355"/>
  <c r="G73" i="355"/>
  <c r="G76" i="355"/>
  <c r="G80" i="355"/>
  <c r="G84" i="355"/>
  <c r="G87" i="355"/>
  <c r="G92" i="355"/>
  <c r="G94" i="355"/>
  <c r="G97" i="355"/>
  <c r="G100" i="355"/>
  <c r="G103" i="355"/>
  <c r="G106" i="355"/>
  <c r="G109" i="355"/>
  <c r="G111" i="355"/>
  <c r="G114" i="355"/>
  <c r="G117" i="355"/>
  <c r="G121" i="355"/>
  <c r="G125" i="355"/>
  <c r="G129" i="355"/>
  <c r="G132" i="355"/>
  <c r="G135" i="355"/>
  <c r="G138" i="355"/>
  <c r="G141" i="355"/>
  <c r="G144" i="355"/>
  <c r="G148" i="355"/>
  <c r="G150" i="355"/>
  <c r="G153" i="355"/>
  <c r="G156" i="355"/>
  <c r="G159" i="355"/>
  <c r="G160" i="355"/>
  <c r="G165" i="355"/>
  <c r="G167" i="355"/>
  <c r="G170" i="355"/>
  <c r="G173" i="355"/>
  <c r="G176" i="355"/>
  <c r="G179" i="355"/>
  <c r="G183" i="355"/>
  <c r="G185" i="355"/>
  <c r="G189" i="355"/>
  <c r="G192" i="355"/>
  <c r="G195" i="355"/>
  <c r="G198" i="355"/>
  <c r="G201" i="355"/>
  <c r="G205" i="355"/>
  <c r="G208" i="355"/>
  <c r="G212" i="355"/>
  <c r="G215" i="355"/>
  <c r="G218" i="355"/>
  <c r="G221" i="355"/>
  <c r="G224" i="355"/>
  <c r="G227" i="355"/>
  <c r="G230" i="355"/>
  <c r="G233" i="355"/>
  <c r="G236" i="355"/>
  <c r="G239" i="355"/>
  <c r="G243" i="355"/>
  <c r="G247" i="355"/>
  <c r="G250" i="355"/>
  <c r="G2" i="352"/>
  <c r="G4" i="352"/>
  <c r="G6" i="352"/>
  <c r="G8" i="352"/>
  <c r="G10" i="352"/>
  <c r="G13" i="352"/>
  <c r="G14" i="352"/>
  <c r="G16" i="352"/>
  <c r="G18" i="352"/>
  <c r="G21" i="352"/>
  <c r="G23" i="352"/>
  <c r="G25" i="352"/>
  <c r="G26" i="352"/>
  <c r="G28" i="352"/>
  <c r="G29" i="352"/>
  <c r="G31" i="352"/>
  <c r="G32" i="352"/>
  <c r="G34" i="352"/>
  <c r="G36" i="352"/>
  <c r="G38" i="352"/>
  <c r="G40" i="352"/>
  <c r="G42" i="352"/>
  <c r="G19" i="352"/>
  <c r="G45" i="352"/>
  <c r="G47" i="352"/>
  <c r="G48" i="352"/>
  <c r="G50" i="352"/>
  <c r="G52" i="352"/>
  <c r="G53" i="352"/>
  <c r="G55" i="352"/>
  <c r="G56" i="352"/>
  <c r="G58" i="352"/>
  <c r="G60" i="352"/>
  <c r="G62" i="352"/>
  <c r="G64" i="352"/>
  <c r="G66" i="352"/>
  <c r="G68" i="352"/>
  <c r="G70" i="352"/>
  <c r="G72" i="352"/>
  <c r="G75" i="352"/>
  <c r="G77" i="352"/>
  <c r="G79" i="352"/>
  <c r="G80" i="352"/>
  <c r="G82" i="352"/>
  <c r="G84" i="352"/>
  <c r="G85" i="352"/>
  <c r="G87" i="352"/>
  <c r="G89" i="352"/>
  <c r="G91" i="352"/>
  <c r="G93" i="352"/>
  <c r="G95" i="352"/>
  <c r="G97" i="352"/>
  <c r="G100" i="352"/>
  <c r="G102" i="352"/>
  <c r="G104" i="352"/>
  <c r="G107" i="352"/>
  <c r="G108" i="352"/>
  <c r="G110" i="352"/>
  <c r="G112" i="352"/>
  <c r="G114" i="352"/>
  <c r="G116" i="352"/>
  <c r="G118" i="352"/>
  <c r="G120" i="352"/>
  <c r="G122" i="352"/>
  <c r="G124" i="352"/>
  <c r="G126" i="352"/>
  <c r="G128" i="352"/>
  <c r="G130" i="352"/>
  <c r="G132" i="352"/>
  <c r="G134" i="352"/>
  <c r="G136" i="352"/>
  <c r="G138" i="352"/>
  <c r="G139" i="352"/>
  <c r="G141" i="352"/>
  <c r="G143" i="352"/>
  <c r="G145" i="352"/>
  <c r="G147" i="352"/>
  <c r="G149" i="352"/>
  <c r="G151" i="352"/>
  <c r="G153" i="352"/>
  <c r="G155" i="352"/>
  <c r="G157" i="352"/>
  <c r="G159" i="352"/>
  <c r="G161" i="352"/>
  <c r="G162" i="352"/>
  <c r="G164" i="352"/>
  <c r="G3" i="352"/>
  <c r="G5" i="352"/>
  <c r="G7" i="352"/>
  <c r="G9" i="352"/>
  <c r="G11" i="352"/>
  <c r="G12" i="352"/>
  <c r="G15" i="352"/>
  <c r="G17" i="352"/>
  <c r="G20" i="352"/>
  <c r="G22" i="352"/>
  <c r="G24" i="352"/>
  <c r="G27" i="352"/>
  <c r="G30" i="352"/>
  <c r="G33" i="352"/>
  <c r="G35" i="352"/>
  <c r="G37" i="352"/>
  <c r="G39" i="352"/>
  <c r="G41" i="352"/>
  <c r="G43" i="352"/>
  <c r="G44" i="352"/>
  <c r="G46" i="352"/>
  <c r="G49" i="352"/>
  <c r="G51" i="352"/>
  <c r="G54" i="352"/>
  <c r="G57" i="352"/>
  <c r="G59" i="352"/>
  <c r="G61" i="352"/>
  <c r="G63" i="352"/>
  <c r="G65" i="352"/>
  <c r="G67" i="352"/>
  <c r="G69" i="352"/>
  <c r="G71" i="352"/>
  <c r="G73" i="352"/>
  <c r="G74" i="352"/>
  <c r="G76" i="352"/>
  <c r="G78" i="352"/>
  <c r="G81" i="352"/>
  <c r="G83" i="352"/>
  <c r="G86" i="352"/>
  <c r="G88" i="352"/>
  <c r="G90" i="352"/>
  <c r="G92" i="352"/>
  <c r="G94" i="352"/>
  <c r="G96" i="352"/>
  <c r="G98" i="352"/>
  <c r="G99" i="352"/>
  <c r="G101" i="352"/>
  <c r="G103" i="352"/>
  <c r="G105" i="352"/>
  <c r="G106" i="352"/>
  <c r="G109" i="352"/>
  <c r="G111" i="352"/>
  <c r="G113" i="352"/>
  <c r="G115" i="352"/>
  <c r="G117" i="352"/>
  <c r="G119" i="352"/>
  <c r="G121" i="352"/>
  <c r="G123" i="352"/>
  <c r="G125" i="352"/>
  <c r="G127" i="352"/>
  <c r="G129" i="352"/>
  <c r="G131" i="352"/>
  <c r="G133" i="352"/>
  <c r="G135" i="352"/>
  <c r="G137" i="352"/>
  <c r="G140" i="352"/>
  <c r="G142" i="352"/>
  <c r="G144" i="352"/>
  <c r="G146" i="352"/>
  <c r="G148" i="352"/>
  <c r="G150" i="352"/>
  <c r="G152" i="352"/>
  <c r="G154" i="352"/>
  <c r="G156" i="352"/>
  <c r="G158" i="352"/>
  <c r="G160" i="352"/>
  <c r="G163" i="352"/>
  <c r="G165" i="352"/>
  <c r="G2" i="360"/>
  <c r="G4" i="360"/>
  <c r="I4" i="360" s="1"/>
  <c r="G5" i="360"/>
  <c r="I5" i="360" s="1"/>
  <c r="G7" i="360"/>
  <c r="G9" i="360"/>
  <c r="I9" i="360" s="1"/>
  <c r="G11" i="360"/>
  <c r="G13" i="360"/>
  <c r="G15" i="360"/>
  <c r="I15" i="360" s="1"/>
  <c r="G18" i="360"/>
  <c r="I18" i="360" s="1"/>
  <c r="G20" i="360"/>
  <c r="I20" i="360" s="1"/>
  <c r="G22" i="360"/>
  <c r="I22" i="360" s="1"/>
  <c r="G23" i="360"/>
  <c r="G25" i="360"/>
  <c r="I25" i="360" s="1"/>
  <c r="G27" i="360"/>
  <c r="G29" i="360"/>
  <c r="G31" i="360"/>
  <c r="I31" i="360" s="1"/>
  <c r="G33" i="360"/>
  <c r="I33" i="360" s="1"/>
  <c r="G35" i="360"/>
  <c r="I35" i="360" s="1"/>
  <c r="G37" i="360"/>
  <c r="I37" i="360" s="1"/>
  <c r="G39" i="360"/>
  <c r="G41" i="360"/>
  <c r="I41" i="360" s="1"/>
  <c r="G43" i="360"/>
  <c r="G45" i="360"/>
  <c r="G47" i="360"/>
  <c r="I47" i="360" s="1"/>
  <c r="G49" i="360"/>
  <c r="I49" i="360" s="1"/>
  <c r="G51" i="360"/>
  <c r="I51" i="360" s="1"/>
  <c r="G53" i="360"/>
  <c r="I53" i="360" s="1"/>
  <c r="G55" i="360"/>
  <c r="G57" i="360"/>
  <c r="I57" i="360" s="1"/>
  <c r="G60" i="360"/>
  <c r="G61" i="360"/>
  <c r="G63" i="360"/>
  <c r="I63" i="360" s="1"/>
  <c r="G65" i="360"/>
  <c r="I65" i="360" s="1"/>
  <c r="G68" i="360"/>
  <c r="I68" i="360" s="1"/>
  <c r="G70" i="360"/>
  <c r="I70" i="360" s="1"/>
  <c r="G71" i="360"/>
  <c r="G73" i="360"/>
  <c r="I73" i="360" s="1"/>
  <c r="G75" i="360"/>
  <c r="G77" i="360"/>
  <c r="G79" i="360"/>
  <c r="I79" i="360" s="1"/>
  <c r="G81" i="360"/>
  <c r="I81" i="360" s="1"/>
  <c r="G83" i="360"/>
  <c r="H83" i="360" s="1"/>
  <c r="G85" i="360"/>
  <c r="I85" i="360" s="1"/>
  <c r="G87" i="360"/>
  <c r="G89" i="360"/>
  <c r="I89" i="360" s="1"/>
  <c r="G91" i="360"/>
  <c r="G93" i="360"/>
  <c r="G95" i="360"/>
  <c r="I95" i="360" s="1"/>
  <c r="G97" i="360"/>
  <c r="H97" i="360" s="1"/>
  <c r="G99" i="360"/>
  <c r="I99" i="360" s="1"/>
  <c r="G101" i="360"/>
  <c r="I101" i="360" s="1"/>
  <c r="G103" i="360"/>
  <c r="G104" i="360"/>
  <c r="I104" i="360" s="1"/>
  <c r="G106" i="360"/>
  <c r="G108" i="360"/>
  <c r="G110" i="360"/>
  <c r="I110" i="360" s="1"/>
  <c r="G112" i="360"/>
  <c r="I112" i="360" s="1"/>
  <c r="G114" i="360"/>
  <c r="H114" i="360" s="1"/>
  <c r="G115" i="360"/>
  <c r="I115" i="360" s="1"/>
  <c r="G117" i="360"/>
  <c r="G119" i="360"/>
  <c r="I119" i="360" s="1"/>
  <c r="G122" i="360"/>
  <c r="G124" i="360"/>
  <c r="G127" i="360"/>
  <c r="I127" i="360" s="1"/>
  <c r="G129" i="360"/>
  <c r="I129" i="360" s="1"/>
  <c r="G130" i="360"/>
  <c r="I130" i="360" s="1"/>
  <c r="G132" i="360"/>
  <c r="I132" i="360" s="1"/>
  <c r="G134" i="360"/>
  <c r="G135" i="360"/>
  <c r="I135" i="360" s="1"/>
  <c r="G137" i="360"/>
  <c r="G139" i="360"/>
  <c r="G141" i="360"/>
  <c r="I141" i="360" s="1"/>
  <c r="G143" i="360"/>
  <c r="I143" i="360" s="1"/>
  <c r="G145" i="360"/>
  <c r="I145" i="360" s="1"/>
  <c r="G147" i="360"/>
  <c r="I147" i="360" s="1"/>
  <c r="G149" i="360"/>
  <c r="G151" i="360"/>
  <c r="I151" i="360" s="1"/>
  <c r="G153" i="360"/>
  <c r="G155" i="360"/>
  <c r="G157" i="360"/>
  <c r="I157" i="360" s="1"/>
  <c r="G159" i="360"/>
  <c r="I159" i="360" s="1"/>
  <c r="G161" i="360"/>
  <c r="I161" i="360" s="1"/>
  <c r="G164" i="360"/>
  <c r="I164" i="360" s="1"/>
  <c r="G166" i="360"/>
  <c r="G168" i="360"/>
  <c r="I168" i="360" s="1"/>
  <c r="G170" i="360"/>
  <c r="G3" i="360"/>
  <c r="G6" i="360"/>
  <c r="I6" i="360" s="1"/>
  <c r="G8" i="360"/>
  <c r="H8" i="360" s="1"/>
  <c r="G10" i="360"/>
  <c r="I10" i="360" s="1"/>
  <c r="G12" i="360"/>
  <c r="I12" i="360" s="1"/>
  <c r="G14" i="360"/>
  <c r="G16" i="360"/>
  <c r="I16" i="360" s="1"/>
  <c r="G17" i="360"/>
  <c r="G19" i="360"/>
  <c r="G21" i="360"/>
  <c r="I21" i="360" s="1"/>
  <c r="G24" i="360"/>
  <c r="I24" i="360" s="1"/>
  <c r="G26" i="360"/>
  <c r="I26" i="360" s="1"/>
  <c r="G28" i="360"/>
  <c r="I28" i="360" s="1"/>
  <c r="G30" i="360"/>
  <c r="G32" i="360"/>
  <c r="I32" i="360" s="1"/>
  <c r="G34" i="360"/>
  <c r="G36" i="360"/>
  <c r="G38" i="360"/>
  <c r="I38" i="360" s="1"/>
  <c r="G40" i="360"/>
  <c r="I40" i="360" s="1"/>
  <c r="G42" i="360"/>
  <c r="H42" i="360" s="1"/>
  <c r="G44" i="360"/>
  <c r="I44" i="360" s="1"/>
  <c r="G46" i="360"/>
  <c r="G48" i="360"/>
  <c r="I48" i="360" s="1"/>
  <c r="G50" i="360"/>
  <c r="G52" i="360"/>
  <c r="G54" i="360"/>
  <c r="I54" i="360" s="1"/>
  <c r="G56" i="360"/>
  <c r="I56" i="360" s="1"/>
  <c r="G58" i="360"/>
  <c r="I58" i="360" s="1"/>
  <c r="G59" i="360"/>
  <c r="I59" i="360" s="1"/>
  <c r="G62" i="360"/>
  <c r="G64" i="360"/>
  <c r="I64" i="360" s="1"/>
  <c r="G66" i="360"/>
  <c r="G67" i="360"/>
  <c r="G69" i="360"/>
  <c r="I69" i="360" s="1"/>
  <c r="G72" i="360"/>
  <c r="I72" i="360" s="1"/>
  <c r="G74" i="360"/>
  <c r="H74" i="360" s="1"/>
  <c r="G76" i="360"/>
  <c r="I76" i="360" s="1"/>
  <c r="G78" i="360"/>
  <c r="G80" i="360"/>
  <c r="I80" i="360" s="1"/>
  <c r="G82" i="360"/>
  <c r="G84" i="360"/>
  <c r="G86" i="360"/>
  <c r="I86" i="360" s="1"/>
  <c r="G88" i="360"/>
  <c r="I88" i="360" s="1"/>
  <c r="G90" i="360"/>
  <c r="I90" i="360" s="1"/>
  <c r="G92" i="360"/>
  <c r="I92" i="360" s="1"/>
  <c r="G94" i="360"/>
  <c r="G96" i="360"/>
  <c r="I96" i="360" s="1"/>
  <c r="G98" i="360"/>
  <c r="G100" i="360"/>
  <c r="G102" i="360"/>
  <c r="I102" i="360" s="1"/>
  <c r="G105" i="360"/>
  <c r="I105" i="360" s="1"/>
  <c r="G107" i="360"/>
  <c r="I107" i="360" s="1"/>
  <c r="G109" i="360"/>
  <c r="I109" i="360" s="1"/>
  <c r="G111" i="360"/>
  <c r="G113" i="360"/>
  <c r="I113" i="360" s="1"/>
  <c r="G116" i="360"/>
  <c r="G118" i="360"/>
  <c r="G120" i="360"/>
  <c r="I120" i="360" s="1"/>
  <c r="G121" i="360"/>
  <c r="I121" i="360" s="1"/>
  <c r="G123" i="360"/>
  <c r="I123" i="360" s="1"/>
  <c r="G125" i="360"/>
  <c r="I125" i="360" s="1"/>
  <c r="G126" i="360"/>
  <c r="G128" i="360"/>
  <c r="I128" i="360" s="1"/>
  <c r="G131" i="360"/>
  <c r="G133" i="360"/>
  <c r="G136" i="360"/>
  <c r="I136" i="360" s="1"/>
  <c r="G138" i="360"/>
  <c r="I138" i="360" s="1"/>
  <c r="G140" i="360"/>
  <c r="H140" i="360" s="1"/>
  <c r="G142" i="360"/>
  <c r="I142" i="360" s="1"/>
  <c r="G144" i="360"/>
  <c r="G146" i="360"/>
  <c r="I146" i="360" s="1"/>
  <c r="G148" i="360"/>
  <c r="G150" i="360"/>
  <c r="G152" i="360"/>
  <c r="I152" i="360" s="1"/>
  <c r="G154" i="360"/>
  <c r="I154" i="360" s="1"/>
  <c r="G156" i="360"/>
  <c r="I156" i="360" s="1"/>
  <c r="G158" i="360"/>
  <c r="I158" i="360" s="1"/>
  <c r="G160" i="360"/>
  <c r="G162" i="360"/>
  <c r="I162" i="360" s="1"/>
  <c r="G163" i="360"/>
  <c r="G165" i="360"/>
  <c r="G167" i="360"/>
  <c r="I167" i="360" s="1"/>
  <c r="G169" i="360"/>
  <c r="G171" i="360"/>
  <c r="G2" i="359"/>
  <c r="G4" i="359"/>
  <c r="G5" i="359"/>
  <c r="I5" i="359" s="1"/>
  <c r="G7" i="359"/>
  <c r="G9" i="359"/>
  <c r="G11" i="359"/>
  <c r="G13" i="359"/>
  <c r="G15" i="359"/>
  <c r="I15" i="359" s="1"/>
  <c r="G18" i="359"/>
  <c r="G20" i="359"/>
  <c r="G22" i="359"/>
  <c r="I22" i="359" s="1"/>
  <c r="G23" i="359"/>
  <c r="G25" i="359"/>
  <c r="G27" i="359"/>
  <c r="G29" i="359"/>
  <c r="G31" i="359"/>
  <c r="I31" i="359" s="1"/>
  <c r="G33" i="359"/>
  <c r="G35" i="359"/>
  <c r="G37" i="359"/>
  <c r="I37" i="359" s="1"/>
  <c r="G39" i="359"/>
  <c r="G41" i="359"/>
  <c r="G43" i="359"/>
  <c r="G45" i="359"/>
  <c r="G47" i="359"/>
  <c r="I47" i="359" s="1"/>
  <c r="G49" i="359"/>
  <c r="G51" i="359"/>
  <c r="G53" i="359"/>
  <c r="I53" i="359" s="1"/>
  <c r="G55" i="359"/>
  <c r="G57" i="359"/>
  <c r="G60" i="359"/>
  <c r="G61" i="359"/>
  <c r="G63" i="359"/>
  <c r="I63" i="359" s="1"/>
  <c r="G65" i="359"/>
  <c r="G68" i="359"/>
  <c r="G70" i="359"/>
  <c r="I70" i="359" s="1"/>
  <c r="G71" i="359"/>
  <c r="G73" i="359"/>
  <c r="G75" i="359"/>
  <c r="G77" i="359"/>
  <c r="G79" i="359"/>
  <c r="I79" i="359" s="1"/>
  <c r="G81" i="359"/>
  <c r="G83" i="359"/>
  <c r="G85" i="359"/>
  <c r="I85" i="359" s="1"/>
  <c r="G87" i="359"/>
  <c r="G89" i="359"/>
  <c r="G91" i="359"/>
  <c r="G93" i="359"/>
  <c r="G95" i="359"/>
  <c r="I95" i="359" s="1"/>
  <c r="G97" i="359"/>
  <c r="G99" i="359"/>
  <c r="G101" i="359"/>
  <c r="I101" i="359" s="1"/>
  <c r="G103" i="359"/>
  <c r="G104" i="359"/>
  <c r="G106" i="359"/>
  <c r="G108" i="359"/>
  <c r="G110" i="359"/>
  <c r="I110" i="359" s="1"/>
  <c r="G112" i="359"/>
  <c r="G114" i="359"/>
  <c r="G115" i="359"/>
  <c r="I115" i="359" s="1"/>
  <c r="G117" i="359"/>
  <c r="G119" i="359"/>
  <c r="G122" i="359"/>
  <c r="G124" i="359"/>
  <c r="G127" i="359"/>
  <c r="I127" i="359" s="1"/>
  <c r="G129" i="359"/>
  <c r="G130" i="359"/>
  <c r="G132" i="359"/>
  <c r="I132" i="359" s="1"/>
  <c r="G134" i="359"/>
  <c r="G135" i="359"/>
  <c r="G137" i="359"/>
  <c r="G139" i="359"/>
  <c r="G141" i="359"/>
  <c r="I141" i="359" s="1"/>
  <c r="G143" i="359"/>
  <c r="G145" i="359"/>
  <c r="G147" i="359"/>
  <c r="I147" i="359" s="1"/>
  <c r="G149" i="359"/>
  <c r="G151" i="359"/>
  <c r="G153" i="359"/>
  <c r="G155" i="359"/>
  <c r="G157" i="359"/>
  <c r="I157" i="359" s="1"/>
  <c r="G159" i="359"/>
  <c r="G161" i="359"/>
  <c r="G164" i="359"/>
  <c r="I164" i="359" s="1"/>
  <c r="G166" i="359"/>
  <c r="G168" i="359"/>
  <c r="G170" i="359"/>
  <c r="G3" i="359"/>
  <c r="G6" i="359"/>
  <c r="I6" i="359" s="1"/>
  <c r="G8" i="359"/>
  <c r="G10" i="359"/>
  <c r="G12" i="359"/>
  <c r="I12" i="359" s="1"/>
  <c r="G14" i="359"/>
  <c r="G16" i="359"/>
  <c r="G17" i="359"/>
  <c r="G19" i="359"/>
  <c r="G21" i="359"/>
  <c r="I21" i="359" s="1"/>
  <c r="G24" i="359"/>
  <c r="G26" i="359"/>
  <c r="G28" i="359"/>
  <c r="I28" i="359" s="1"/>
  <c r="G30" i="359"/>
  <c r="G32" i="359"/>
  <c r="G34" i="359"/>
  <c r="G36" i="359"/>
  <c r="G38" i="359"/>
  <c r="I38" i="359" s="1"/>
  <c r="G40" i="359"/>
  <c r="G42" i="359"/>
  <c r="G44" i="359"/>
  <c r="I44" i="359" s="1"/>
  <c r="G46" i="359"/>
  <c r="G48" i="359"/>
  <c r="G50" i="359"/>
  <c r="G52" i="359"/>
  <c r="G54" i="359"/>
  <c r="I54" i="359" s="1"/>
  <c r="G56" i="359"/>
  <c r="G58" i="359"/>
  <c r="G59" i="359"/>
  <c r="I59" i="359" s="1"/>
  <c r="G62" i="359"/>
  <c r="G64" i="359"/>
  <c r="G66" i="359"/>
  <c r="G67" i="359"/>
  <c r="G69" i="359"/>
  <c r="I69" i="359" s="1"/>
  <c r="G72" i="359"/>
  <c r="G74" i="359"/>
  <c r="G76" i="359"/>
  <c r="I76" i="359" s="1"/>
  <c r="G78" i="359"/>
  <c r="G80" i="359"/>
  <c r="G82" i="359"/>
  <c r="G84" i="359"/>
  <c r="G86" i="359"/>
  <c r="I86" i="359" s="1"/>
  <c r="G88" i="359"/>
  <c r="G90" i="359"/>
  <c r="G92" i="359"/>
  <c r="I92" i="359" s="1"/>
  <c r="G94" i="359"/>
  <c r="G96" i="359"/>
  <c r="G98" i="359"/>
  <c r="G100" i="359"/>
  <c r="G102" i="359"/>
  <c r="I102" i="359" s="1"/>
  <c r="G105" i="359"/>
  <c r="G107" i="359"/>
  <c r="G109" i="359"/>
  <c r="I109" i="359" s="1"/>
  <c r="G111" i="359"/>
  <c r="G113" i="359"/>
  <c r="G116" i="359"/>
  <c r="G118" i="359"/>
  <c r="G120" i="359"/>
  <c r="I120" i="359" s="1"/>
  <c r="G121" i="359"/>
  <c r="G123" i="359"/>
  <c r="G125" i="359"/>
  <c r="I125" i="359" s="1"/>
  <c r="G126" i="359"/>
  <c r="G128" i="359"/>
  <c r="G131" i="359"/>
  <c r="G133" i="359"/>
  <c r="G136" i="359"/>
  <c r="I136" i="359" s="1"/>
  <c r="G138" i="359"/>
  <c r="G140" i="359"/>
  <c r="G142" i="359"/>
  <c r="I142" i="359" s="1"/>
  <c r="G144" i="359"/>
  <c r="G146" i="359"/>
  <c r="G148" i="359"/>
  <c r="G150" i="359"/>
  <c r="G152" i="359"/>
  <c r="I152" i="359" s="1"/>
  <c r="G154" i="359"/>
  <c r="G156" i="359"/>
  <c r="G158" i="359"/>
  <c r="I158" i="359" s="1"/>
  <c r="G160" i="359"/>
  <c r="G162" i="359"/>
  <c r="G163" i="359"/>
  <c r="G165" i="359"/>
  <c r="G167" i="359"/>
  <c r="I167" i="359" s="1"/>
  <c r="G169" i="359"/>
  <c r="G171" i="359"/>
  <c r="G2" i="351"/>
  <c r="G4" i="351"/>
  <c r="G6" i="351"/>
  <c r="G8" i="351"/>
  <c r="G10" i="351"/>
  <c r="G13" i="351"/>
  <c r="G14" i="351"/>
  <c r="G16" i="351"/>
  <c r="G18" i="351"/>
  <c r="G21" i="351"/>
  <c r="G23" i="351"/>
  <c r="G25" i="351"/>
  <c r="G26" i="351"/>
  <c r="G28" i="351"/>
  <c r="G29" i="351"/>
  <c r="G31" i="351"/>
  <c r="G32" i="351"/>
  <c r="G34" i="351"/>
  <c r="G36" i="351"/>
  <c r="G38" i="351"/>
  <c r="G40" i="351"/>
  <c r="G42" i="351"/>
  <c r="G19" i="351"/>
  <c r="G45" i="351"/>
  <c r="G47" i="351"/>
  <c r="G48" i="351"/>
  <c r="G50" i="351"/>
  <c r="G52" i="351"/>
  <c r="G53" i="351"/>
  <c r="G55" i="351"/>
  <c r="G56" i="351"/>
  <c r="G58" i="351"/>
  <c r="G60" i="351"/>
  <c r="G62" i="351"/>
  <c r="G64" i="351"/>
  <c r="G66" i="351"/>
  <c r="G68" i="351"/>
  <c r="G70" i="351"/>
  <c r="G72" i="351"/>
  <c r="G75" i="351"/>
  <c r="G77" i="351"/>
  <c r="G79" i="351"/>
  <c r="G80" i="351"/>
  <c r="G82" i="351"/>
  <c r="G84" i="351"/>
  <c r="G85" i="351"/>
  <c r="G87" i="351"/>
  <c r="G89" i="351"/>
  <c r="G91" i="351"/>
  <c r="G93" i="351"/>
  <c r="G95" i="351"/>
  <c r="G97" i="351"/>
  <c r="G100" i="351"/>
  <c r="G102" i="351"/>
  <c r="G104" i="351"/>
  <c r="G107" i="351"/>
  <c r="G108" i="351"/>
  <c r="G110" i="351"/>
  <c r="G112" i="351"/>
  <c r="G114" i="351"/>
  <c r="G116" i="351"/>
  <c r="G118" i="351"/>
  <c r="G120" i="351"/>
  <c r="G122" i="351"/>
  <c r="G124" i="351"/>
  <c r="G126" i="351"/>
  <c r="G128" i="351"/>
  <c r="G130" i="351"/>
  <c r="G132" i="351"/>
  <c r="G134" i="351"/>
  <c r="G136" i="351"/>
  <c r="G138" i="351"/>
  <c r="G139" i="351"/>
  <c r="G141" i="351"/>
  <c r="G143" i="351"/>
  <c r="G145" i="351"/>
  <c r="G147" i="351"/>
  <c r="G149" i="351"/>
  <c r="G151" i="351"/>
  <c r="G153" i="351"/>
  <c r="G155" i="351"/>
  <c r="G157" i="351"/>
  <c r="G159" i="351"/>
  <c r="G161" i="351"/>
  <c r="G162" i="351"/>
  <c r="G164" i="351"/>
  <c r="G3" i="351"/>
  <c r="G5" i="351"/>
  <c r="G7" i="351"/>
  <c r="G9" i="351"/>
  <c r="G11" i="351"/>
  <c r="G12" i="351"/>
  <c r="G15" i="351"/>
  <c r="G17" i="351"/>
  <c r="G20" i="351"/>
  <c r="G22" i="351"/>
  <c r="G24" i="351"/>
  <c r="G27" i="351"/>
  <c r="G30" i="351"/>
  <c r="G33" i="351"/>
  <c r="G35" i="351"/>
  <c r="G37" i="351"/>
  <c r="G39" i="351"/>
  <c r="G41" i="351"/>
  <c r="G43" i="351"/>
  <c r="G44" i="351"/>
  <c r="G46" i="351"/>
  <c r="G49" i="351"/>
  <c r="G51" i="351"/>
  <c r="G54" i="351"/>
  <c r="G57" i="351"/>
  <c r="G59" i="351"/>
  <c r="G61" i="351"/>
  <c r="G63" i="351"/>
  <c r="G65" i="351"/>
  <c r="G67" i="351"/>
  <c r="G69" i="351"/>
  <c r="G71" i="351"/>
  <c r="G73" i="351"/>
  <c r="G74" i="351"/>
  <c r="G76" i="351"/>
  <c r="G78" i="351"/>
  <c r="G81" i="351"/>
  <c r="G83" i="351"/>
  <c r="G86" i="351"/>
  <c r="G88" i="351"/>
  <c r="G90" i="351"/>
  <c r="G92" i="351"/>
  <c r="G94" i="351"/>
  <c r="G96" i="351"/>
  <c r="G98" i="351"/>
  <c r="G99" i="351"/>
  <c r="G101" i="351"/>
  <c r="G103" i="351"/>
  <c r="G105" i="351"/>
  <c r="G106" i="351"/>
  <c r="G109" i="351"/>
  <c r="G111" i="351"/>
  <c r="G113" i="351"/>
  <c r="G115" i="351"/>
  <c r="G117" i="351"/>
  <c r="G119" i="351"/>
  <c r="G121" i="351"/>
  <c r="G123" i="351"/>
  <c r="G125" i="351"/>
  <c r="G127" i="351"/>
  <c r="G129" i="351"/>
  <c r="G131" i="351"/>
  <c r="G133" i="351"/>
  <c r="G135" i="351"/>
  <c r="G137" i="351"/>
  <c r="G140" i="351"/>
  <c r="G142" i="351"/>
  <c r="G144" i="351"/>
  <c r="G146" i="351"/>
  <c r="G148" i="351"/>
  <c r="G150" i="351"/>
  <c r="G152" i="351"/>
  <c r="G154" i="351"/>
  <c r="G156" i="351"/>
  <c r="G158" i="351"/>
  <c r="G160" i="351"/>
  <c r="G163" i="351"/>
  <c r="G165" i="351"/>
  <c r="F2" i="359"/>
  <c r="F4" i="359"/>
  <c r="F5" i="359"/>
  <c r="F7" i="359"/>
  <c r="F9" i="359"/>
  <c r="F11" i="359"/>
  <c r="F13" i="359"/>
  <c r="F15" i="359"/>
  <c r="F18" i="359"/>
  <c r="F20" i="359"/>
  <c r="F22" i="359"/>
  <c r="F23" i="359"/>
  <c r="F25" i="359"/>
  <c r="F27" i="359"/>
  <c r="F29" i="359"/>
  <c r="F31" i="359"/>
  <c r="F33" i="359"/>
  <c r="F35" i="359"/>
  <c r="F37" i="359"/>
  <c r="F39" i="359"/>
  <c r="F41" i="359"/>
  <c r="F43" i="359"/>
  <c r="F45" i="359"/>
  <c r="F47" i="359"/>
  <c r="F49" i="359"/>
  <c r="F51" i="359"/>
  <c r="F53" i="359"/>
  <c r="F55" i="359"/>
  <c r="F57" i="359"/>
  <c r="F60" i="359"/>
  <c r="F61" i="359"/>
  <c r="F63" i="359"/>
  <c r="F65" i="359"/>
  <c r="F68" i="359"/>
  <c r="F70" i="359"/>
  <c r="F71" i="359"/>
  <c r="F73" i="359"/>
  <c r="F75" i="359"/>
  <c r="F77" i="359"/>
  <c r="F79" i="359"/>
  <c r="F81" i="359"/>
  <c r="F83" i="359"/>
  <c r="F85" i="359"/>
  <c r="F87" i="359"/>
  <c r="F89" i="359"/>
  <c r="F91" i="359"/>
  <c r="F93" i="359"/>
  <c r="F95" i="359"/>
  <c r="F97" i="359"/>
  <c r="F99" i="359"/>
  <c r="F101" i="359"/>
  <c r="F103" i="359"/>
  <c r="F104" i="359"/>
  <c r="F106" i="359"/>
  <c r="F108" i="359"/>
  <c r="F110" i="359"/>
  <c r="F112" i="359"/>
  <c r="F114" i="359"/>
  <c r="F115" i="359"/>
  <c r="F117" i="359"/>
  <c r="F119" i="359"/>
  <c r="F122" i="359"/>
  <c r="F124" i="359"/>
  <c r="F127" i="359"/>
  <c r="F129" i="359"/>
  <c r="F130" i="359"/>
  <c r="F132" i="359"/>
  <c r="F134" i="359"/>
  <c r="F135" i="359"/>
  <c r="F137" i="359"/>
  <c r="F139" i="359"/>
  <c r="F141" i="359"/>
  <c r="F143" i="359"/>
  <c r="F145" i="359"/>
  <c r="F147" i="359"/>
  <c r="F149" i="359"/>
  <c r="F151" i="359"/>
  <c r="F153" i="359"/>
  <c r="F155" i="359"/>
  <c r="F157" i="359"/>
  <c r="F159" i="359"/>
  <c r="F161" i="359"/>
  <c r="F164" i="359"/>
  <c r="F166" i="359"/>
  <c r="F168" i="359"/>
  <c r="F170" i="359"/>
  <c r="F3" i="359"/>
  <c r="F6" i="359"/>
  <c r="F8" i="359"/>
  <c r="F10" i="359"/>
  <c r="F12" i="359"/>
  <c r="F14" i="359"/>
  <c r="F16" i="359"/>
  <c r="F17" i="359"/>
  <c r="F19" i="359"/>
  <c r="F21" i="359"/>
  <c r="F24" i="359"/>
  <c r="F26" i="359"/>
  <c r="F28" i="359"/>
  <c r="F30" i="359"/>
  <c r="F32" i="359"/>
  <c r="F34" i="359"/>
  <c r="F36" i="359"/>
  <c r="F38" i="359"/>
  <c r="F40" i="359"/>
  <c r="F42" i="359"/>
  <c r="F44" i="359"/>
  <c r="F46" i="359"/>
  <c r="F48" i="359"/>
  <c r="F50" i="359"/>
  <c r="F52" i="359"/>
  <c r="F54" i="359"/>
  <c r="F56" i="359"/>
  <c r="F58" i="359"/>
  <c r="F59" i="359"/>
  <c r="F62" i="359"/>
  <c r="F64" i="359"/>
  <c r="F66" i="359"/>
  <c r="F67" i="359"/>
  <c r="F69" i="359"/>
  <c r="F72" i="359"/>
  <c r="F74" i="359"/>
  <c r="F76" i="359"/>
  <c r="F78" i="359"/>
  <c r="F80" i="359"/>
  <c r="F82" i="359"/>
  <c r="F84" i="359"/>
  <c r="F86" i="359"/>
  <c r="F88" i="359"/>
  <c r="F90" i="359"/>
  <c r="F92" i="359"/>
  <c r="F94" i="359"/>
  <c r="F96" i="359"/>
  <c r="F98" i="359"/>
  <c r="F100" i="359"/>
  <c r="F102" i="359"/>
  <c r="F105" i="359"/>
  <c r="F107" i="359"/>
  <c r="F109" i="359"/>
  <c r="F111" i="359"/>
  <c r="F113" i="359"/>
  <c r="F116" i="359"/>
  <c r="F118" i="359"/>
  <c r="F120" i="359"/>
  <c r="F121" i="359"/>
  <c r="F123" i="359"/>
  <c r="F125" i="359"/>
  <c r="F126" i="359"/>
  <c r="F128" i="359"/>
  <c r="F131" i="359"/>
  <c r="F133" i="359"/>
  <c r="F136" i="359"/>
  <c r="F138" i="359"/>
  <c r="F140" i="359"/>
  <c r="F142" i="359"/>
  <c r="F144" i="359"/>
  <c r="F146" i="359"/>
  <c r="F148" i="359"/>
  <c r="F150" i="359"/>
  <c r="F152" i="359"/>
  <c r="F154" i="359"/>
  <c r="F156" i="359"/>
  <c r="F158" i="359"/>
  <c r="F160" i="359"/>
  <c r="F162" i="359"/>
  <c r="F163" i="359"/>
  <c r="F165" i="359"/>
  <c r="F167" i="359"/>
  <c r="F169" i="359"/>
  <c r="F171" i="359"/>
  <c r="F2" i="360"/>
  <c r="F4" i="360"/>
  <c r="F5" i="360"/>
  <c r="F7" i="360"/>
  <c r="F9" i="360"/>
  <c r="F11" i="360"/>
  <c r="F13" i="360"/>
  <c r="F15" i="360"/>
  <c r="F18" i="360"/>
  <c r="F20" i="360"/>
  <c r="F22" i="360"/>
  <c r="F23" i="360"/>
  <c r="F25" i="360"/>
  <c r="F27" i="360"/>
  <c r="F29" i="360"/>
  <c r="F31" i="360"/>
  <c r="F33" i="360"/>
  <c r="F35" i="360"/>
  <c r="F37" i="360"/>
  <c r="F39" i="360"/>
  <c r="F41" i="360"/>
  <c r="F43" i="360"/>
  <c r="F45" i="360"/>
  <c r="F47" i="360"/>
  <c r="F49" i="360"/>
  <c r="F51" i="360"/>
  <c r="F53" i="360"/>
  <c r="F55" i="360"/>
  <c r="F57" i="360"/>
  <c r="F60" i="360"/>
  <c r="F61" i="360"/>
  <c r="F63" i="360"/>
  <c r="F65" i="360"/>
  <c r="F68" i="360"/>
  <c r="F70" i="360"/>
  <c r="F71" i="360"/>
  <c r="F73" i="360"/>
  <c r="F75" i="360"/>
  <c r="F77" i="360"/>
  <c r="F79" i="360"/>
  <c r="F81" i="360"/>
  <c r="F83" i="360"/>
  <c r="F85" i="360"/>
  <c r="F87" i="360"/>
  <c r="F89" i="360"/>
  <c r="F91" i="360"/>
  <c r="F93" i="360"/>
  <c r="F95" i="360"/>
  <c r="F97" i="360"/>
  <c r="F99" i="360"/>
  <c r="F101" i="360"/>
  <c r="F103" i="360"/>
  <c r="F104" i="360"/>
  <c r="F106" i="360"/>
  <c r="F108" i="360"/>
  <c r="F110" i="360"/>
  <c r="F112" i="360"/>
  <c r="F114" i="360"/>
  <c r="F115" i="360"/>
  <c r="F117" i="360"/>
  <c r="F119" i="360"/>
  <c r="F122" i="360"/>
  <c r="F124" i="360"/>
  <c r="F127" i="360"/>
  <c r="F129" i="360"/>
  <c r="F130" i="360"/>
  <c r="F132" i="360"/>
  <c r="F134" i="360"/>
  <c r="F135" i="360"/>
  <c r="F137" i="360"/>
  <c r="F139" i="360"/>
  <c r="F141" i="360"/>
  <c r="F143" i="360"/>
  <c r="F145" i="360"/>
  <c r="F147" i="360"/>
  <c r="F149" i="360"/>
  <c r="F151" i="360"/>
  <c r="F153" i="360"/>
  <c r="F155" i="360"/>
  <c r="F157" i="360"/>
  <c r="F159" i="360"/>
  <c r="F161" i="360"/>
  <c r="F164" i="360"/>
  <c r="F166" i="360"/>
  <c r="F168" i="360"/>
  <c r="F170" i="360"/>
  <c r="F3" i="360"/>
  <c r="F6" i="360"/>
  <c r="F8" i="360"/>
  <c r="F10" i="360"/>
  <c r="F12" i="360"/>
  <c r="F14" i="360"/>
  <c r="F16" i="360"/>
  <c r="F17" i="360"/>
  <c r="F19" i="360"/>
  <c r="F21" i="360"/>
  <c r="F24" i="360"/>
  <c r="F26" i="360"/>
  <c r="F28" i="360"/>
  <c r="F30" i="360"/>
  <c r="F32" i="360"/>
  <c r="F34" i="360"/>
  <c r="F36" i="360"/>
  <c r="F38" i="360"/>
  <c r="F40" i="360"/>
  <c r="F42" i="360"/>
  <c r="F44" i="360"/>
  <c r="F46" i="360"/>
  <c r="F48" i="360"/>
  <c r="F50" i="360"/>
  <c r="F52" i="360"/>
  <c r="F54" i="360"/>
  <c r="F56" i="360"/>
  <c r="F58" i="360"/>
  <c r="F59" i="360"/>
  <c r="F62" i="360"/>
  <c r="F64" i="360"/>
  <c r="F66" i="360"/>
  <c r="F67" i="360"/>
  <c r="F69" i="360"/>
  <c r="F72" i="360"/>
  <c r="F74" i="360"/>
  <c r="F76" i="360"/>
  <c r="F78" i="360"/>
  <c r="F80" i="360"/>
  <c r="F82" i="360"/>
  <c r="F84" i="360"/>
  <c r="F86" i="360"/>
  <c r="F88" i="360"/>
  <c r="F90" i="360"/>
  <c r="F92" i="360"/>
  <c r="F94" i="360"/>
  <c r="F96" i="360"/>
  <c r="F98" i="360"/>
  <c r="F100" i="360"/>
  <c r="F102" i="360"/>
  <c r="F105" i="360"/>
  <c r="F107" i="360"/>
  <c r="F109" i="360"/>
  <c r="F111" i="360"/>
  <c r="F113" i="360"/>
  <c r="F116" i="360"/>
  <c r="F118" i="360"/>
  <c r="F120" i="360"/>
  <c r="F121" i="360"/>
  <c r="F123" i="360"/>
  <c r="F125" i="360"/>
  <c r="F126" i="360"/>
  <c r="F128" i="360"/>
  <c r="F131" i="360"/>
  <c r="F133" i="360"/>
  <c r="F136" i="360"/>
  <c r="F138" i="360"/>
  <c r="F140" i="360"/>
  <c r="F142" i="360"/>
  <c r="F144" i="360"/>
  <c r="F146" i="360"/>
  <c r="F148" i="360"/>
  <c r="F150" i="360"/>
  <c r="F152" i="360"/>
  <c r="F154" i="360"/>
  <c r="F156" i="360"/>
  <c r="F158" i="360"/>
  <c r="F160" i="360"/>
  <c r="F162" i="360"/>
  <c r="F163" i="360"/>
  <c r="F165" i="360"/>
  <c r="F167" i="360"/>
  <c r="F169" i="360"/>
  <c r="F171" i="360"/>
  <c r="F3" i="349"/>
  <c r="F5" i="349"/>
  <c r="F7" i="349"/>
  <c r="F9" i="349"/>
  <c r="F11" i="349"/>
  <c r="F12" i="349"/>
  <c r="F15" i="349"/>
  <c r="F17" i="349"/>
  <c r="F20" i="349"/>
  <c r="F22" i="349"/>
  <c r="F24" i="349"/>
  <c r="F27" i="349"/>
  <c r="F30" i="349"/>
  <c r="F33" i="349"/>
  <c r="F35" i="349"/>
  <c r="F37" i="349"/>
  <c r="F39" i="349"/>
  <c r="F41" i="349"/>
  <c r="F43" i="349"/>
  <c r="F44" i="349"/>
  <c r="F46" i="349"/>
  <c r="F49" i="349"/>
  <c r="F51" i="349"/>
  <c r="F54" i="349"/>
  <c r="F57" i="349"/>
  <c r="F59" i="349"/>
  <c r="F61" i="349"/>
  <c r="F63" i="349"/>
  <c r="F65" i="349"/>
  <c r="F67" i="349"/>
  <c r="F69" i="349"/>
  <c r="F71" i="349"/>
  <c r="F73" i="349"/>
  <c r="F74" i="349"/>
  <c r="F76" i="349"/>
  <c r="F78" i="349"/>
  <c r="F81" i="349"/>
  <c r="F83" i="349"/>
  <c r="F86" i="349"/>
  <c r="F88" i="349"/>
  <c r="F90" i="349"/>
  <c r="F92" i="349"/>
  <c r="F94" i="349"/>
  <c r="F96" i="349"/>
  <c r="F98" i="349"/>
  <c r="F99" i="349"/>
  <c r="F101" i="349"/>
  <c r="F103" i="349"/>
  <c r="F105" i="349"/>
  <c r="F106" i="349"/>
  <c r="F109" i="349"/>
  <c r="F111" i="349"/>
  <c r="F113" i="349"/>
  <c r="F115" i="349"/>
  <c r="F117" i="349"/>
  <c r="F119" i="349"/>
  <c r="F121" i="349"/>
  <c r="F123" i="349"/>
  <c r="F125" i="349"/>
  <c r="F127" i="349"/>
  <c r="F129" i="349"/>
  <c r="F131" i="349"/>
  <c r="F133" i="349"/>
  <c r="F135" i="349"/>
  <c r="F137" i="349"/>
  <c r="F140" i="349"/>
  <c r="F142" i="349"/>
  <c r="F144" i="349"/>
  <c r="F146" i="349"/>
  <c r="F148" i="349"/>
  <c r="F150" i="349"/>
  <c r="F152" i="349"/>
  <c r="F154" i="349"/>
  <c r="F156" i="349"/>
  <c r="F158" i="349"/>
  <c r="F160" i="349"/>
  <c r="F163" i="349"/>
  <c r="F165" i="349"/>
  <c r="G3" i="349"/>
  <c r="G5" i="349"/>
  <c r="I5" i="349" s="1"/>
  <c r="G7" i="349"/>
  <c r="I7" i="349" s="1"/>
  <c r="G9" i="349"/>
  <c r="G11" i="349"/>
  <c r="G12" i="349"/>
  <c r="G15" i="349"/>
  <c r="G17" i="349"/>
  <c r="H17" i="349" s="1"/>
  <c r="G20" i="349"/>
  <c r="G22" i="349"/>
  <c r="I22" i="349" s="1"/>
  <c r="G24" i="349"/>
  <c r="H24" i="349" s="1"/>
  <c r="G27" i="349"/>
  <c r="G30" i="349"/>
  <c r="G33" i="349"/>
  <c r="G35" i="349"/>
  <c r="G37" i="349"/>
  <c r="H37" i="349" s="1"/>
  <c r="G39" i="349"/>
  <c r="G41" i="349"/>
  <c r="I41" i="349" s="1"/>
  <c r="G43" i="349"/>
  <c r="H43" i="349" s="1"/>
  <c r="G44" i="349"/>
  <c r="G46" i="349"/>
  <c r="G49" i="349"/>
  <c r="G51" i="349"/>
  <c r="G54" i="349"/>
  <c r="I54" i="349" s="1"/>
  <c r="G57" i="349"/>
  <c r="G59" i="349"/>
  <c r="I59" i="349" s="1"/>
  <c r="G61" i="349"/>
  <c r="H61" i="349" s="1"/>
  <c r="G63" i="349"/>
  <c r="G65" i="349"/>
  <c r="G67" i="349"/>
  <c r="G69" i="349"/>
  <c r="G71" i="349"/>
  <c r="I71" i="349" s="1"/>
  <c r="G73" i="349"/>
  <c r="G74" i="349"/>
  <c r="I74" i="349" s="1"/>
  <c r="G76" i="349"/>
  <c r="H76" i="349" s="1"/>
  <c r="G78" i="349"/>
  <c r="G81" i="349"/>
  <c r="G83" i="349"/>
  <c r="G86" i="349"/>
  <c r="G88" i="349"/>
  <c r="H88" i="349" s="1"/>
  <c r="G90" i="349"/>
  <c r="G92" i="349"/>
  <c r="I92" i="349" s="1"/>
  <c r="G94" i="349"/>
  <c r="I94" i="349" s="1"/>
  <c r="G96" i="349"/>
  <c r="G98" i="349"/>
  <c r="G99" i="349"/>
  <c r="G101" i="349"/>
  <c r="G103" i="349"/>
  <c r="H103" i="349" s="1"/>
  <c r="G105" i="349"/>
  <c r="G106" i="349"/>
  <c r="I106" i="349" s="1"/>
  <c r="G109" i="349"/>
  <c r="I109" i="349" s="1"/>
  <c r="G111" i="349"/>
  <c r="G113" i="349"/>
  <c r="G115" i="349"/>
  <c r="G117" i="349"/>
  <c r="G119" i="349"/>
  <c r="H119" i="349" s="1"/>
  <c r="G121" i="349"/>
  <c r="G123" i="349"/>
  <c r="I123" i="349" s="1"/>
  <c r="G125" i="349"/>
  <c r="I125" i="349" s="1"/>
  <c r="G127" i="349"/>
  <c r="G129" i="349"/>
  <c r="G131" i="349"/>
  <c r="G133" i="349"/>
  <c r="G135" i="349"/>
  <c r="I135" i="349" s="1"/>
  <c r="G137" i="349"/>
  <c r="G140" i="349"/>
  <c r="I140" i="349" s="1"/>
  <c r="G142" i="349"/>
  <c r="I142" i="349" s="1"/>
  <c r="G144" i="349"/>
  <c r="G146" i="349"/>
  <c r="G148" i="349"/>
  <c r="G150" i="349"/>
  <c r="G152" i="349"/>
  <c r="H152" i="349" s="1"/>
  <c r="G154" i="349"/>
  <c r="G156" i="349"/>
  <c r="I156" i="349" s="1"/>
  <c r="G158" i="349"/>
  <c r="H158" i="349" s="1"/>
  <c r="G160" i="349"/>
  <c r="G163" i="349"/>
  <c r="G165" i="349"/>
  <c r="H3" i="349"/>
  <c r="H9" i="349"/>
  <c r="H11" i="349"/>
  <c r="H12" i="349"/>
  <c r="H15" i="349"/>
  <c r="H20" i="349"/>
  <c r="H27" i="349"/>
  <c r="H30" i="349"/>
  <c r="H33" i="349"/>
  <c r="H35" i="349"/>
  <c r="H39" i="349"/>
  <c r="H44" i="349"/>
  <c r="H46" i="349"/>
  <c r="H49" i="349"/>
  <c r="H51" i="349"/>
  <c r="H57" i="349"/>
  <c r="H63" i="349"/>
  <c r="H65" i="349"/>
  <c r="H67" i="349"/>
  <c r="H69" i="349"/>
  <c r="H73" i="349"/>
  <c r="H78" i="349"/>
  <c r="H81" i="349"/>
  <c r="H83" i="349"/>
  <c r="H86" i="349"/>
  <c r="H90" i="349"/>
  <c r="H96" i="349"/>
  <c r="H98" i="349"/>
  <c r="H99" i="349"/>
  <c r="H101" i="349"/>
  <c r="H105" i="349"/>
  <c r="H111" i="349"/>
  <c r="H113" i="349"/>
  <c r="H115" i="349"/>
  <c r="H117" i="349"/>
  <c r="H121" i="349"/>
  <c r="H127" i="349"/>
  <c r="H129" i="349"/>
  <c r="H131" i="349"/>
  <c r="H133" i="349"/>
  <c r="H137" i="349"/>
  <c r="H144" i="349"/>
  <c r="H146" i="349"/>
  <c r="H148" i="349"/>
  <c r="H150" i="349"/>
  <c r="H154" i="349"/>
  <c r="H160" i="349"/>
  <c r="H163" i="349"/>
  <c r="H165" i="349"/>
  <c r="I3" i="349"/>
  <c r="I9" i="349"/>
  <c r="I11" i="349"/>
  <c r="I12" i="349"/>
  <c r="I15" i="349"/>
  <c r="I20" i="349"/>
  <c r="I24" i="349"/>
  <c r="I27" i="349"/>
  <c r="I30" i="349"/>
  <c r="I33" i="349"/>
  <c r="I35" i="349"/>
  <c r="I39" i="349"/>
  <c r="I44" i="349"/>
  <c r="I46" i="349"/>
  <c r="I49" i="349"/>
  <c r="I51" i="349"/>
  <c r="I57" i="349"/>
  <c r="I63" i="349"/>
  <c r="I65" i="349"/>
  <c r="I67" i="349"/>
  <c r="I69" i="349"/>
  <c r="I73" i="349"/>
  <c r="I78" i="349"/>
  <c r="I81" i="349"/>
  <c r="I83" i="349"/>
  <c r="I86" i="349"/>
  <c r="I88" i="349"/>
  <c r="I90" i="349"/>
  <c r="I96" i="349"/>
  <c r="I98" i="349"/>
  <c r="I99" i="349"/>
  <c r="I101" i="349"/>
  <c r="I105" i="349"/>
  <c r="I111" i="349"/>
  <c r="I113" i="349"/>
  <c r="I115" i="349"/>
  <c r="I117" i="349"/>
  <c r="I121" i="349"/>
  <c r="I127" i="349"/>
  <c r="I129" i="349"/>
  <c r="I131" i="349"/>
  <c r="I133" i="349"/>
  <c r="I137" i="349"/>
  <c r="I144" i="349"/>
  <c r="I146" i="349"/>
  <c r="I148" i="349"/>
  <c r="I150" i="349"/>
  <c r="I152" i="349"/>
  <c r="I154" i="349"/>
  <c r="I158" i="349"/>
  <c r="I160" i="349"/>
  <c r="I163" i="349"/>
  <c r="I165" i="349"/>
  <c r="I171" i="360"/>
  <c r="I169" i="360"/>
  <c r="I165" i="360"/>
  <c r="I163" i="360"/>
  <c r="H163" i="360"/>
  <c r="I160" i="360"/>
  <c r="H160" i="360"/>
  <c r="H152" i="360"/>
  <c r="I150" i="360"/>
  <c r="I148" i="360"/>
  <c r="H148" i="360"/>
  <c r="I144" i="360"/>
  <c r="H144" i="360"/>
  <c r="I133" i="360"/>
  <c r="I131" i="360"/>
  <c r="H131" i="360"/>
  <c r="I126" i="360"/>
  <c r="H126" i="360"/>
  <c r="I118" i="360"/>
  <c r="H118" i="360"/>
  <c r="I116" i="360"/>
  <c r="H116" i="360"/>
  <c r="I111" i="360"/>
  <c r="H111" i="360"/>
  <c r="H105" i="360"/>
  <c r="I100" i="360"/>
  <c r="H100" i="360"/>
  <c r="I98" i="360"/>
  <c r="H98" i="360"/>
  <c r="I94" i="360"/>
  <c r="H94" i="360"/>
  <c r="H92" i="360"/>
  <c r="H90" i="360"/>
  <c r="I84" i="360"/>
  <c r="H84" i="360"/>
  <c r="I82" i="360"/>
  <c r="H82" i="360"/>
  <c r="H80" i="360"/>
  <c r="I78" i="360"/>
  <c r="H78" i="360"/>
  <c r="I74" i="360"/>
  <c r="I67" i="360"/>
  <c r="H67" i="360"/>
  <c r="I66" i="360"/>
  <c r="H66" i="360"/>
  <c r="H64" i="360"/>
  <c r="I62" i="360"/>
  <c r="H62" i="360"/>
  <c r="I52" i="360"/>
  <c r="H52" i="360"/>
  <c r="I50" i="360"/>
  <c r="H50" i="360"/>
  <c r="I46" i="360"/>
  <c r="H46" i="360"/>
  <c r="H44" i="360"/>
  <c r="I42" i="360"/>
  <c r="I36" i="360"/>
  <c r="H36" i="360"/>
  <c r="I34" i="360"/>
  <c r="H34" i="360"/>
  <c r="I30" i="360"/>
  <c r="H30" i="360"/>
  <c r="H28" i="360"/>
  <c r="H24" i="360"/>
  <c r="I19" i="360"/>
  <c r="H19" i="360"/>
  <c r="I17" i="360"/>
  <c r="H17" i="360"/>
  <c r="H16" i="360"/>
  <c r="I14" i="360"/>
  <c r="H14" i="360"/>
  <c r="I8" i="360"/>
  <c r="I3" i="360"/>
  <c r="H3" i="360"/>
  <c r="I170" i="360"/>
  <c r="H170" i="360"/>
  <c r="H168" i="360"/>
  <c r="I166" i="360"/>
  <c r="H166" i="360"/>
  <c r="H161" i="360"/>
  <c r="I155" i="360"/>
  <c r="H155" i="360"/>
  <c r="I153" i="360"/>
  <c r="H153" i="360"/>
  <c r="I149" i="360"/>
  <c r="H149" i="360"/>
  <c r="H147" i="360"/>
  <c r="I139" i="360"/>
  <c r="H139" i="360"/>
  <c r="I137" i="360"/>
  <c r="H137" i="360"/>
  <c r="I134" i="360"/>
  <c r="H134" i="360"/>
  <c r="H132" i="360"/>
  <c r="H130" i="360"/>
  <c r="I124" i="360"/>
  <c r="H124" i="360"/>
  <c r="I122" i="360"/>
  <c r="H122" i="360"/>
  <c r="H119" i="360"/>
  <c r="I117" i="360"/>
  <c r="H117" i="360"/>
  <c r="I114" i="360"/>
  <c r="H112" i="360"/>
  <c r="I108" i="360"/>
  <c r="H108" i="360"/>
  <c r="I106" i="360"/>
  <c r="H106" i="360"/>
  <c r="H104" i="360"/>
  <c r="I103" i="360"/>
  <c r="H103" i="360"/>
  <c r="I97" i="360"/>
  <c r="I93" i="360"/>
  <c r="H93" i="360"/>
  <c r="I91" i="360"/>
  <c r="H91" i="360"/>
  <c r="I87" i="360"/>
  <c r="H87" i="360"/>
  <c r="H85" i="360"/>
  <c r="I83" i="360"/>
  <c r="I77" i="360"/>
  <c r="H77" i="360"/>
  <c r="I75" i="360"/>
  <c r="H75" i="360"/>
  <c r="I71" i="360"/>
  <c r="H71" i="360"/>
  <c r="H70" i="360"/>
  <c r="I61" i="360"/>
  <c r="H61" i="360"/>
  <c r="I60" i="360"/>
  <c r="H60" i="360"/>
  <c r="H57" i="360"/>
  <c r="I55" i="360"/>
  <c r="H55" i="360"/>
  <c r="I45" i="360"/>
  <c r="H45" i="360"/>
  <c r="I43" i="360"/>
  <c r="H43" i="360"/>
  <c r="H41" i="360"/>
  <c r="I39" i="360"/>
  <c r="H39" i="360"/>
  <c r="H35" i="360"/>
  <c r="I29" i="360"/>
  <c r="H29" i="360"/>
  <c r="I27" i="360"/>
  <c r="H27" i="360"/>
  <c r="I23" i="360"/>
  <c r="H23" i="360"/>
  <c r="H22" i="360"/>
  <c r="H18" i="360"/>
  <c r="I13" i="360"/>
  <c r="H13" i="360"/>
  <c r="I11" i="360"/>
  <c r="H11" i="360"/>
  <c r="I7" i="360"/>
  <c r="H7" i="360"/>
  <c r="H5" i="360"/>
  <c r="H4" i="360"/>
  <c r="I2" i="360"/>
  <c r="H2" i="360"/>
  <c r="I171" i="359"/>
  <c r="I169" i="359"/>
  <c r="I165" i="359"/>
  <c r="H165" i="359"/>
  <c r="I163" i="359"/>
  <c r="H163" i="359"/>
  <c r="I162" i="359"/>
  <c r="H162" i="359"/>
  <c r="I160" i="359"/>
  <c r="H160" i="359"/>
  <c r="I156" i="359"/>
  <c r="H156" i="359"/>
  <c r="I154" i="359"/>
  <c r="H154" i="359"/>
  <c r="I150" i="359"/>
  <c r="H150" i="359"/>
  <c r="I148" i="359"/>
  <c r="H148" i="359"/>
  <c r="I146" i="359"/>
  <c r="H146" i="359"/>
  <c r="I144" i="359"/>
  <c r="H144" i="359"/>
  <c r="I140" i="359"/>
  <c r="H140" i="359"/>
  <c r="I138" i="359"/>
  <c r="H138" i="359"/>
  <c r="I133" i="359"/>
  <c r="H133" i="359"/>
  <c r="I131" i="359"/>
  <c r="H131" i="359"/>
  <c r="I128" i="359"/>
  <c r="H128" i="359"/>
  <c r="I126" i="359"/>
  <c r="H126" i="359"/>
  <c r="I123" i="359"/>
  <c r="H123" i="359"/>
  <c r="I121" i="359"/>
  <c r="H121" i="359"/>
  <c r="I118" i="359"/>
  <c r="H118" i="359"/>
  <c r="I116" i="359"/>
  <c r="H116" i="359"/>
  <c r="I113" i="359"/>
  <c r="H113" i="359"/>
  <c r="I111" i="359"/>
  <c r="H111" i="359"/>
  <c r="I107" i="359"/>
  <c r="H107" i="359"/>
  <c r="I105" i="359"/>
  <c r="H105" i="359"/>
  <c r="I100" i="359"/>
  <c r="H100" i="359"/>
  <c r="I98" i="359"/>
  <c r="H98" i="359"/>
  <c r="I96" i="359"/>
  <c r="H96" i="359"/>
  <c r="I94" i="359"/>
  <c r="H94" i="359"/>
  <c r="I90" i="359"/>
  <c r="H90" i="359"/>
  <c r="I88" i="359"/>
  <c r="H88" i="359"/>
  <c r="I84" i="359"/>
  <c r="H84" i="359"/>
  <c r="I82" i="359"/>
  <c r="H82" i="359"/>
  <c r="I80" i="359"/>
  <c r="H80" i="359"/>
  <c r="I78" i="359"/>
  <c r="H78" i="359"/>
  <c r="I74" i="359"/>
  <c r="H74" i="359"/>
  <c r="I72" i="359"/>
  <c r="H72" i="359"/>
  <c r="I67" i="359"/>
  <c r="H67" i="359"/>
  <c r="I66" i="359"/>
  <c r="H66" i="359"/>
  <c r="I64" i="359"/>
  <c r="H64" i="359"/>
  <c r="I62" i="359"/>
  <c r="H62" i="359"/>
  <c r="I58" i="359"/>
  <c r="H58" i="359"/>
  <c r="I56" i="359"/>
  <c r="H56" i="359"/>
  <c r="I52" i="359"/>
  <c r="H52" i="359"/>
  <c r="I50" i="359"/>
  <c r="H50" i="359"/>
  <c r="I48" i="359"/>
  <c r="H48" i="359"/>
  <c r="I46" i="359"/>
  <c r="H46" i="359"/>
  <c r="H44" i="359"/>
  <c r="I42" i="359"/>
  <c r="H42" i="359"/>
  <c r="I40" i="359"/>
  <c r="H40" i="359"/>
  <c r="I36" i="359"/>
  <c r="H36" i="359"/>
  <c r="I34" i="359"/>
  <c r="H34" i="359"/>
  <c r="I32" i="359"/>
  <c r="H32" i="359"/>
  <c r="I30" i="359"/>
  <c r="H30" i="359"/>
  <c r="I26" i="359"/>
  <c r="H26" i="359"/>
  <c r="I24" i="359"/>
  <c r="H24" i="359"/>
  <c r="I19" i="359"/>
  <c r="H19" i="359"/>
  <c r="I17" i="359"/>
  <c r="H17" i="359"/>
  <c r="I16" i="359"/>
  <c r="H16" i="359"/>
  <c r="I14" i="359"/>
  <c r="H14" i="359"/>
  <c r="I10" i="359"/>
  <c r="H10" i="359"/>
  <c r="I8" i="359"/>
  <c r="H8" i="359"/>
  <c r="I3" i="359"/>
  <c r="H3" i="359"/>
  <c r="I170" i="359"/>
  <c r="H170" i="359"/>
  <c r="I168" i="359"/>
  <c r="H168" i="359"/>
  <c r="I166" i="359"/>
  <c r="H166" i="359"/>
  <c r="I161" i="359"/>
  <c r="H161" i="359"/>
  <c r="I159" i="359"/>
  <c r="H159" i="359"/>
  <c r="I155" i="359"/>
  <c r="H155" i="359"/>
  <c r="I153" i="359"/>
  <c r="H153" i="359"/>
  <c r="I151" i="359"/>
  <c r="H151" i="359"/>
  <c r="I149" i="359"/>
  <c r="H149" i="359"/>
  <c r="H147" i="359"/>
  <c r="I145" i="359"/>
  <c r="H145" i="359"/>
  <c r="I143" i="359"/>
  <c r="H143" i="359"/>
  <c r="I139" i="359"/>
  <c r="H139" i="359"/>
  <c r="I137" i="359"/>
  <c r="H137" i="359"/>
  <c r="I135" i="359"/>
  <c r="H135" i="359"/>
  <c r="I134" i="359"/>
  <c r="H134" i="359"/>
  <c r="I130" i="359"/>
  <c r="H130" i="359"/>
  <c r="I129" i="359"/>
  <c r="H129" i="359"/>
  <c r="I124" i="359"/>
  <c r="H124" i="359"/>
  <c r="I122" i="359"/>
  <c r="H122" i="359"/>
  <c r="I119" i="359"/>
  <c r="H119" i="359"/>
  <c r="I117" i="359"/>
  <c r="H117" i="359"/>
  <c r="I114" i="359"/>
  <c r="H114" i="359"/>
  <c r="I112" i="359"/>
  <c r="H112" i="359"/>
  <c r="I108" i="359"/>
  <c r="H108" i="359"/>
  <c r="I106" i="359"/>
  <c r="H106" i="359"/>
  <c r="I104" i="359"/>
  <c r="H104" i="359"/>
  <c r="I103" i="359"/>
  <c r="H103" i="359"/>
  <c r="I99" i="359"/>
  <c r="H99" i="359"/>
  <c r="I97" i="359"/>
  <c r="H97" i="359"/>
  <c r="I93" i="359"/>
  <c r="H93" i="359"/>
  <c r="I91" i="359"/>
  <c r="H91" i="359"/>
  <c r="I89" i="359"/>
  <c r="H89" i="359"/>
  <c r="I87" i="359"/>
  <c r="H87" i="359"/>
  <c r="H85" i="359"/>
  <c r="I83" i="359"/>
  <c r="H83" i="359"/>
  <c r="I81" i="359"/>
  <c r="H81" i="359"/>
  <c r="I77" i="359"/>
  <c r="H77" i="359"/>
  <c r="I75" i="359"/>
  <c r="H75" i="359"/>
  <c r="I73" i="359"/>
  <c r="H73" i="359"/>
  <c r="I71" i="359"/>
  <c r="H71" i="359"/>
  <c r="I68" i="359"/>
  <c r="H68" i="359"/>
  <c r="I65" i="359"/>
  <c r="H65" i="359"/>
  <c r="I61" i="359"/>
  <c r="H61" i="359"/>
  <c r="I60" i="359"/>
  <c r="H60" i="359"/>
  <c r="I57" i="359"/>
  <c r="H57" i="359"/>
  <c r="I55" i="359"/>
  <c r="H55" i="359"/>
  <c r="I51" i="359"/>
  <c r="H51" i="359"/>
  <c r="I49" i="359"/>
  <c r="H49" i="359"/>
  <c r="I45" i="359"/>
  <c r="H45" i="359"/>
  <c r="I43" i="359"/>
  <c r="H43" i="359"/>
  <c r="I41" i="359"/>
  <c r="H41" i="359"/>
  <c r="I39" i="359"/>
  <c r="H39" i="359"/>
  <c r="I35" i="359"/>
  <c r="H35" i="359"/>
  <c r="I33" i="359"/>
  <c r="H33" i="359"/>
  <c r="I29" i="359"/>
  <c r="H29" i="359"/>
  <c r="I27" i="359"/>
  <c r="H27" i="359"/>
  <c r="I25" i="359"/>
  <c r="H25" i="359"/>
  <c r="I23" i="359"/>
  <c r="H23" i="359"/>
  <c r="H22" i="359"/>
  <c r="I20" i="359"/>
  <c r="H20" i="359"/>
  <c r="I18" i="359"/>
  <c r="H18" i="359"/>
  <c r="I13" i="359"/>
  <c r="H13" i="359"/>
  <c r="I11" i="359"/>
  <c r="H11" i="359"/>
  <c r="I9" i="359"/>
  <c r="H9" i="359"/>
  <c r="I7" i="359"/>
  <c r="H7" i="359"/>
  <c r="I4" i="359"/>
  <c r="H4" i="359"/>
  <c r="I2" i="359"/>
  <c r="H2" i="359"/>
  <c r="F3" i="366"/>
  <c r="F6" i="366"/>
  <c r="F8" i="366"/>
  <c r="F10" i="366"/>
  <c r="F12" i="366"/>
  <c r="F14" i="366"/>
  <c r="F16" i="366"/>
  <c r="F17" i="366"/>
  <c r="F19" i="366"/>
  <c r="F21" i="366"/>
  <c r="F24" i="366"/>
  <c r="F26" i="366"/>
  <c r="F28" i="366"/>
  <c r="F30" i="366"/>
  <c r="F32" i="366"/>
  <c r="F34" i="366"/>
  <c r="F36" i="366"/>
  <c r="F38" i="366"/>
  <c r="F40" i="366"/>
  <c r="F42" i="366"/>
  <c r="F44" i="366"/>
  <c r="F46" i="366"/>
  <c r="F48" i="366"/>
  <c r="F50" i="366"/>
  <c r="F52" i="366"/>
  <c r="F54" i="366"/>
  <c r="F56" i="366"/>
  <c r="F58" i="366"/>
  <c r="F59" i="366"/>
  <c r="F62" i="366"/>
  <c r="F64" i="366"/>
  <c r="F66" i="366"/>
  <c r="F67" i="366"/>
  <c r="F69" i="366"/>
  <c r="F72" i="366"/>
  <c r="F74" i="366"/>
  <c r="F76" i="366"/>
  <c r="F78" i="366"/>
  <c r="F80" i="366"/>
  <c r="F82" i="366"/>
  <c r="F84" i="366"/>
  <c r="F86" i="366"/>
  <c r="F88" i="366"/>
  <c r="F90" i="366"/>
  <c r="F92" i="366"/>
  <c r="F94" i="366"/>
  <c r="F96" i="366"/>
  <c r="F98" i="366"/>
  <c r="F100" i="366"/>
  <c r="F102" i="366"/>
  <c r="F105" i="366"/>
  <c r="F107" i="366"/>
  <c r="F109" i="366"/>
  <c r="F111" i="366"/>
  <c r="F113" i="366"/>
  <c r="F116" i="366"/>
  <c r="F118" i="366"/>
  <c r="F120" i="366"/>
  <c r="F121" i="366"/>
  <c r="F123" i="366"/>
  <c r="F125" i="366"/>
  <c r="F126" i="366"/>
  <c r="F128" i="366"/>
  <c r="F131" i="366"/>
  <c r="F133" i="366"/>
  <c r="F136" i="366"/>
  <c r="F138" i="366"/>
  <c r="F140" i="366"/>
  <c r="F142" i="366"/>
  <c r="F144" i="366"/>
  <c r="F146" i="366"/>
  <c r="F148" i="366"/>
  <c r="F150" i="366"/>
  <c r="F152" i="366"/>
  <c r="F154" i="366"/>
  <c r="F156" i="366"/>
  <c r="F158" i="366"/>
  <c r="F160" i="366"/>
  <c r="F162" i="366"/>
  <c r="F163" i="366"/>
  <c r="F165" i="366"/>
  <c r="F167" i="366"/>
  <c r="F169" i="366"/>
  <c r="F171" i="366"/>
  <c r="G3" i="366"/>
  <c r="H3" i="366" s="1"/>
  <c r="G6" i="366"/>
  <c r="G8" i="366"/>
  <c r="G10" i="366"/>
  <c r="H10" i="366" s="1"/>
  <c r="G12" i="366"/>
  <c r="G14" i="366"/>
  <c r="H14" i="366" s="1"/>
  <c r="G16" i="366"/>
  <c r="H16" i="366" s="1"/>
  <c r="G17" i="366"/>
  <c r="I17" i="366" s="1"/>
  <c r="G19" i="366"/>
  <c r="I19" i="366" s="1"/>
  <c r="G21" i="366"/>
  <c r="G24" i="366"/>
  <c r="G26" i="366"/>
  <c r="H26" i="366" s="1"/>
  <c r="G28" i="366"/>
  <c r="G30" i="366"/>
  <c r="H30" i="366" s="1"/>
  <c r="G32" i="366"/>
  <c r="I32" i="366" s="1"/>
  <c r="G34" i="366"/>
  <c r="I34" i="366" s="1"/>
  <c r="G36" i="366"/>
  <c r="I36" i="366" s="1"/>
  <c r="G38" i="366"/>
  <c r="G40" i="366"/>
  <c r="G42" i="366"/>
  <c r="H42" i="366" s="1"/>
  <c r="G44" i="366"/>
  <c r="G46" i="366"/>
  <c r="H46" i="366" s="1"/>
  <c r="G48" i="366"/>
  <c r="H48" i="366" s="1"/>
  <c r="G50" i="366"/>
  <c r="I50" i="366" s="1"/>
  <c r="G52" i="366"/>
  <c r="H52" i="366" s="1"/>
  <c r="G54" i="366"/>
  <c r="G56" i="366"/>
  <c r="G58" i="366"/>
  <c r="H58" i="366" s="1"/>
  <c r="G59" i="366"/>
  <c r="G62" i="366"/>
  <c r="H62" i="366" s="1"/>
  <c r="G64" i="366"/>
  <c r="H64" i="366" s="1"/>
  <c r="G66" i="366"/>
  <c r="I66" i="366" s="1"/>
  <c r="G67" i="366"/>
  <c r="I67" i="366" s="1"/>
  <c r="G69" i="366"/>
  <c r="G72" i="366"/>
  <c r="G74" i="366"/>
  <c r="H74" i="366" s="1"/>
  <c r="G76" i="366"/>
  <c r="G78" i="366"/>
  <c r="H78" i="366" s="1"/>
  <c r="G80" i="366"/>
  <c r="H80" i="366" s="1"/>
  <c r="G82" i="366"/>
  <c r="I82" i="366" s="1"/>
  <c r="G84" i="366"/>
  <c r="H84" i="366" s="1"/>
  <c r="G86" i="366"/>
  <c r="G88" i="366"/>
  <c r="G90" i="366"/>
  <c r="H90" i="366" s="1"/>
  <c r="G92" i="366"/>
  <c r="G94" i="366"/>
  <c r="H94" i="366" s="1"/>
  <c r="G96" i="366"/>
  <c r="I96" i="366" s="1"/>
  <c r="G98" i="366"/>
  <c r="I98" i="366" s="1"/>
  <c r="G100" i="366"/>
  <c r="I100" i="366" s="1"/>
  <c r="G102" i="366"/>
  <c r="G105" i="366"/>
  <c r="G107" i="366"/>
  <c r="H107" i="366" s="1"/>
  <c r="G109" i="366"/>
  <c r="G111" i="366"/>
  <c r="H111" i="366" s="1"/>
  <c r="G113" i="366"/>
  <c r="H113" i="366" s="1"/>
  <c r="G116" i="366"/>
  <c r="I116" i="366" s="1"/>
  <c r="G118" i="366"/>
  <c r="H118" i="366" s="1"/>
  <c r="G120" i="366"/>
  <c r="G121" i="366"/>
  <c r="G123" i="366"/>
  <c r="H123" i="366" s="1"/>
  <c r="G125" i="366"/>
  <c r="G126" i="366"/>
  <c r="H126" i="366" s="1"/>
  <c r="G128" i="366"/>
  <c r="H128" i="366" s="1"/>
  <c r="G131" i="366"/>
  <c r="I131" i="366" s="1"/>
  <c r="G133" i="366"/>
  <c r="I133" i="366" s="1"/>
  <c r="G136" i="366"/>
  <c r="G138" i="366"/>
  <c r="G140" i="366"/>
  <c r="H140" i="366" s="1"/>
  <c r="G142" i="366"/>
  <c r="G144" i="366"/>
  <c r="H144" i="366" s="1"/>
  <c r="G146" i="366"/>
  <c r="H146" i="366" s="1"/>
  <c r="G148" i="366"/>
  <c r="I148" i="366" s="1"/>
  <c r="G150" i="366"/>
  <c r="I150" i="366" s="1"/>
  <c r="G152" i="366"/>
  <c r="G154" i="366"/>
  <c r="G156" i="366"/>
  <c r="H156" i="366" s="1"/>
  <c r="G158" i="366"/>
  <c r="G160" i="366"/>
  <c r="H160" i="366" s="1"/>
  <c r="G162" i="366"/>
  <c r="I162" i="366" s="1"/>
  <c r="G163" i="366"/>
  <c r="I163" i="366" s="1"/>
  <c r="G165" i="366"/>
  <c r="I165" i="366" s="1"/>
  <c r="G167" i="366"/>
  <c r="G169" i="366"/>
  <c r="G171" i="366"/>
  <c r="H171" i="366" s="1"/>
  <c r="H6" i="366"/>
  <c r="H8" i="366"/>
  <c r="H12" i="366"/>
  <c r="H19" i="366"/>
  <c r="H21" i="366"/>
  <c r="H24" i="366"/>
  <c r="H28" i="366"/>
  <c r="H34" i="366"/>
  <c r="H38" i="366"/>
  <c r="H40" i="366"/>
  <c r="H44" i="366"/>
  <c r="H54" i="366"/>
  <c r="H56" i="366"/>
  <c r="H59" i="366"/>
  <c r="H69" i="366"/>
  <c r="H72" i="366"/>
  <c r="H76" i="366"/>
  <c r="H86" i="366"/>
  <c r="H88" i="366"/>
  <c r="H92" i="366"/>
  <c r="H96" i="366"/>
  <c r="H102" i="366"/>
  <c r="H105" i="366"/>
  <c r="H109" i="366"/>
  <c r="H120" i="366"/>
  <c r="H121" i="366"/>
  <c r="H125" i="366"/>
  <c r="H136" i="366"/>
  <c r="H138" i="366"/>
  <c r="H142" i="366"/>
  <c r="H152" i="366"/>
  <c r="H154" i="366"/>
  <c r="H158" i="366"/>
  <c r="H162" i="366"/>
  <c r="H167" i="366"/>
  <c r="H169" i="366"/>
  <c r="I6" i="366"/>
  <c r="I8" i="366"/>
  <c r="I10" i="366"/>
  <c r="I12" i="366"/>
  <c r="I14" i="366"/>
  <c r="I21" i="366"/>
  <c r="I24" i="366"/>
  <c r="I26" i="366"/>
  <c r="I28" i="366"/>
  <c r="I38" i="366"/>
  <c r="I40" i="366"/>
  <c r="I42" i="366"/>
  <c r="I44" i="366"/>
  <c r="I54" i="366"/>
  <c r="I56" i="366"/>
  <c r="I58" i="366"/>
  <c r="I59" i="366"/>
  <c r="I69" i="366"/>
  <c r="I72" i="366"/>
  <c r="I74" i="366"/>
  <c r="I76" i="366"/>
  <c r="I86" i="366"/>
  <c r="I88" i="366"/>
  <c r="I90" i="366"/>
  <c r="I92" i="366"/>
  <c r="I102" i="366"/>
  <c r="I105" i="366"/>
  <c r="I107" i="366"/>
  <c r="I109" i="366"/>
  <c r="I111" i="366"/>
  <c r="I120" i="366"/>
  <c r="I121" i="366"/>
  <c r="I123" i="366"/>
  <c r="I125" i="366"/>
  <c r="I136" i="366"/>
  <c r="I138" i="366"/>
  <c r="I142" i="366"/>
  <c r="I152" i="366"/>
  <c r="I154" i="366"/>
  <c r="I156" i="366"/>
  <c r="I158" i="366"/>
  <c r="I167" i="366"/>
  <c r="I169" i="366"/>
  <c r="G170" i="366"/>
  <c r="F170" i="366"/>
  <c r="G168" i="366"/>
  <c r="I168" i="366" s="1"/>
  <c r="F168" i="366"/>
  <c r="G166" i="366"/>
  <c r="F166" i="366"/>
  <c r="I164" i="366"/>
  <c r="G164" i="366"/>
  <c r="H164" i="366" s="1"/>
  <c r="F164" i="366"/>
  <c r="G161" i="366"/>
  <c r="F161" i="366"/>
  <c r="G159" i="366"/>
  <c r="H159" i="366" s="1"/>
  <c r="F159" i="366"/>
  <c r="G157" i="366"/>
  <c r="F157" i="366"/>
  <c r="G155" i="366"/>
  <c r="I155" i="366" s="1"/>
  <c r="F155" i="366"/>
  <c r="G153" i="366"/>
  <c r="F153" i="366"/>
  <c r="G151" i="366"/>
  <c r="I151" i="366" s="1"/>
  <c r="F151" i="366"/>
  <c r="G149" i="366"/>
  <c r="F149" i="366"/>
  <c r="G147" i="366"/>
  <c r="H147" i="366" s="1"/>
  <c r="F147" i="366"/>
  <c r="G145" i="366"/>
  <c r="F145" i="366"/>
  <c r="G143" i="366"/>
  <c r="H143" i="366" s="1"/>
  <c r="F143" i="366"/>
  <c r="G141" i="366"/>
  <c r="F141" i="366"/>
  <c r="G139" i="366"/>
  <c r="I139" i="366" s="1"/>
  <c r="F139" i="366"/>
  <c r="G137" i="366"/>
  <c r="F137" i="366"/>
  <c r="H135" i="366"/>
  <c r="G135" i="366"/>
  <c r="I135" i="366" s="1"/>
  <c r="F135" i="366"/>
  <c r="G134" i="366"/>
  <c r="F134" i="366"/>
  <c r="I132" i="366"/>
  <c r="G132" i="366"/>
  <c r="H132" i="366" s="1"/>
  <c r="F132" i="366"/>
  <c r="G130" i="366"/>
  <c r="F130" i="366"/>
  <c r="G129" i="366"/>
  <c r="H129" i="366" s="1"/>
  <c r="F129" i="366"/>
  <c r="G127" i="366"/>
  <c r="F127" i="366"/>
  <c r="G124" i="366"/>
  <c r="I124" i="366" s="1"/>
  <c r="F124" i="366"/>
  <c r="G122" i="366"/>
  <c r="F122" i="366"/>
  <c r="G119" i="366"/>
  <c r="I119" i="366" s="1"/>
  <c r="F119" i="366"/>
  <c r="G117" i="366"/>
  <c r="F117" i="366"/>
  <c r="G115" i="366"/>
  <c r="I115" i="366" s="1"/>
  <c r="F115" i="366"/>
  <c r="G114" i="366"/>
  <c r="F114" i="366"/>
  <c r="G112" i="366"/>
  <c r="I112" i="366" s="1"/>
  <c r="F112" i="366"/>
  <c r="G110" i="366"/>
  <c r="F110" i="366"/>
  <c r="G108" i="366"/>
  <c r="I108" i="366" s="1"/>
  <c r="F108" i="366"/>
  <c r="G106" i="366"/>
  <c r="F106" i="366"/>
  <c r="G104" i="366"/>
  <c r="I104" i="366" s="1"/>
  <c r="F104" i="366"/>
  <c r="G103" i="366"/>
  <c r="F103" i="366"/>
  <c r="G101" i="366"/>
  <c r="I101" i="366" s="1"/>
  <c r="F101" i="366"/>
  <c r="G99" i="366"/>
  <c r="F99" i="366"/>
  <c r="G97" i="366"/>
  <c r="H97" i="366" s="1"/>
  <c r="F97" i="366"/>
  <c r="G95" i="366"/>
  <c r="F95" i="366"/>
  <c r="G93" i="366"/>
  <c r="I93" i="366" s="1"/>
  <c r="F93" i="366"/>
  <c r="G91" i="366"/>
  <c r="F91" i="366"/>
  <c r="G89" i="366"/>
  <c r="I89" i="366" s="1"/>
  <c r="F89" i="366"/>
  <c r="G87" i="366"/>
  <c r="F87" i="366"/>
  <c r="G85" i="366"/>
  <c r="H85" i="366" s="1"/>
  <c r="F85" i="366"/>
  <c r="G83" i="366"/>
  <c r="F83" i="366"/>
  <c r="G81" i="366"/>
  <c r="I81" i="366" s="1"/>
  <c r="F81" i="366"/>
  <c r="G79" i="366"/>
  <c r="I79" i="366" s="1"/>
  <c r="F79" i="366"/>
  <c r="G77" i="366"/>
  <c r="I77" i="366" s="1"/>
  <c r="F77" i="366"/>
  <c r="G75" i="366"/>
  <c r="I75" i="366" s="1"/>
  <c r="F75" i="366"/>
  <c r="G73" i="366"/>
  <c r="H73" i="366" s="1"/>
  <c r="F73" i="366"/>
  <c r="G71" i="366"/>
  <c r="I71" i="366" s="1"/>
  <c r="F71" i="366"/>
  <c r="G70" i="366"/>
  <c r="I70" i="366" s="1"/>
  <c r="F70" i="366"/>
  <c r="G68" i="366"/>
  <c r="I68" i="366" s="1"/>
  <c r="F68" i="366"/>
  <c r="G65" i="366"/>
  <c r="H65" i="366" s="1"/>
  <c r="F65" i="366"/>
  <c r="G63" i="366"/>
  <c r="I63" i="366" s="1"/>
  <c r="F63" i="366"/>
  <c r="G61" i="366"/>
  <c r="H61" i="366" s="1"/>
  <c r="F61" i="366"/>
  <c r="G60" i="366"/>
  <c r="I60" i="366" s="1"/>
  <c r="F60" i="366"/>
  <c r="G57" i="366"/>
  <c r="I57" i="366" s="1"/>
  <c r="F57" i="366"/>
  <c r="G55" i="366"/>
  <c r="I55" i="366" s="1"/>
  <c r="F55" i="366"/>
  <c r="I53" i="366"/>
  <c r="G53" i="366"/>
  <c r="H53" i="366" s="1"/>
  <c r="F53" i="366"/>
  <c r="G51" i="366"/>
  <c r="I51" i="366" s="1"/>
  <c r="F51" i="366"/>
  <c r="G49" i="366"/>
  <c r="H49" i="366" s="1"/>
  <c r="F49" i="366"/>
  <c r="G47" i="366"/>
  <c r="I47" i="366" s="1"/>
  <c r="F47" i="366"/>
  <c r="G45" i="366"/>
  <c r="H45" i="366" s="1"/>
  <c r="F45" i="366"/>
  <c r="G43" i="366"/>
  <c r="I43" i="366" s="1"/>
  <c r="F43" i="366"/>
  <c r="G41" i="366"/>
  <c r="I41" i="366" s="1"/>
  <c r="F41" i="366"/>
  <c r="G39" i="366"/>
  <c r="I39" i="366" s="1"/>
  <c r="F39" i="366"/>
  <c r="G37" i="366"/>
  <c r="H37" i="366" s="1"/>
  <c r="F37" i="366"/>
  <c r="G35" i="366"/>
  <c r="I35" i="366" s="1"/>
  <c r="F35" i="366"/>
  <c r="G33" i="366"/>
  <c r="H33" i="366" s="1"/>
  <c r="F33" i="366"/>
  <c r="G31" i="366"/>
  <c r="I31" i="366" s="1"/>
  <c r="F31" i="366"/>
  <c r="H29" i="366"/>
  <c r="G29" i="366"/>
  <c r="I29" i="366" s="1"/>
  <c r="F29" i="366"/>
  <c r="G27" i="366"/>
  <c r="I27" i="366" s="1"/>
  <c r="F27" i="366"/>
  <c r="G25" i="366"/>
  <c r="H25" i="366" s="1"/>
  <c r="F25" i="366"/>
  <c r="H23" i="366"/>
  <c r="G23" i="366"/>
  <c r="I23" i="366" s="1"/>
  <c r="F23" i="366"/>
  <c r="I22" i="366"/>
  <c r="G22" i="366"/>
  <c r="H22" i="366" s="1"/>
  <c r="F22" i="366"/>
  <c r="G20" i="366"/>
  <c r="I20" i="366" s="1"/>
  <c r="F20" i="366"/>
  <c r="G18" i="366"/>
  <c r="I18" i="366" s="1"/>
  <c r="F18" i="366"/>
  <c r="G15" i="366"/>
  <c r="I15" i="366" s="1"/>
  <c r="F15" i="366"/>
  <c r="G13" i="366"/>
  <c r="H13" i="366" s="1"/>
  <c r="F13" i="366"/>
  <c r="G11" i="366"/>
  <c r="I11" i="366" s="1"/>
  <c r="F11" i="366"/>
  <c r="I9" i="366"/>
  <c r="H9" i="366"/>
  <c r="G9" i="366"/>
  <c r="F9" i="366"/>
  <c r="G7" i="366"/>
  <c r="I7" i="366" s="1"/>
  <c r="F7" i="366"/>
  <c r="G5" i="366"/>
  <c r="I5" i="366" s="1"/>
  <c r="F5" i="366"/>
  <c r="G4" i="366"/>
  <c r="I4" i="366" s="1"/>
  <c r="F4" i="366"/>
  <c r="G2" i="366"/>
  <c r="I2" i="366" s="1"/>
  <c r="F2" i="366"/>
  <c r="I116" i="357" l="1"/>
  <c r="H216" i="355"/>
  <c r="I68" i="355"/>
  <c r="H110" i="361"/>
  <c r="H49" i="361"/>
  <c r="H126" i="361"/>
  <c r="H66" i="361"/>
  <c r="H164" i="361"/>
  <c r="H142" i="361"/>
  <c r="H82" i="361"/>
  <c r="I16" i="361"/>
  <c r="H54" i="349"/>
  <c r="H33" i="360"/>
  <c r="H40" i="360"/>
  <c r="H121" i="360"/>
  <c r="H129" i="360"/>
  <c r="H109" i="360"/>
  <c r="I140" i="360"/>
  <c r="H156" i="360"/>
  <c r="H49" i="360"/>
  <c r="H56" i="360"/>
  <c r="H123" i="360"/>
  <c r="H143" i="360"/>
  <c r="H72" i="360"/>
  <c r="H65" i="360"/>
  <c r="H81" i="360"/>
  <c r="H159" i="360"/>
  <c r="H88" i="360"/>
  <c r="I62" i="366"/>
  <c r="I49" i="366"/>
  <c r="I140" i="366"/>
  <c r="I30" i="366"/>
  <c r="I78" i="366"/>
  <c r="I129" i="366"/>
  <c r="I160" i="366"/>
  <c r="H100" i="366"/>
  <c r="I46" i="366"/>
  <c r="H133" i="366"/>
  <c r="H98" i="366"/>
  <c r="I94" i="366"/>
  <c r="H6" i="357"/>
  <c r="I64" i="357"/>
  <c r="H90" i="355"/>
  <c r="H149" i="355"/>
  <c r="H146" i="355"/>
  <c r="H72" i="361"/>
  <c r="I17" i="349"/>
  <c r="H135" i="349"/>
  <c r="I103" i="349"/>
  <c r="I37" i="349"/>
  <c r="H94" i="349"/>
  <c r="H71" i="349"/>
  <c r="I119" i="349"/>
  <c r="H51" i="360"/>
  <c r="H10" i="360"/>
  <c r="H99" i="360"/>
  <c r="H58" i="360"/>
  <c r="H20" i="360"/>
  <c r="H107" i="360"/>
  <c r="H145" i="360"/>
  <c r="H68" i="360"/>
  <c r="H26" i="360"/>
  <c r="H109" i="359"/>
  <c r="H81" i="366"/>
  <c r="I118" i="366"/>
  <c r="I52" i="366"/>
  <c r="H67" i="366"/>
  <c r="H36" i="366"/>
  <c r="I13" i="366"/>
  <c r="I25" i="366"/>
  <c r="I3" i="366"/>
  <c r="H70" i="366"/>
  <c r="H119" i="366"/>
  <c r="I171" i="366"/>
  <c r="I126" i="366"/>
  <c r="H150" i="366"/>
  <c r="H32" i="366"/>
  <c r="I84" i="366"/>
  <c r="I144" i="366"/>
  <c r="H165" i="366"/>
  <c r="H163" i="366"/>
  <c r="I97" i="357"/>
  <c r="I159" i="357"/>
  <c r="H174" i="355"/>
  <c r="I207" i="355"/>
  <c r="I104" i="355"/>
  <c r="I77" i="355"/>
  <c r="I20" i="355"/>
  <c r="H196" i="355"/>
  <c r="H171" i="355"/>
  <c r="H116" i="355"/>
  <c r="H6" i="355"/>
  <c r="I81" i="355"/>
  <c r="I231" i="355"/>
  <c r="I127" i="355"/>
  <c r="I101" i="355"/>
  <c r="I48" i="355"/>
  <c r="H219" i="355"/>
  <c r="H194" i="355"/>
  <c r="H139" i="355"/>
  <c r="H33" i="355"/>
  <c r="H5" i="355"/>
  <c r="H55" i="361"/>
  <c r="I167" i="361"/>
  <c r="I152" i="361"/>
  <c r="I136" i="361"/>
  <c r="I120" i="361"/>
  <c r="I105" i="361"/>
  <c r="I90" i="361"/>
  <c r="I75" i="361"/>
  <c r="I59" i="361"/>
  <c r="I43" i="361"/>
  <c r="I26" i="361"/>
  <c r="I9" i="361"/>
  <c r="H87" i="361"/>
  <c r="H101" i="361"/>
  <c r="I148" i="361"/>
  <c r="I132" i="361"/>
  <c r="I116" i="361"/>
  <c r="I22" i="361"/>
  <c r="I5" i="361"/>
  <c r="H109" i="349"/>
  <c r="I61" i="349"/>
  <c r="H125" i="349"/>
  <c r="I43" i="349"/>
  <c r="I76" i="349"/>
  <c r="H142" i="349"/>
  <c r="H7" i="349"/>
  <c r="H25" i="360"/>
  <c r="H53" i="360"/>
  <c r="H89" i="360"/>
  <c r="H115" i="360"/>
  <c r="H151" i="360"/>
  <c r="H12" i="360"/>
  <c r="H48" i="360"/>
  <c r="H76" i="360"/>
  <c r="H113" i="360"/>
  <c r="H9" i="360"/>
  <c r="H37" i="360"/>
  <c r="H73" i="360"/>
  <c r="H101" i="360"/>
  <c r="H135" i="360"/>
  <c r="H164" i="360"/>
  <c r="H32" i="360"/>
  <c r="H59" i="360"/>
  <c r="H96" i="360"/>
  <c r="H125" i="360"/>
  <c r="H5" i="359"/>
  <c r="H70" i="359"/>
  <c r="H132" i="359"/>
  <c r="H28" i="359"/>
  <c r="H92" i="359"/>
  <c r="H158" i="359"/>
  <c r="H53" i="359"/>
  <c r="H115" i="359"/>
  <c r="H12" i="359"/>
  <c r="H76" i="359"/>
  <c r="H142" i="359"/>
  <c r="H37" i="359"/>
  <c r="H101" i="359"/>
  <c r="H164" i="359"/>
  <c r="H59" i="359"/>
  <c r="H125" i="359"/>
  <c r="H115" i="366"/>
  <c r="H151" i="366"/>
  <c r="I147" i="366"/>
  <c r="H35" i="366"/>
  <c r="I73" i="366"/>
  <c r="I85" i="366"/>
  <c r="I97" i="366"/>
  <c r="I143" i="366"/>
  <c r="H168" i="366"/>
  <c r="I146" i="366"/>
  <c r="I128" i="366"/>
  <c r="I113" i="366"/>
  <c r="I80" i="366"/>
  <c r="I64" i="366"/>
  <c r="I48" i="366"/>
  <c r="I16" i="366"/>
  <c r="H148" i="366"/>
  <c r="H82" i="366"/>
  <c r="H17" i="366"/>
  <c r="H104" i="366"/>
  <c r="I37" i="366"/>
  <c r="H116" i="366"/>
  <c r="H50" i="366"/>
  <c r="H5" i="366"/>
  <c r="I33" i="366"/>
  <c r="H60" i="366"/>
  <c r="H89" i="366"/>
  <c r="H101" i="366"/>
  <c r="H112" i="366"/>
  <c r="I159" i="366"/>
  <c r="H131" i="366"/>
  <c r="H66" i="366"/>
  <c r="I45" i="366"/>
  <c r="I65" i="366"/>
  <c r="H234" i="355"/>
  <c r="H210" i="355"/>
  <c r="H188" i="355"/>
  <c r="H163" i="355"/>
  <c r="H142" i="355"/>
  <c r="H119" i="355"/>
  <c r="H95" i="355"/>
  <c r="H71" i="355"/>
  <c r="H51" i="355"/>
  <c r="H23" i="355"/>
  <c r="I141" i="357"/>
  <c r="I72" i="357"/>
  <c r="I14" i="357"/>
  <c r="H124" i="357"/>
  <c r="H55" i="357"/>
  <c r="H136" i="360"/>
  <c r="H167" i="360"/>
  <c r="H15" i="360"/>
  <c r="H31" i="360"/>
  <c r="H47" i="360"/>
  <c r="H63" i="360"/>
  <c r="H79" i="360"/>
  <c r="H95" i="360"/>
  <c r="H110" i="360"/>
  <c r="H127" i="360"/>
  <c r="H141" i="360"/>
  <c r="H157" i="360"/>
  <c r="H6" i="360"/>
  <c r="H21" i="360"/>
  <c r="H38" i="360"/>
  <c r="H54" i="360"/>
  <c r="H69" i="360"/>
  <c r="H86" i="360"/>
  <c r="H102" i="360"/>
  <c r="H120" i="360"/>
  <c r="H15" i="359"/>
  <c r="H47" i="359"/>
  <c r="H63" i="359"/>
  <c r="H79" i="359"/>
  <c r="H95" i="359"/>
  <c r="H110" i="359"/>
  <c r="H127" i="359"/>
  <c r="H141" i="359"/>
  <c r="H157" i="359"/>
  <c r="H6" i="359"/>
  <c r="H21" i="359"/>
  <c r="H38" i="359"/>
  <c r="H54" i="359"/>
  <c r="H69" i="359"/>
  <c r="H86" i="359"/>
  <c r="H102" i="359"/>
  <c r="H120" i="359"/>
  <c r="H136" i="359"/>
  <c r="H152" i="359"/>
  <c r="H167" i="359"/>
  <c r="H31" i="359"/>
  <c r="H156" i="349"/>
  <c r="H140" i="349"/>
  <c r="H123" i="349"/>
  <c r="H106" i="349"/>
  <c r="H92" i="349"/>
  <c r="H74" i="349"/>
  <c r="H59" i="349"/>
  <c r="H41" i="349"/>
  <c r="H22" i="349"/>
  <c r="H5" i="349"/>
  <c r="H128" i="360"/>
  <c r="H133" i="360"/>
  <c r="H138" i="360"/>
  <c r="H142" i="360"/>
  <c r="H146" i="360"/>
  <c r="H150" i="360"/>
  <c r="H154" i="360"/>
  <c r="H158" i="360"/>
  <c r="H162" i="360"/>
  <c r="H165" i="360"/>
  <c r="H169" i="360"/>
  <c r="H171" i="360"/>
  <c r="H169" i="359"/>
  <c r="H171" i="359"/>
  <c r="H2" i="366"/>
  <c r="H41" i="366"/>
  <c r="H57" i="366"/>
  <c r="I61" i="366"/>
  <c r="H77" i="366"/>
  <c r="H93" i="366"/>
  <c r="H108" i="366"/>
  <c r="H124" i="366"/>
  <c r="H139" i="366"/>
  <c r="H155" i="366"/>
  <c r="H18" i="366"/>
  <c r="H27" i="366"/>
  <c r="H68" i="366"/>
  <c r="H4" i="366"/>
  <c r="H55" i="366"/>
  <c r="I161" i="366"/>
  <c r="H161" i="366"/>
  <c r="H75" i="366"/>
  <c r="I83" i="366"/>
  <c r="H83" i="366"/>
  <c r="I114" i="366"/>
  <c r="H114" i="366"/>
  <c r="H15" i="366"/>
  <c r="H47" i="366"/>
  <c r="I110" i="366"/>
  <c r="H110" i="366"/>
  <c r="I127" i="366"/>
  <c r="H127" i="366"/>
  <c r="H43" i="366"/>
  <c r="H7" i="366"/>
  <c r="H39" i="366"/>
  <c r="H71" i="366"/>
  <c r="I91" i="366"/>
  <c r="H91" i="366"/>
  <c r="I106" i="366"/>
  <c r="H106" i="366"/>
  <c r="I122" i="366"/>
  <c r="H122" i="366"/>
  <c r="I137" i="366"/>
  <c r="H137" i="366"/>
  <c r="I153" i="366"/>
  <c r="H153" i="366"/>
  <c r="I170" i="366"/>
  <c r="H170" i="366"/>
  <c r="I99" i="366"/>
  <c r="H99" i="366"/>
  <c r="I145" i="366"/>
  <c r="H145" i="366"/>
  <c r="H20" i="366"/>
  <c r="H79" i="366"/>
  <c r="I157" i="366"/>
  <c r="H157" i="366"/>
  <c r="H11" i="366"/>
  <c r="I130" i="366"/>
  <c r="H130" i="366"/>
  <c r="H51" i="366"/>
  <c r="I141" i="366"/>
  <c r="H141" i="366"/>
  <c r="H31" i="366"/>
  <c r="H63" i="366"/>
  <c r="I87" i="366"/>
  <c r="H87" i="366"/>
  <c r="I103" i="366"/>
  <c r="H103" i="366"/>
  <c r="I117" i="366"/>
  <c r="H117" i="366"/>
  <c r="I134" i="366"/>
  <c r="H134" i="366"/>
  <c r="I149" i="366"/>
  <c r="H149" i="366"/>
  <c r="I166" i="366"/>
  <c r="H166" i="366"/>
  <c r="I95" i="366"/>
  <c r="H95" i="366"/>
  <c r="F2" i="364"/>
  <c r="F6" i="364"/>
  <c r="F10" i="364"/>
  <c r="F14" i="364"/>
  <c r="F18" i="364"/>
  <c r="F25" i="364"/>
  <c r="F26" i="364"/>
  <c r="F29" i="364"/>
  <c r="F32" i="364"/>
  <c r="F38" i="364"/>
  <c r="F42" i="364"/>
  <c r="F45" i="364"/>
  <c r="F47" i="364"/>
  <c r="F50" i="364"/>
  <c r="F52" i="364"/>
  <c r="F55" i="364"/>
  <c r="F56" i="364"/>
  <c r="F60" i="364"/>
  <c r="F64" i="364"/>
  <c r="F68" i="364"/>
  <c r="F72" i="364"/>
  <c r="F77" i="364"/>
  <c r="F34" i="364"/>
  <c r="F82" i="364"/>
  <c r="F85" i="364"/>
  <c r="F87" i="364"/>
  <c r="F91" i="364"/>
  <c r="F95" i="364"/>
  <c r="F97" i="364"/>
  <c r="F102" i="364"/>
  <c r="F104" i="364"/>
  <c r="F108" i="364"/>
  <c r="F112" i="364"/>
  <c r="F116" i="364"/>
  <c r="F120" i="364"/>
  <c r="F124" i="364"/>
  <c r="F128" i="364"/>
  <c r="F132" i="364"/>
  <c r="F136" i="364"/>
  <c r="F141" i="364"/>
  <c r="F145" i="364"/>
  <c r="F149" i="364"/>
  <c r="F151" i="364"/>
  <c r="F155" i="364"/>
  <c r="F159" i="364"/>
  <c r="F161" i="364"/>
  <c r="F164" i="364"/>
  <c r="F5" i="364"/>
  <c r="F9" i="364"/>
  <c r="F12" i="364"/>
  <c r="F17" i="364"/>
  <c r="F22" i="364"/>
  <c r="F30" i="364"/>
  <c r="F35" i="364"/>
  <c r="F39" i="364"/>
  <c r="F44" i="364"/>
  <c r="F46" i="364"/>
  <c r="F51" i="364"/>
  <c r="F57" i="364"/>
  <c r="F61" i="364"/>
  <c r="F65" i="364"/>
  <c r="F69" i="364"/>
  <c r="F73" i="364"/>
  <c r="F76" i="364"/>
  <c r="F81" i="364"/>
  <c r="F86" i="364"/>
  <c r="F90" i="364"/>
  <c r="F94" i="364"/>
  <c r="F98" i="364"/>
  <c r="F101" i="364"/>
  <c r="F105" i="364"/>
  <c r="F109" i="364"/>
  <c r="F111" i="364"/>
  <c r="F115" i="364"/>
  <c r="F119" i="364"/>
  <c r="F123" i="364"/>
  <c r="F127" i="364"/>
  <c r="F131" i="364"/>
  <c r="F135" i="364"/>
  <c r="F140" i="364"/>
  <c r="F144" i="364"/>
  <c r="F148" i="364"/>
  <c r="F152" i="364"/>
  <c r="F156" i="364"/>
  <c r="F158" i="364"/>
  <c r="F163" i="364"/>
  <c r="F4" i="364"/>
  <c r="F8" i="364"/>
  <c r="F13" i="364"/>
  <c r="F16" i="364"/>
  <c r="F21" i="364"/>
  <c r="F23" i="364"/>
  <c r="F28" i="364"/>
  <c r="F31" i="364"/>
  <c r="F36" i="364"/>
  <c r="F40" i="364"/>
  <c r="F19" i="364"/>
  <c r="F48" i="364"/>
  <c r="F53" i="364"/>
  <c r="F58" i="364"/>
  <c r="F62" i="364"/>
  <c r="F66" i="364"/>
  <c r="F70" i="364"/>
  <c r="F75" i="364"/>
  <c r="F79" i="364"/>
  <c r="F80" i="364"/>
  <c r="F84" i="364"/>
  <c r="F89" i="364"/>
  <c r="F93" i="364"/>
  <c r="F100" i="364"/>
  <c r="F107" i="364"/>
  <c r="F110" i="364"/>
  <c r="F114" i="364"/>
  <c r="F118" i="364"/>
  <c r="F122" i="364"/>
  <c r="F126" i="364"/>
  <c r="F130" i="364"/>
  <c r="F134" i="364"/>
  <c r="F138" i="364"/>
  <c r="F139" i="364"/>
  <c r="F143" i="364"/>
  <c r="F147" i="364"/>
  <c r="F153" i="364"/>
  <c r="F157" i="364"/>
  <c r="F162" i="364"/>
  <c r="F3" i="364"/>
  <c r="F7" i="364"/>
  <c r="F11" i="364"/>
  <c r="F15" i="364"/>
  <c r="F20" i="364"/>
  <c r="F24" i="364"/>
  <c r="F27" i="364"/>
  <c r="F33" i="364"/>
  <c r="F37" i="364"/>
  <c r="F41" i="364"/>
  <c r="F43" i="364"/>
  <c r="F49" i="364"/>
  <c r="F54" i="364"/>
  <c r="F59" i="364"/>
  <c r="F63" i="364"/>
  <c r="F67" i="364"/>
  <c r="F71" i="364"/>
  <c r="F74" i="364"/>
  <c r="F78" i="364"/>
  <c r="F83" i="364"/>
  <c r="F88" i="364"/>
  <c r="F92" i="364"/>
  <c r="F96" i="364"/>
  <c r="F99" i="364"/>
  <c r="F103" i="364"/>
  <c r="F106" i="364"/>
  <c r="F113" i="364"/>
  <c r="F117" i="364"/>
  <c r="F121" i="364"/>
  <c r="F125" i="364"/>
  <c r="F129" i="364"/>
  <c r="F133" i="364"/>
  <c r="F137" i="364"/>
  <c r="F142" i="364"/>
  <c r="F146" i="364"/>
  <c r="F150" i="364"/>
  <c r="F154" i="364"/>
  <c r="F160" i="364"/>
  <c r="F165" i="364"/>
  <c r="F2" i="363"/>
  <c r="F6" i="363"/>
  <c r="F10" i="363"/>
  <c r="F14" i="363"/>
  <c r="F18" i="363"/>
  <c r="F25" i="363"/>
  <c r="F26" i="363"/>
  <c r="F29" i="363"/>
  <c r="F32" i="363"/>
  <c r="F38" i="363"/>
  <c r="F42" i="363"/>
  <c r="F45" i="363"/>
  <c r="F47" i="363"/>
  <c r="F50" i="363"/>
  <c r="F52" i="363"/>
  <c r="F55" i="363"/>
  <c r="F56" i="363"/>
  <c r="F60" i="363"/>
  <c r="F64" i="363"/>
  <c r="F68" i="363"/>
  <c r="F72" i="363"/>
  <c r="F77" i="363"/>
  <c r="F34" i="363"/>
  <c r="F82" i="363"/>
  <c r="F85" i="363"/>
  <c r="F87" i="363"/>
  <c r="F91" i="363"/>
  <c r="F95" i="363"/>
  <c r="F97" i="363"/>
  <c r="F102" i="363"/>
  <c r="F104" i="363"/>
  <c r="F108" i="363"/>
  <c r="F112" i="363"/>
  <c r="F116" i="363"/>
  <c r="F120" i="363"/>
  <c r="F124" i="363"/>
  <c r="F128" i="363"/>
  <c r="F132" i="363"/>
  <c r="F136" i="363"/>
  <c r="F141" i="363"/>
  <c r="F145" i="363"/>
  <c r="F149" i="363"/>
  <c r="F151" i="363"/>
  <c r="F155" i="363"/>
  <c r="F159" i="363"/>
  <c r="F161" i="363"/>
  <c r="F164" i="363"/>
  <c r="F5" i="363"/>
  <c r="F9" i="363"/>
  <c r="F12" i="363"/>
  <c r="F17" i="363"/>
  <c r="F22" i="363"/>
  <c r="F30" i="363"/>
  <c r="F35" i="363"/>
  <c r="F39" i="363"/>
  <c r="F44" i="363"/>
  <c r="F46" i="363"/>
  <c r="F51" i="363"/>
  <c r="F57" i="363"/>
  <c r="F61" i="363"/>
  <c r="F65" i="363"/>
  <c r="F69" i="363"/>
  <c r="F73" i="363"/>
  <c r="F76" i="363"/>
  <c r="F81" i="363"/>
  <c r="F86" i="363"/>
  <c r="F90" i="363"/>
  <c r="F94" i="363"/>
  <c r="F98" i="363"/>
  <c r="F101" i="363"/>
  <c r="F105" i="363"/>
  <c r="F109" i="363"/>
  <c r="F111" i="363"/>
  <c r="F115" i="363"/>
  <c r="F119" i="363"/>
  <c r="F123" i="363"/>
  <c r="F127" i="363"/>
  <c r="F131" i="363"/>
  <c r="F135" i="363"/>
  <c r="F140" i="363"/>
  <c r="F144" i="363"/>
  <c r="F148" i="363"/>
  <c r="F152" i="363"/>
  <c r="F156" i="363"/>
  <c r="F158" i="363"/>
  <c r="F163" i="363"/>
  <c r="F4" i="363"/>
  <c r="F8" i="363"/>
  <c r="F13" i="363"/>
  <c r="F16" i="363"/>
  <c r="F21" i="363"/>
  <c r="F23" i="363"/>
  <c r="F28" i="363"/>
  <c r="F31" i="363"/>
  <c r="F36" i="363"/>
  <c r="F40" i="363"/>
  <c r="F19" i="363"/>
  <c r="F48" i="363"/>
  <c r="F53" i="363"/>
  <c r="F58" i="363"/>
  <c r="F62" i="363"/>
  <c r="F66" i="363"/>
  <c r="F70" i="363"/>
  <c r="F75" i="363"/>
  <c r="F79" i="363"/>
  <c r="F80" i="363"/>
  <c r="F84" i="363"/>
  <c r="F89" i="363"/>
  <c r="F93" i="363"/>
  <c r="F100" i="363"/>
  <c r="F107" i="363"/>
  <c r="F110" i="363"/>
  <c r="F114" i="363"/>
  <c r="F118" i="363"/>
  <c r="F122" i="363"/>
  <c r="F126" i="363"/>
  <c r="F130" i="363"/>
  <c r="F134" i="363"/>
  <c r="F138" i="363"/>
  <c r="F139" i="363"/>
  <c r="F143" i="363"/>
  <c r="F147" i="363"/>
  <c r="F153" i="363"/>
  <c r="F157" i="363"/>
  <c r="F162" i="363"/>
  <c r="F3" i="363"/>
  <c r="F7" i="363"/>
  <c r="F11" i="363"/>
  <c r="F15" i="363"/>
  <c r="F20" i="363"/>
  <c r="F24" i="363"/>
  <c r="F27" i="363"/>
  <c r="F33" i="363"/>
  <c r="F37" i="363"/>
  <c r="F41" i="363"/>
  <c r="F43" i="363"/>
  <c r="F49" i="363"/>
  <c r="F54" i="363"/>
  <c r="F59" i="363"/>
  <c r="F63" i="363"/>
  <c r="F67" i="363"/>
  <c r="F71" i="363"/>
  <c r="F74" i="363"/>
  <c r="F78" i="363"/>
  <c r="F83" i="363"/>
  <c r="F88" i="363"/>
  <c r="F92" i="363"/>
  <c r="F96" i="363"/>
  <c r="F99" i="363"/>
  <c r="F103" i="363"/>
  <c r="F106" i="363"/>
  <c r="F113" i="363"/>
  <c r="F117" i="363"/>
  <c r="F121" i="363"/>
  <c r="F125" i="363"/>
  <c r="F129" i="363"/>
  <c r="F133" i="363"/>
  <c r="F137" i="363"/>
  <c r="F142" i="363"/>
  <c r="F146" i="363"/>
  <c r="F150" i="363"/>
  <c r="F154" i="363"/>
  <c r="F160" i="363"/>
  <c r="F165" i="363"/>
  <c r="F2" i="352"/>
  <c r="F6" i="352"/>
  <c r="F10" i="352"/>
  <c r="F14" i="352"/>
  <c r="F18" i="352"/>
  <c r="F25" i="352"/>
  <c r="F26" i="352"/>
  <c r="F29" i="352"/>
  <c r="F32" i="352"/>
  <c r="F38" i="352"/>
  <c r="F42" i="352"/>
  <c r="F45" i="352"/>
  <c r="F47" i="352"/>
  <c r="F50" i="352"/>
  <c r="F52" i="352"/>
  <c r="F55" i="352"/>
  <c r="F56" i="352"/>
  <c r="F60" i="352"/>
  <c r="F64" i="352"/>
  <c r="F68" i="352"/>
  <c r="F72" i="352"/>
  <c r="F77" i="352"/>
  <c r="F34" i="352"/>
  <c r="F82" i="352"/>
  <c r="F85" i="352"/>
  <c r="F87" i="352"/>
  <c r="F91" i="352"/>
  <c r="F95" i="352"/>
  <c r="F97" i="352"/>
  <c r="F102" i="352"/>
  <c r="F104" i="352"/>
  <c r="F108" i="352"/>
  <c r="F112" i="352"/>
  <c r="F116" i="352"/>
  <c r="F120" i="352"/>
  <c r="F124" i="352"/>
  <c r="F128" i="352"/>
  <c r="F132" i="352"/>
  <c r="F136" i="352"/>
  <c r="F141" i="352"/>
  <c r="F145" i="352"/>
  <c r="F149" i="352"/>
  <c r="F151" i="352"/>
  <c r="F155" i="352"/>
  <c r="F159" i="352"/>
  <c r="F161" i="352"/>
  <c r="F164" i="352"/>
  <c r="F5" i="352"/>
  <c r="F9" i="352"/>
  <c r="F12" i="352"/>
  <c r="F17" i="352"/>
  <c r="F22" i="352"/>
  <c r="F30" i="352"/>
  <c r="F35" i="352"/>
  <c r="F39" i="352"/>
  <c r="F44" i="352"/>
  <c r="F46" i="352"/>
  <c r="F51" i="352"/>
  <c r="F57" i="352"/>
  <c r="F61" i="352"/>
  <c r="F65" i="352"/>
  <c r="F69" i="352"/>
  <c r="F73" i="352"/>
  <c r="F76" i="352"/>
  <c r="F81" i="352"/>
  <c r="F86" i="352"/>
  <c r="F90" i="352"/>
  <c r="F94" i="352"/>
  <c r="F98" i="352"/>
  <c r="F101" i="352"/>
  <c r="F105" i="352"/>
  <c r="F109" i="352"/>
  <c r="F111" i="352"/>
  <c r="F115" i="352"/>
  <c r="F119" i="352"/>
  <c r="F123" i="352"/>
  <c r="F127" i="352"/>
  <c r="F131" i="352"/>
  <c r="F135" i="352"/>
  <c r="F140" i="352"/>
  <c r="F144" i="352"/>
  <c r="F148" i="352"/>
  <c r="F152" i="352"/>
  <c r="F156" i="352"/>
  <c r="F158" i="352"/>
  <c r="F163" i="352"/>
  <c r="F4" i="352"/>
  <c r="F8" i="352"/>
  <c r="F13" i="352"/>
  <c r="F16" i="352"/>
  <c r="F21" i="352"/>
  <c r="F23" i="352"/>
  <c r="F28" i="352"/>
  <c r="F31" i="352"/>
  <c r="F36" i="352"/>
  <c r="F40" i="352"/>
  <c r="F19" i="352"/>
  <c r="F48" i="352"/>
  <c r="F53" i="352"/>
  <c r="F58" i="352"/>
  <c r="F62" i="352"/>
  <c r="F66" i="352"/>
  <c r="F70" i="352"/>
  <c r="F75" i="352"/>
  <c r="F79" i="352"/>
  <c r="F80" i="352"/>
  <c r="F84" i="352"/>
  <c r="F89" i="352"/>
  <c r="F93" i="352"/>
  <c r="F100" i="352"/>
  <c r="F107" i="352"/>
  <c r="F110" i="352"/>
  <c r="F114" i="352"/>
  <c r="F118" i="352"/>
  <c r="F122" i="352"/>
  <c r="F126" i="352"/>
  <c r="F130" i="352"/>
  <c r="F134" i="352"/>
  <c r="F138" i="352"/>
  <c r="F139" i="352"/>
  <c r="F143" i="352"/>
  <c r="F147" i="352"/>
  <c r="F153" i="352"/>
  <c r="F157" i="352"/>
  <c r="F162" i="352"/>
  <c r="F3" i="352"/>
  <c r="F7" i="352"/>
  <c r="F11" i="352"/>
  <c r="F15" i="352"/>
  <c r="F20" i="352"/>
  <c r="F24" i="352"/>
  <c r="F27" i="352"/>
  <c r="F33" i="352"/>
  <c r="F37" i="352"/>
  <c r="F41" i="352"/>
  <c r="F43" i="352"/>
  <c r="F49" i="352"/>
  <c r="F54" i="352"/>
  <c r="F59" i="352"/>
  <c r="F63" i="352"/>
  <c r="F67" i="352"/>
  <c r="F71" i="352"/>
  <c r="F74" i="352"/>
  <c r="F78" i="352"/>
  <c r="F83" i="352"/>
  <c r="F88" i="352"/>
  <c r="F92" i="352"/>
  <c r="F96" i="352"/>
  <c r="F99" i="352"/>
  <c r="F103" i="352"/>
  <c r="F106" i="352"/>
  <c r="F113" i="352"/>
  <c r="F117" i="352"/>
  <c r="F121" i="352"/>
  <c r="F125" i="352"/>
  <c r="F129" i="352"/>
  <c r="F133" i="352"/>
  <c r="F137" i="352"/>
  <c r="F142" i="352"/>
  <c r="F146" i="352"/>
  <c r="F150" i="352"/>
  <c r="F154" i="352"/>
  <c r="F160" i="352"/>
  <c r="F165" i="352"/>
  <c r="F2" i="349"/>
  <c r="F6" i="349"/>
  <c r="F10" i="349"/>
  <c r="F14" i="349"/>
  <c r="F18" i="349"/>
  <c r="F25" i="349"/>
  <c r="F26" i="349"/>
  <c r="F29" i="349"/>
  <c r="F32" i="349"/>
  <c r="F38" i="349"/>
  <c r="F42" i="349"/>
  <c r="F45" i="349"/>
  <c r="F47" i="349"/>
  <c r="F50" i="349"/>
  <c r="F52" i="349"/>
  <c r="F55" i="349"/>
  <c r="F56" i="349"/>
  <c r="F60" i="349"/>
  <c r="F64" i="349"/>
  <c r="F68" i="349"/>
  <c r="F72" i="349"/>
  <c r="F77" i="349"/>
  <c r="F34" i="349"/>
  <c r="F82" i="349"/>
  <c r="F85" i="349"/>
  <c r="F87" i="349"/>
  <c r="F91" i="349"/>
  <c r="F95" i="349"/>
  <c r="F97" i="349"/>
  <c r="F102" i="349"/>
  <c r="F104" i="349"/>
  <c r="F108" i="349"/>
  <c r="F112" i="349"/>
  <c r="F116" i="349"/>
  <c r="F120" i="349"/>
  <c r="F124" i="349"/>
  <c r="F128" i="349"/>
  <c r="F132" i="349"/>
  <c r="F136" i="349"/>
  <c r="F141" i="349"/>
  <c r="F145" i="349"/>
  <c r="F149" i="349"/>
  <c r="F151" i="349"/>
  <c r="F155" i="349"/>
  <c r="F159" i="349"/>
  <c r="F161" i="349"/>
  <c r="F164" i="349"/>
  <c r="F4" i="349"/>
  <c r="F8" i="349"/>
  <c r="F13" i="349"/>
  <c r="F16" i="349"/>
  <c r="F21" i="349"/>
  <c r="F23" i="349"/>
  <c r="F28" i="349"/>
  <c r="F31" i="349"/>
  <c r="F36" i="349"/>
  <c r="F40" i="349"/>
  <c r="F19" i="349"/>
  <c r="F48" i="349"/>
  <c r="F53" i="349"/>
  <c r="F58" i="349"/>
  <c r="F62" i="349"/>
  <c r="F66" i="349"/>
  <c r="F70" i="349"/>
  <c r="F75" i="349"/>
  <c r="F79" i="349"/>
  <c r="F80" i="349"/>
  <c r="F84" i="349"/>
  <c r="F89" i="349"/>
  <c r="F93" i="349"/>
  <c r="F100" i="349"/>
  <c r="F107" i="349"/>
  <c r="F110" i="349"/>
  <c r="F114" i="349"/>
  <c r="F118" i="349"/>
  <c r="F122" i="349"/>
  <c r="F126" i="349"/>
  <c r="F130" i="349"/>
  <c r="F134" i="349"/>
  <c r="F138" i="349"/>
  <c r="F139" i="349"/>
  <c r="F143" i="349"/>
  <c r="F147" i="349"/>
  <c r="F153" i="349"/>
  <c r="F157" i="349"/>
  <c r="F162" i="349"/>
  <c r="F2" i="351"/>
  <c r="F6" i="351"/>
  <c r="F10" i="351"/>
  <c r="F14" i="351"/>
  <c r="F18" i="351"/>
  <c r="F25" i="351"/>
  <c r="F26" i="351"/>
  <c r="F29" i="351"/>
  <c r="F32" i="351"/>
  <c r="F38" i="351"/>
  <c r="F42" i="351"/>
  <c r="F45" i="351"/>
  <c r="F47" i="351"/>
  <c r="F50" i="351"/>
  <c r="F52" i="351"/>
  <c r="F55" i="351"/>
  <c r="F56" i="351"/>
  <c r="F60" i="351"/>
  <c r="F64" i="351"/>
  <c r="F68" i="351"/>
  <c r="F72" i="351"/>
  <c r="F77" i="351"/>
  <c r="F34" i="351"/>
  <c r="F82" i="351"/>
  <c r="F85" i="351"/>
  <c r="F87" i="351"/>
  <c r="F91" i="351"/>
  <c r="F95" i="351"/>
  <c r="F97" i="351"/>
  <c r="F102" i="351"/>
  <c r="F104" i="351"/>
  <c r="F108" i="351"/>
  <c r="F112" i="351"/>
  <c r="F116" i="351"/>
  <c r="F120" i="351"/>
  <c r="F124" i="351"/>
  <c r="F128" i="351"/>
  <c r="F132" i="351"/>
  <c r="F136" i="351"/>
  <c r="F141" i="351"/>
  <c r="F145" i="351"/>
  <c r="F149" i="351"/>
  <c r="F151" i="351"/>
  <c r="F155" i="351"/>
  <c r="F159" i="351"/>
  <c r="F161" i="351"/>
  <c r="F164" i="351"/>
  <c r="F5" i="351"/>
  <c r="F9" i="351"/>
  <c r="F12" i="351"/>
  <c r="F17" i="351"/>
  <c r="F22" i="351"/>
  <c r="F30" i="351"/>
  <c r="F35" i="351"/>
  <c r="F39" i="351"/>
  <c r="F44" i="351"/>
  <c r="F46" i="351"/>
  <c r="F51" i="351"/>
  <c r="F57" i="351"/>
  <c r="F61" i="351"/>
  <c r="F65" i="351"/>
  <c r="F69" i="351"/>
  <c r="F73" i="351"/>
  <c r="F76" i="351"/>
  <c r="F81" i="351"/>
  <c r="F86" i="351"/>
  <c r="F90" i="351"/>
  <c r="F94" i="351"/>
  <c r="F98" i="351"/>
  <c r="F101" i="351"/>
  <c r="F105" i="351"/>
  <c r="F109" i="351"/>
  <c r="F111" i="351"/>
  <c r="F115" i="351"/>
  <c r="F119" i="351"/>
  <c r="F123" i="351"/>
  <c r="F127" i="351"/>
  <c r="F131" i="351"/>
  <c r="F135" i="351"/>
  <c r="F140" i="351"/>
  <c r="F144" i="351"/>
  <c r="F148" i="351"/>
  <c r="F152" i="351"/>
  <c r="F156" i="351"/>
  <c r="F158" i="351"/>
  <c r="F163" i="351"/>
  <c r="F4" i="351"/>
  <c r="F8" i="351"/>
  <c r="F13" i="351"/>
  <c r="F16" i="351"/>
  <c r="F21" i="351"/>
  <c r="F23" i="351"/>
  <c r="F28" i="351"/>
  <c r="F31" i="351"/>
  <c r="F36" i="351"/>
  <c r="F40" i="351"/>
  <c r="F19" i="351"/>
  <c r="F48" i="351"/>
  <c r="F53" i="351"/>
  <c r="F58" i="351"/>
  <c r="F62" i="351"/>
  <c r="F66" i="351"/>
  <c r="F70" i="351"/>
  <c r="F75" i="351"/>
  <c r="F79" i="351"/>
  <c r="F80" i="351"/>
  <c r="F84" i="351"/>
  <c r="F89" i="351"/>
  <c r="F93" i="351"/>
  <c r="F100" i="351"/>
  <c r="F107" i="351"/>
  <c r="F110" i="351"/>
  <c r="F114" i="351"/>
  <c r="F118" i="351"/>
  <c r="F122" i="351"/>
  <c r="F126" i="351"/>
  <c r="F130" i="351"/>
  <c r="F134" i="351"/>
  <c r="F138" i="351"/>
  <c r="F139" i="351"/>
  <c r="F143" i="351"/>
  <c r="F147" i="351"/>
  <c r="F153" i="351"/>
  <c r="F157" i="351"/>
  <c r="F162" i="351"/>
  <c r="F3" i="351"/>
  <c r="F7" i="351"/>
  <c r="F11" i="351"/>
  <c r="F15" i="351"/>
  <c r="F20" i="351"/>
  <c r="F24" i="351"/>
  <c r="F27" i="351"/>
  <c r="F33" i="351"/>
  <c r="F37" i="351"/>
  <c r="F41" i="351"/>
  <c r="F43" i="351"/>
  <c r="F49" i="351"/>
  <c r="F54" i="351"/>
  <c r="F59" i="351"/>
  <c r="F63" i="351"/>
  <c r="F67" i="351"/>
  <c r="F71" i="351"/>
  <c r="F74" i="351"/>
  <c r="F78" i="351"/>
  <c r="F83" i="351"/>
  <c r="F88" i="351"/>
  <c r="F92" i="351"/>
  <c r="F96" i="351"/>
  <c r="F99" i="351"/>
  <c r="F103" i="351"/>
  <c r="F106" i="351"/>
  <c r="F113" i="351"/>
  <c r="F117" i="351"/>
  <c r="F121" i="351"/>
  <c r="F125" i="351"/>
  <c r="F129" i="351"/>
  <c r="F133" i="351"/>
  <c r="F137" i="351"/>
  <c r="F142" i="351"/>
  <c r="F146" i="351"/>
  <c r="F150" i="351"/>
  <c r="F154" i="351"/>
  <c r="F160" i="351"/>
  <c r="F165" i="351"/>
  <c r="F4" i="361"/>
  <c r="F8" i="361"/>
  <c r="F12" i="361"/>
  <c r="F15" i="361"/>
  <c r="F19" i="361"/>
  <c r="F23" i="361"/>
  <c r="F29" i="361"/>
  <c r="F32" i="361"/>
  <c r="F36" i="361"/>
  <c r="F40" i="361"/>
  <c r="F44" i="361"/>
  <c r="F48" i="361"/>
  <c r="F52" i="361"/>
  <c r="F56" i="361"/>
  <c r="F62" i="361"/>
  <c r="F65" i="361"/>
  <c r="F69" i="361"/>
  <c r="F73" i="361"/>
  <c r="F78" i="361"/>
  <c r="F81" i="361"/>
  <c r="F85" i="361"/>
  <c r="F91" i="361"/>
  <c r="F95" i="361"/>
  <c r="F100" i="361"/>
  <c r="F104" i="361"/>
  <c r="F109" i="361"/>
  <c r="F113" i="361"/>
  <c r="F117" i="361"/>
  <c r="F121" i="361"/>
  <c r="F127" i="361"/>
  <c r="F131" i="361"/>
  <c r="F135" i="361"/>
  <c r="F139" i="361"/>
  <c r="F143" i="361"/>
  <c r="F147" i="361"/>
  <c r="F149" i="361"/>
  <c r="F153" i="361"/>
  <c r="F158" i="361"/>
  <c r="F163" i="361"/>
  <c r="G4" i="361"/>
  <c r="G8" i="361"/>
  <c r="I8" i="361" s="1"/>
  <c r="G12" i="361"/>
  <c r="H12" i="361" s="1"/>
  <c r="G15" i="361"/>
  <c r="H15" i="361" s="1"/>
  <c r="G19" i="361"/>
  <c r="I19" i="361" s="1"/>
  <c r="G23" i="361"/>
  <c r="H23" i="361" s="1"/>
  <c r="G29" i="361"/>
  <c r="I29" i="361" s="1"/>
  <c r="G32" i="361"/>
  <c r="I32" i="361" s="1"/>
  <c r="G36" i="361"/>
  <c r="G40" i="361"/>
  <c r="H40" i="361" s="1"/>
  <c r="G44" i="361"/>
  <c r="H44" i="361" s="1"/>
  <c r="G48" i="361"/>
  <c r="H48" i="361" s="1"/>
  <c r="G52" i="361"/>
  <c r="H52" i="361" s="1"/>
  <c r="G56" i="361"/>
  <c r="I56" i="361" s="1"/>
  <c r="G62" i="361"/>
  <c r="I62" i="361" s="1"/>
  <c r="G65" i="361"/>
  <c r="H65" i="361" s="1"/>
  <c r="G69" i="361"/>
  <c r="G73" i="361"/>
  <c r="I73" i="361" s="1"/>
  <c r="G78" i="361"/>
  <c r="H78" i="361" s="1"/>
  <c r="G81" i="361"/>
  <c r="H81" i="361" s="1"/>
  <c r="G85" i="361"/>
  <c r="H85" i="361" s="1"/>
  <c r="G91" i="361"/>
  <c r="I91" i="361" s="1"/>
  <c r="G95" i="361"/>
  <c r="H95" i="361" s="1"/>
  <c r="G100" i="361"/>
  <c r="I100" i="361" s="1"/>
  <c r="G104" i="361"/>
  <c r="G109" i="361"/>
  <c r="H109" i="361" s="1"/>
  <c r="G113" i="361"/>
  <c r="H113" i="361" s="1"/>
  <c r="G117" i="361"/>
  <c r="H117" i="361" s="1"/>
  <c r="G121" i="361"/>
  <c r="H121" i="361" s="1"/>
  <c r="G127" i="361"/>
  <c r="I127" i="361" s="1"/>
  <c r="G131" i="361"/>
  <c r="I131" i="361" s="1"/>
  <c r="G135" i="361"/>
  <c r="I135" i="361" s="1"/>
  <c r="G139" i="361"/>
  <c r="G143" i="361"/>
  <c r="I143" i="361" s="1"/>
  <c r="G147" i="361"/>
  <c r="H147" i="361" s="1"/>
  <c r="G149" i="361"/>
  <c r="H149" i="361" s="1"/>
  <c r="G153" i="361"/>
  <c r="H153" i="361" s="1"/>
  <c r="G158" i="361"/>
  <c r="H158" i="361" s="1"/>
  <c r="G163" i="361"/>
  <c r="H163" i="361" s="1"/>
  <c r="H4" i="361"/>
  <c r="H19" i="361"/>
  <c r="H36" i="361"/>
  <c r="H69" i="361"/>
  <c r="H104" i="361"/>
  <c r="H139" i="361"/>
  <c r="I4" i="361"/>
  <c r="I36" i="361"/>
  <c r="I69" i="361"/>
  <c r="I104" i="361"/>
  <c r="I139" i="361"/>
  <c r="F6" i="361"/>
  <c r="F10" i="361"/>
  <c r="F14" i="361"/>
  <c r="F17" i="361"/>
  <c r="F21" i="361"/>
  <c r="F25" i="361"/>
  <c r="F27" i="361"/>
  <c r="F31" i="361"/>
  <c r="F34" i="361"/>
  <c r="F38" i="361"/>
  <c r="F42" i="361"/>
  <c r="F46" i="361"/>
  <c r="F50" i="361"/>
  <c r="F54" i="361"/>
  <c r="F58" i="361"/>
  <c r="F60" i="361"/>
  <c r="F63" i="361"/>
  <c r="F67" i="361"/>
  <c r="F71" i="361"/>
  <c r="F76" i="361"/>
  <c r="F80" i="361"/>
  <c r="F83" i="361"/>
  <c r="F89" i="361"/>
  <c r="F93" i="361"/>
  <c r="F97" i="361"/>
  <c r="F102" i="361"/>
  <c r="F106" i="361"/>
  <c r="F111" i="361"/>
  <c r="F115" i="361"/>
  <c r="F119" i="361"/>
  <c r="F122" i="361"/>
  <c r="F124" i="361"/>
  <c r="F129" i="361"/>
  <c r="F133" i="361"/>
  <c r="F137" i="361"/>
  <c r="F141" i="361"/>
  <c r="F145" i="361"/>
  <c r="F151" i="361"/>
  <c r="F156" i="361"/>
  <c r="F160" i="361"/>
  <c r="F161" i="361"/>
  <c r="F166" i="361"/>
  <c r="F2" i="361"/>
  <c r="F10" i="355"/>
  <c r="F13" i="355"/>
  <c r="F16" i="355"/>
  <c r="F24" i="355"/>
  <c r="F34" i="355"/>
  <c r="F41" i="355"/>
  <c r="F54" i="355"/>
  <c r="F62" i="355"/>
  <c r="F70" i="355"/>
  <c r="F79" i="355"/>
  <c r="F86" i="355"/>
  <c r="F99" i="355"/>
  <c r="F108" i="355"/>
  <c r="F120" i="355"/>
  <c r="F131" i="355"/>
  <c r="F140" i="355"/>
  <c r="F143" i="355"/>
  <c r="F147" i="355"/>
  <c r="F164" i="355"/>
  <c r="F172" i="355"/>
  <c r="F182" i="355"/>
  <c r="F187" i="355"/>
  <c r="F193" i="355"/>
  <c r="F203" i="355"/>
  <c r="F211" i="355"/>
  <c r="F220" i="355"/>
  <c r="F232" i="355"/>
  <c r="F244" i="355"/>
  <c r="F3" i="355"/>
  <c r="F8" i="355"/>
  <c r="F11" i="355"/>
  <c r="F25" i="355"/>
  <c r="F35" i="355"/>
  <c r="F47" i="355"/>
  <c r="F57" i="355"/>
  <c r="F65" i="355"/>
  <c r="F76" i="355"/>
  <c r="F87" i="355"/>
  <c r="F97" i="355"/>
  <c r="F106" i="355"/>
  <c r="F114" i="355"/>
  <c r="F121" i="355"/>
  <c r="F132" i="355"/>
  <c r="F141" i="355"/>
  <c r="F150" i="355"/>
  <c r="F159" i="355"/>
  <c r="F167" i="355"/>
  <c r="F176" i="355"/>
  <c r="F185" i="355"/>
  <c r="F189" i="355"/>
  <c r="F198" i="355"/>
  <c r="F208" i="355"/>
  <c r="F218" i="355"/>
  <c r="F224" i="355"/>
  <c r="F239" i="355"/>
  <c r="F243" i="355"/>
  <c r="I10" i="355"/>
  <c r="I13" i="355"/>
  <c r="H16" i="355"/>
  <c r="I24" i="355"/>
  <c r="I54" i="355"/>
  <c r="H62" i="355"/>
  <c r="H70" i="355"/>
  <c r="I79" i="355"/>
  <c r="H86" i="355"/>
  <c r="I99" i="355"/>
  <c r="H131" i="355"/>
  <c r="I140" i="355"/>
  <c r="H143" i="355"/>
  <c r="I147" i="355"/>
  <c r="H164" i="355"/>
  <c r="I172" i="355"/>
  <c r="H182" i="355"/>
  <c r="H193" i="355"/>
  <c r="I203" i="355"/>
  <c r="H211" i="355"/>
  <c r="I220" i="355"/>
  <c r="I232" i="355"/>
  <c r="I244" i="355"/>
  <c r="I3" i="355"/>
  <c r="H11" i="355"/>
  <c r="H25" i="355"/>
  <c r="I35" i="355"/>
  <c r="I47" i="355"/>
  <c r="H57" i="355"/>
  <c r="I65" i="355"/>
  <c r="H76" i="355"/>
  <c r="I97" i="355"/>
  <c r="H106" i="355"/>
  <c r="H114" i="355"/>
  <c r="I121" i="355"/>
  <c r="H132" i="355"/>
  <c r="I141" i="355"/>
  <c r="H150" i="355"/>
  <c r="H167" i="355"/>
  <c r="H176" i="355"/>
  <c r="I185" i="355"/>
  <c r="I189" i="355"/>
  <c r="I198" i="355"/>
  <c r="I208" i="355"/>
  <c r="I218" i="355"/>
  <c r="I239" i="355"/>
  <c r="I243" i="355"/>
  <c r="H24" i="355"/>
  <c r="H34" i="355"/>
  <c r="H41" i="355"/>
  <c r="H108" i="355"/>
  <c r="H120" i="355"/>
  <c r="H187" i="355"/>
  <c r="H8" i="355"/>
  <c r="H87" i="355"/>
  <c r="H159" i="355"/>
  <c r="H218" i="355"/>
  <c r="H224" i="355"/>
  <c r="H239" i="355"/>
  <c r="I16" i="355"/>
  <c r="I34" i="355"/>
  <c r="I41" i="355"/>
  <c r="I62" i="355"/>
  <c r="I108" i="355"/>
  <c r="I120" i="355"/>
  <c r="I187" i="355"/>
  <c r="I193" i="355"/>
  <c r="I8" i="355"/>
  <c r="I25" i="355"/>
  <c r="I57" i="355"/>
  <c r="I76" i="355"/>
  <c r="I87" i="355"/>
  <c r="I106" i="355"/>
  <c r="I150" i="355"/>
  <c r="I159" i="355"/>
  <c r="I224" i="355"/>
  <c r="F19" i="355"/>
  <c r="F27" i="355"/>
  <c r="F36" i="355"/>
  <c r="F42" i="355"/>
  <c r="F49" i="355"/>
  <c r="F56" i="355"/>
  <c r="F28" i="355"/>
  <c r="F72" i="355"/>
  <c r="F82" i="355"/>
  <c r="F91" i="355"/>
  <c r="F96" i="355"/>
  <c r="F102" i="355"/>
  <c r="F112" i="355"/>
  <c r="F115" i="355"/>
  <c r="F123" i="355"/>
  <c r="F126" i="355"/>
  <c r="F134" i="355"/>
  <c r="F151" i="355"/>
  <c r="F158" i="355"/>
  <c r="F166" i="355"/>
  <c r="F175" i="355"/>
  <c r="F75" i="355"/>
  <c r="F190" i="355"/>
  <c r="F200" i="355"/>
  <c r="F206" i="355"/>
  <c r="F214" i="355"/>
  <c r="F223" i="355"/>
  <c r="F226" i="355"/>
  <c r="F235" i="355"/>
  <c r="F238" i="355"/>
  <c r="F246" i="355"/>
  <c r="F14" i="355"/>
  <c r="F18" i="355"/>
  <c r="F29" i="355"/>
  <c r="F39" i="355"/>
  <c r="F50" i="355"/>
  <c r="F60" i="355"/>
  <c r="F69" i="355"/>
  <c r="F84" i="355"/>
  <c r="F94" i="355"/>
  <c r="F103" i="355"/>
  <c r="F109" i="355"/>
  <c r="F117" i="355"/>
  <c r="F129" i="355"/>
  <c r="F135" i="355"/>
  <c r="F144" i="355"/>
  <c r="F153" i="355"/>
  <c r="F160" i="355"/>
  <c r="F170" i="355"/>
  <c r="F179" i="355"/>
  <c r="F192" i="355"/>
  <c r="F205" i="355"/>
  <c r="F215" i="355"/>
  <c r="F227" i="355"/>
  <c r="F236" i="355"/>
  <c r="F247" i="355"/>
  <c r="F7" i="355"/>
  <c r="F21" i="355"/>
  <c r="F31" i="355"/>
  <c r="F38" i="355"/>
  <c r="F45" i="355"/>
  <c r="F46" i="355"/>
  <c r="F59" i="355"/>
  <c r="F67" i="355"/>
  <c r="F78" i="355"/>
  <c r="F83" i="355"/>
  <c r="F93" i="355"/>
  <c r="F105" i="355"/>
  <c r="F118" i="355"/>
  <c r="F128" i="355"/>
  <c r="F137" i="355"/>
  <c r="F154" i="355"/>
  <c r="F161" i="355"/>
  <c r="F169" i="355"/>
  <c r="F178" i="355"/>
  <c r="F184" i="355"/>
  <c r="F197" i="355"/>
  <c r="F209" i="355"/>
  <c r="F217" i="355"/>
  <c r="F229" i="355"/>
  <c r="F241" i="355"/>
  <c r="F249" i="355"/>
  <c r="F17" i="355"/>
  <c r="F22" i="355"/>
  <c r="F32" i="355"/>
  <c r="F43" i="355"/>
  <c r="F55" i="355"/>
  <c r="F63" i="355"/>
  <c r="F73" i="355"/>
  <c r="F80" i="355"/>
  <c r="F92" i="355"/>
  <c r="F100" i="355"/>
  <c r="F111" i="355"/>
  <c r="F125" i="355"/>
  <c r="F138" i="355"/>
  <c r="F148" i="355"/>
  <c r="F156" i="355"/>
  <c r="F165" i="355"/>
  <c r="F173" i="355"/>
  <c r="F183" i="355"/>
  <c r="F195" i="355"/>
  <c r="F201" i="355"/>
  <c r="F212" i="355"/>
  <c r="F221" i="355"/>
  <c r="F230" i="355"/>
  <c r="F233" i="355"/>
  <c r="F250" i="355"/>
  <c r="F2" i="355"/>
  <c r="F10" i="357"/>
  <c r="F26" i="357"/>
  <c r="F45" i="357"/>
  <c r="F52" i="357"/>
  <c r="F68" i="357"/>
  <c r="F77" i="357"/>
  <c r="F91" i="357"/>
  <c r="F102" i="357"/>
  <c r="F120" i="357"/>
  <c r="F136" i="357"/>
  <c r="F60" i="357"/>
  <c r="F164" i="357"/>
  <c r="G10" i="357"/>
  <c r="I10" i="357" s="1"/>
  <c r="G26" i="357"/>
  <c r="H26" i="357" s="1"/>
  <c r="G45" i="357"/>
  <c r="I45" i="357" s="1"/>
  <c r="G52" i="357"/>
  <c r="I52" i="357" s="1"/>
  <c r="G68" i="357"/>
  <c r="I68" i="357" s="1"/>
  <c r="G77" i="357"/>
  <c r="H77" i="357" s="1"/>
  <c r="G91" i="357"/>
  <c r="H91" i="357" s="1"/>
  <c r="G102" i="357"/>
  <c r="I102" i="357" s="1"/>
  <c r="G120" i="357"/>
  <c r="I120" i="357" s="1"/>
  <c r="G136" i="357"/>
  <c r="I136" i="357" s="1"/>
  <c r="G60" i="357"/>
  <c r="I60" i="357" s="1"/>
  <c r="G164" i="357"/>
  <c r="I164" i="357" s="1"/>
  <c r="H164" i="357"/>
  <c r="I77" i="357"/>
  <c r="I165" i="364"/>
  <c r="I160" i="364"/>
  <c r="I154" i="364"/>
  <c r="I150" i="364"/>
  <c r="I146" i="364"/>
  <c r="I142" i="364"/>
  <c r="I137" i="364"/>
  <c r="I133" i="364"/>
  <c r="I129" i="364"/>
  <c r="I125" i="364"/>
  <c r="I121" i="364"/>
  <c r="I117" i="364"/>
  <c r="I113" i="364"/>
  <c r="I106" i="364"/>
  <c r="I103" i="364"/>
  <c r="I99" i="364"/>
  <c r="I96" i="364"/>
  <c r="I92" i="364"/>
  <c r="I88" i="364"/>
  <c r="I83" i="364"/>
  <c r="I78" i="364"/>
  <c r="I74" i="364"/>
  <c r="I71" i="364"/>
  <c r="I67" i="364"/>
  <c r="I63" i="364"/>
  <c r="I59" i="364"/>
  <c r="I54" i="364"/>
  <c r="I49" i="364"/>
  <c r="I43" i="364"/>
  <c r="I41" i="364"/>
  <c r="H37" i="364"/>
  <c r="I37" i="364"/>
  <c r="I33" i="364"/>
  <c r="I27" i="364"/>
  <c r="I24" i="364"/>
  <c r="I20" i="364"/>
  <c r="I15" i="364"/>
  <c r="I11" i="364"/>
  <c r="I7" i="364"/>
  <c r="H3" i="364"/>
  <c r="I162" i="364"/>
  <c r="I157" i="364"/>
  <c r="I153" i="364"/>
  <c r="I147" i="364"/>
  <c r="I143" i="364"/>
  <c r="I139" i="364"/>
  <c r="I138" i="364"/>
  <c r="H134" i="364"/>
  <c r="I130" i="364"/>
  <c r="I126" i="364"/>
  <c r="I122" i="364"/>
  <c r="H118" i="364"/>
  <c r="I114" i="364"/>
  <c r="I110" i="364"/>
  <c r="I107" i="364"/>
  <c r="H100" i="364"/>
  <c r="I93" i="364"/>
  <c r="I89" i="364"/>
  <c r="I84" i="364"/>
  <c r="I80" i="364"/>
  <c r="I79" i="364"/>
  <c r="I75" i="364"/>
  <c r="I70" i="364"/>
  <c r="H66" i="364"/>
  <c r="I62" i="364"/>
  <c r="I58" i="364"/>
  <c r="I53" i="364"/>
  <c r="I48" i="364"/>
  <c r="I19" i="364"/>
  <c r="I40" i="364"/>
  <c r="I36" i="364"/>
  <c r="I31" i="364"/>
  <c r="H28" i="364"/>
  <c r="I23" i="364"/>
  <c r="I21" i="364"/>
  <c r="I16" i="364"/>
  <c r="H13" i="364"/>
  <c r="I8" i="364"/>
  <c r="I4" i="364"/>
  <c r="I163" i="364"/>
  <c r="H158" i="364"/>
  <c r="I156" i="364"/>
  <c r="H156" i="364"/>
  <c r="I152" i="364"/>
  <c r="I148" i="364"/>
  <c r="H144" i="364"/>
  <c r="I140" i="364"/>
  <c r="I135" i="364"/>
  <c r="I131" i="364"/>
  <c r="H127" i="364"/>
  <c r="I123" i="364"/>
  <c r="I119" i="364"/>
  <c r="H115" i="364"/>
  <c r="H111" i="364"/>
  <c r="H109" i="364"/>
  <c r="H105" i="364"/>
  <c r="I101" i="364"/>
  <c r="I98" i="364"/>
  <c r="H98" i="364"/>
  <c r="H94" i="364"/>
  <c r="I94" i="364"/>
  <c r="I90" i="364"/>
  <c r="I86" i="364"/>
  <c r="H81" i="364"/>
  <c r="I76" i="364"/>
  <c r="I73" i="364"/>
  <c r="I69" i="364"/>
  <c r="I65" i="364"/>
  <c r="H65" i="364"/>
  <c r="I61" i="364"/>
  <c r="I57" i="364"/>
  <c r="I51" i="364"/>
  <c r="H46" i="364"/>
  <c r="H44" i="364"/>
  <c r="I44" i="364"/>
  <c r="I39" i="364"/>
  <c r="I35" i="364"/>
  <c r="H30" i="364"/>
  <c r="H22" i="364"/>
  <c r="I17" i="364"/>
  <c r="I12" i="364"/>
  <c r="I9" i="364"/>
  <c r="H9" i="364"/>
  <c r="I5" i="364"/>
  <c r="I164" i="364"/>
  <c r="I161" i="364"/>
  <c r="H159" i="364"/>
  <c r="I155" i="364"/>
  <c r="I151" i="364"/>
  <c r="I149" i="364"/>
  <c r="H145" i="364"/>
  <c r="H141" i="364"/>
  <c r="I136" i="364"/>
  <c r="I132" i="364"/>
  <c r="H128" i="364"/>
  <c r="I124" i="364"/>
  <c r="H120" i="364"/>
  <c r="I116" i="364"/>
  <c r="H112" i="364"/>
  <c r="I108" i="364"/>
  <c r="I104" i="364"/>
  <c r="I102" i="364"/>
  <c r="H97" i="364"/>
  <c r="I95" i="364"/>
  <c r="H91" i="364"/>
  <c r="I87" i="364"/>
  <c r="H85" i="364"/>
  <c r="I82" i="364"/>
  <c r="I34" i="364"/>
  <c r="I77" i="364"/>
  <c r="H72" i="364"/>
  <c r="H68" i="364"/>
  <c r="I64" i="364"/>
  <c r="I60" i="364"/>
  <c r="H56" i="364"/>
  <c r="H55" i="364"/>
  <c r="I55" i="364"/>
  <c r="I52" i="364"/>
  <c r="I50" i="364"/>
  <c r="H47" i="364"/>
  <c r="I45" i="364"/>
  <c r="H42" i="364"/>
  <c r="H38" i="364"/>
  <c r="I32" i="364"/>
  <c r="H32" i="364"/>
  <c r="H29" i="364"/>
  <c r="I26" i="364"/>
  <c r="I25" i="364"/>
  <c r="H18" i="364"/>
  <c r="I14" i="364"/>
  <c r="I10" i="364"/>
  <c r="I6" i="364"/>
  <c r="H2" i="364"/>
  <c r="I165" i="363"/>
  <c r="I160" i="363"/>
  <c r="H154" i="363"/>
  <c r="I150" i="363"/>
  <c r="I146" i="363"/>
  <c r="I142" i="363"/>
  <c r="H137" i="363"/>
  <c r="I133" i="363"/>
  <c r="I129" i="363"/>
  <c r="I125" i="363"/>
  <c r="H121" i="363"/>
  <c r="I117" i="363"/>
  <c r="I113" i="363"/>
  <c r="I106" i="363"/>
  <c r="H103" i="363"/>
  <c r="I99" i="363"/>
  <c r="I96" i="363"/>
  <c r="I92" i="363"/>
  <c r="H88" i="363"/>
  <c r="I83" i="363"/>
  <c r="I78" i="363"/>
  <c r="I74" i="363"/>
  <c r="H71" i="363"/>
  <c r="I67" i="363"/>
  <c r="I63" i="363"/>
  <c r="I59" i="363"/>
  <c r="H54" i="363"/>
  <c r="I49" i="363"/>
  <c r="I43" i="363"/>
  <c r="I41" i="363"/>
  <c r="I37" i="363"/>
  <c r="H37" i="363"/>
  <c r="I33" i="363"/>
  <c r="I27" i="363"/>
  <c r="I24" i="363"/>
  <c r="H20" i="363"/>
  <c r="I15" i="363"/>
  <c r="I11" i="363"/>
  <c r="I7" i="363"/>
  <c r="H3" i="363"/>
  <c r="I162" i="363"/>
  <c r="I157" i="363"/>
  <c r="I153" i="363"/>
  <c r="H147" i="363"/>
  <c r="I143" i="363"/>
  <c r="I139" i="363"/>
  <c r="I138" i="363"/>
  <c r="H134" i="363"/>
  <c r="I130" i="363"/>
  <c r="I126" i="363"/>
  <c r="I122" i="363"/>
  <c r="I118" i="363"/>
  <c r="I114" i="363"/>
  <c r="I110" i="363"/>
  <c r="I107" i="363"/>
  <c r="H100" i="363"/>
  <c r="I93" i="363"/>
  <c r="H89" i="363"/>
  <c r="I84" i="363"/>
  <c r="I80" i="363"/>
  <c r="H79" i="363"/>
  <c r="H75" i="363"/>
  <c r="I70" i="363"/>
  <c r="I66" i="363"/>
  <c r="I62" i="363"/>
  <c r="I58" i="363"/>
  <c r="I53" i="363"/>
  <c r="I48" i="363"/>
  <c r="H19" i="363"/>
  <c r="H40" i="363"/>
  <c r="I36" i="363"/>
  <c r="I31" i="363"/>
  <c r="I28" i="363"/>
  <c r="I23" i="363"/>
  <c r="I21" i="363"/>
  <c r="I16" i="363"/>
  <c r="H13" i="363"/>
  <c r="H8" i="363"/>
  <c r="H4" i="363"/>
  <c r="I163" i="363"/>
  <c r="I158" i="363"/>
  <c r="I156" i="363"/>
  <c r="I152" i="363"/>
  <c r="I148" i="363"/>
  <c r="H144" i="363"/>
  <c r="H140" i="363"/>
  <c r="I135" i="363"/>
  <c r="I131" i="363"/>
  <c r="I127" i="363"/>
  <c r="I123" i="363"/>
  <c r="I119" i="363"/>
  <c r="I115" i="363"/>
  <c r="H111" i="363"/>
  <c r="H109" i="363"/>
  <c r="I105" i="363"/>
  <c r="I101" i="363"/>
  <c r="I98" i="363"/>
  <c r="I94" i="363"/>
  <c r="I90" i="363"/>
  <c r="I86" i="363"/>
  <c r="H81" i="363"/>
  <c r="H76" i="363"/>
  <c r="H73" i="363"/>
  <c r="I69" i="363"/>
  <c r="I65" i="363"/>
  <c r="H61" i="363"/>
  <c r="I61" i="363"/>
  <c r="I57" i="363"/>
  <c r="I51" i="363"/>
  <c r="H46" i="363"/>
  <c r="H44" i="363"/>
  <c r="H39" i="363"/>
  <c r="I35" i="363"/>
  <c r="I30" i="363"/>
  <c r="I22" i="363"/>
  <c r="I17" i="363"/>
  <c r="I12" i="363"/>
  <c r="H9" i="363"/>
  <c r="H5" i="363"/>
  <c r="I164" i="363"/>
  <c r="I161" i="363"/>
  <c r="I159" i="363"/>
  <c r="H155" i="363"/>
  <c r="I151" i="363"/>
  <c r="I149" i="363"/>
  <c r="H145" i="363"/>
  <c r="H141" i="363"/>
  <c r="H136" i="363"/>
  <c r="I132" i="363"/>
  <c r="I128" i="363"/>
  <c r="I124" i="363"/>
  <c r="I120" i="363"/>
  <c r="I116" i="363"/>
  <c r="H112" i="363"/>
  <c r="H108" i="363"/>
  <c r="I104" i="363"/>
  <c r="I102" i="363"/>
  <c r="I97" i="363"/>
  <c r="I95" i="363"/>
  <c r="I91" i="363"/>
  <c r="I87" i="363"/>
  <c r="H85" i="363"/>
  <c r="H82" i="363"/>
  <c r="I34" i="363"/>
  <c r="I77" i="363"/>
  <c r="I72" i="363"/>
  <c r="H68" i="363"/>
  <c r="I68" i="363"/>
  <c r="I64" i="363"/>
  <c r="I60" i="363"/>
  <c r="H56" i="363"/>
  <c r="H55" i="363"/>
  <c r="I52" i="363"/>
  <c r="I50" i="363"/>
  <c r="I47" i="363"/>
  <c r="H45" i="363"/>
  <c r="I42" i="363"/>
  <c r="I38" i="363"/>
  <c r="H32" i="363"/>
  <c r="H29" i="363"/>
  <c r="H26" i="363"/>
  <c r="I25" i="363"/>
  <c r="I18" i="363"/>
  <c r="I14" i="363"/>
  <c r="H10" i="363"/>
  <c r="I10" i="363"/>
  <c r="I6" i="363"/>
  <c r="H2" i="363"/>
  <c r="I250" i="355"/>
  <c r="I233" i="355"/>
  <c r="H230" i="355"/>
  <c r="H221" i="355"/>
  <c r="I212" i="355"/>
  <c r="I201" i="355"/>
  <c r="I195" i="355"/>
  <c r="H183" i="355"/>
  <c r="H173" i="355"/>
  <c r="I165" i="355"/>
  <c r="H156" i="355"/>
  <c r="H148" i="355"/>
  <c r="H138" i="355"/>
  <c r="I125" i="355"/>
  <c r="I111" i="355"/>
  <c r="H100" i="355"/>
  <c r="I92" i="355"/>
  <c r="I80" i="355"/>
  <c r="H73" i="355"/>
  <c r="H63" i="355"/>
  <c r="I55" i="355"/>
  <c r="I43" i="355"/>
  <c r="I32" i="355"/>
  <c r="H22" i="355"/>
  <c r="I17" i="355"/>
  <c r="I249" i="355"/>
  <c r="H241" i="355"/>
  <c r="H229" i="355"/>
  <c r="I217" i="355"/>
  <c r="I209" i="355"/>
  <c r="I197" i="355"/>
  <c r="H184" i="355"/>
  <c r="I178" i="355"/>
  <c r="I169" i="355"/>
  <c r="H161" i="355"/>
  <c r="H154" i="355"/>
  <c r="I137" i="355"/>
  <c r="I128" i="355"/>
  <c r="I118" i="355"/>
  <c r="H105" i="355"/>
  <c r="I93" i="355"/>
  <c r="I83" i="355"/>
  <c r="H78" i="355"/>
  <c r="H67" i="355"/>
  <c r="I59" i="355"/>
  <c r="I46" i="355"/>
  <c r="I45" i="355"/>
  <c r="H38" i="355"/>
  <c r="I31" i="355"/>
  <c r="I21" i="355"/>
  <c r="H7" i="355"/>
  <c r="I247" i="355"/>
  <c r="I236" i="355"/>
  <c r="H227" i="355"/>
  <c r="H215" i="355"/>
  <c r="I205" i="355"/>
  <c r="I192" i="355"/>
  <c r="I179" i="355"/>
  <c r="H170" i="355"/>
  <c r="I160" i="355"/>
  <c r="I153" i="355"/>
  <c r="H144" i="355"/>
  <c r="H135" i="355"/>
  <c r="I129" i="355"/>
  <c r="I117" i="355"/>
  <c r="I109" i="355"/>
  <c r="H103" i="355"/>
  <c r="I94" i="355"/>
  <c r="I84" i="355"/>
  <c r="H69" i="355"/>
  <c r="H60" i="355"/>
  <c r="I50" i="355"/>
  <c r="I39" i="355"/>
  <c r="I29" i="355"/>
  <c r="H18" i="355"/>
  <c r="I14" i="355"/>
  <c r="I246" i="355"/>
  <c r="H238" i="355"/>
  <c r="H235" i="355"/>
  <c r="I226" i="355"/>
  <c r="I223" i="355"/>
  <c r="I214" i="355"/>
  <c r="H206" i="355"/>
  <c r="I200" i="355"/>
  <c r="I190" i="355"/>
  <c r="H75" i="355"/>
  <c r="H175" i="355"/>
  <c r="I166" i="355"/>
  <c r="I158" i="355"/>
  <c r="I151" i="355"/>
  <c r="H134" i="355"/>
  <c r="H126" i="355"/>
  <c r="I123" i="355"/>
  <c r="H115" i="355"/>
  <c r="H112" i="355"/>
  <c r="H102" i="355"/>
  <c r="I96" i="355"/>
  <c r="I91" i="355"/>
  <c r="H82" i="355"/>
  <c r="I72" i="355"/>
  <c r="I28" i="355"/>
  <c r="H56" i="355"/>
  <c r="H49" i="355"/>
  <c r="I42" i="355"/>
  <c r="I36" i="355"/>
  <c r="I27" i="355"/>
  <c r="H19" i="355"/>
  <c r="H2" i="355"/>
  <c r="I165" i="352"/>
  <c r="I160" i="352"/>
  <c r="I154" i="352"/>
  <c r="I150" i="352"/>
  <c r="I146" i="352"/>
  <c r="I142" i="352"/>
  <c r="I137" i="352"/>
  <c r="I133" i="352"/>
  <c r="I129" i="352"/>
  <c r="I125" i="352"/>
  <c r="I121" i="352"/>
  <c r="I117" i="352"/>
  <c r="I113" i="352"/>
  <c r="I106" i="352"/>
  <c r="I103" i="352"/>
  <c r="I99" i="352"/>
  <c r="I96" i="352"/>
  <c r="I92" i="352"/>
  <c r="I88" i="352"/>
  <c r="I83" i="352"/>
  <c r="I78" i="352"/>
  <c r="I74" i="352"/>
  <c r="I71" i="352"/>
  <c r="I67" i="352"/>
  <c r="I63" i="352"/>
  <c r="I59" i="352"/>
  <c r="H54" i="352"/>
  <c r="I49" i="352"/>
  <c r="I43" i="352"/>
  <c r="I41" i="352"/>
  <c r="I37" i="352"/>
  <c r="I33" i="352"/>
  <c r="I27" i="352"/>
  <c r="I24" i="352"/>
  <c r="I20" i="352"/>
  <c r="I15" i="352"/>
  <c r="I11" i="352"/>
  <c r="I7" i="352"/>
  <c r="I3" i="352"/>
  <c r="I162" i="352"/>
  <c r="I157" i="352"/>
  <c r="I153" i="352"/>
  <c r="I147" i="352"/>
  <c r="I143" i="352"/>
  <c r="I139" i="352"/>
  <c r="I138" i="352"/>
  <c r="I134" i="352"/>
  <c r="H130" i="352"/>
  <c r="I126" i="352"/>
  <c r="H122" i="352"/>
  <c r="H118" i="352"/>
  <c r="H114" i="352"/>
  <c r="H110" i="352"/>
  <c r="H107" i="352"/>
  <c r="I100" i="352"/>
  <c r="H93" i="352"/>
  <c r="H89" i="352"/>
  <c r="I84" i="352"/>
  <c r="H80" i="352"/>
  <c r="H79" i="352"/>
  <c r="I75" i="352"/>
  <c r="I70" i="352"/>
  <c r="I66" i="352"/>
  <c r="H62" i="352"/>
  <c r="I58" i="352"/>
  <c r="I53" i="352"/>
  <c r="H48" i="352"/>
  <c r="H19" i="352"/>
  <c r="I40" i="352"/>
  <c r="H40" i="352"/>
  <c r="I36" i="352"/>
  <c r="I31" i="352"/>
  <c r="H28" i="352"/>
  <c r="I23" i="352"/>
  <c r="I21" i="352"/>
  <c r="H16" i="352"/>
  <c r="H13" i="352"/>
  <c r="I8" i="352"/>
  <c r="I4" i="352"/>
  <c r="I163" i="352"/>
  <c r="H158" i="352"/>
  <c r="H156" i="352"/>
  <c r="I152" i="352"/>
  <c r="H148" i="352"/>
  <c r="H144" i="352"/>
  <c r="I140" i="352"/>
  <c r="I135" i="352"/>
  <c r="I131" i="352"/>
  <c r="H127" i="352"/>
  <c r="H123" i="352"/>
  <c r="I119" i="352"/>
  <c r="H115" i="352"/>
  <c r="H111" i="352"/>
  <c r="I109" i="352"/>
  <c r="I105" i="352"/>
  <c r="I101" i="352"/>
  <c r="H98" i="352"/>
  <c r="I94" i="352"/>
  <c r="I90" i="352"/>
  <c r="H86" i="352"/>
  <c r="H81" i="352"/>
  <c r="H76" i="352"/>
  <c r="I73" i="352"/>
  <c r="I69" i="352"/>
  <c r="H65" i="352"/>
  <c r="I61" i="352"/>
  <c r="I57" i="352"/>
  <c r="H51" i="352"/>
  <c r="H46" i="352"/>
  <c r="I44" i="352"/>
  <c r="I39" i="352"/>
  <c r="I35" i="352"/>
  <c r="H30" i="352"/>
  <c r="I22" i="352"/>
  <c r="I17" i="352"/>
  <c r="H12" i="352"/>
  <c r="H9" i="352"/>
  <c r="I5" i="352"/>
  <c r="I164" i="352"/>
  <c r="I161" i="352"/>
  <c r="H159" i="352"/>
  <c r="H155" i="352"/>
  <c r="I151" i="352"/>
  <c r="I149" i="352"/>
  <c r="I145" i="352"/>
  <c r="H145" i="352"/>
  <c r="H141" i="352"/>
  <c r="I136" i="352"/>
  <c r="I132" i="352"/>
  <c r="H128" i="352"/>
  <c r="I124" i="352"/>
  <c r="I120" i="352"/>
  <c r="I116" i="352"/>
  <c r="H112" i="352"/>
  <c r="H108" i="352"/>
  <c r="I104" i="352"/>
  <c r="I102" i="352"/>
  <c r="H97" i="352"/>
  <c r="I95" i="352"/>
  <c r="I91" i="352"/>
  <c r="H87" i="352"/>
  <c r="H85" i="352"/>
  <c r="I82" i="352"/>
  <c r="H34" i="352"/>
  <c r="I77" i="352"/>
  <c r="H72" i="352"/>
  <c r="I68" i="352"/>
  <c r="I64" i="352"/>
  <c r="H60" i="352"/>
  <c r="H56" i="352"/>
  <c r="I55" i="352"/>
  <c r="H52" i="352"/>
  <c r="I50" i="352"/>
  <c r="H47" i="352"/>
  <c r="H45" i="352"/>
  <c r="I42" i="352"/>
  <c r="I38" i="352"/>
  <c r="H32" i="352"/>
  <c r="H29" i="352"/>
  <c r="I26" i="352"/>
  <c r="I25" i="352"/>
  <c r="H18" i="352"/>
  <c r="I14" i="352"/>
  <c r="I10" i="352"/>
  <c r="I6" i="352"/>
  <c r="H2" i="352"/>
  <c r="I165" i="351"/>
  <c r="I160" i="351"/>
  <c r="H154" i="351"/>
  <c r="I150" i="351"/>
  <c r="H146" i="351"/>
  <c r="I142" i="351"/>
  <c r="H137" i="351"/>
  <c r="I133" i="351"/>
  <c r="H129" i="351"/>
  <c r="I125" i="351"/>
  <c r="H121" i="351"/>
  <c r="I117" i="351"/>
  <c r="H113" i="351"/>
  <c r="I106" i="351"/>
  <c r="H103" i="351"/>
  <c r="I99" i="351"/>
  <c r="H96" i="351"/>
  <c r="I92" i="351"/>
  <c r="H88" i="351"/>
  <c r="I83" i="351"/>
  <c r="H78" i="351"/>
  <c r="H74" i="351"/>
  <c r="I71" i="351"/>
  <c r="H67" i="351"/>
  <c r="H63" i="351"/>
  <c r="I59" i="351"/>
  <c r="I54" i="351"/>
  <c r="I49" i="351"/>
  <c r="H43" i="351"/>
  <c r="I41" i="351"/>
  <c r="I37" i="351"/>
  <c r="H33" i="351"/>
  <c r="H27" i="351"/>
  <c r="I24" i="351"/>
  <c r="I20" i="351"/>
  <c r="I15" i="351"/>
  <c r="I11" i="351"/>
  <c r="H11" i="351"/>
  <c r="I7" i="351"/>
  <c r="I3" i="351"/>
  <c r="H162" i="351"/>
  <c r="H157" i="351"/>
  <c r="H153" i="351"/>
  <c r="I147" i="351"/>
  <c r="I143" i="351"/>
  <c r="H139" i="351"/>
  <c r="I138" i="351"/>
  <c r="I134" i="351"/>
  <c r="I130" i="351"/>
  <c r="H126" i="351"/>
  <c r="I122" i="351"/>
  <c r="I118" i="351"/>
  <c r="I114" i="351"/>
  <c r="H110" i="351"/>
  <c r="H107" i="351"/>
  <c r="I100" i="351"/>
  <c r="H93" i="351"/>
  <c r="H89" i="351"/>
  <c r="I84" i="351"/>
  <c r="I80" i="351"/>
  <c r="I79" i="351"/>
  <c r="H75" i="351"/>
  <c r="I70" i="351"/>
  <c r="I66" i="351"/>
  <c r="I62" i="351"/>
  <c r="H58" i="351"/>
  <c r="H53" i="351"/>
  <c r="I48" i="351"/>
  <c r="I19" i="351"/>
  <c r="H40" i="351"/>
  <c r="I36" i="351"/>
  <c r="I31" i="351"/>
  <c r="H28" i="351"/>
  <c r="H23" i="351"/>
  <c r="I21" i="351"/>
  <c r="H21" i="351"/>
  <c r="H16" i="351"/>
  <c r="I13" i="351"/>
  <c r="H8" i="351"/>
  <c r="H4" i="351"/>
  <c r="I163" i="351"/>
  <c r="I158" i="351"/>
  <c r="H156" i="351"/>
  <c r="I152" i="351"/>
  <c r="I148" i="351"/>
  <c r="I144" i="351"/>
  <c r="H140" i="351"/>
  <c r="H135" i="351"/>
  <c r="I131" i="351"/>
  <c r="H127" i="351"/>
  <c r="H123" i="351"/>
  <c r="I119" i="351"/>
  <c r="I115" i="351"/>
  <c r="I111" i="351"/>
  <c r="H109" i="351"/>
  <c r="I105" i="351"/>
  <c r="I101" i="351"/>
  <c r="H98" i="351"/>
  <c r="H94" i="351"/>
  <c r="I90" i="351"/>
  <c r="H86" i="351"/>
  <c r="I81" i="351"/>
  <c r="H76" i="351"/>
  <c r="I73" i="351"/>
  <c r="I69" i="351"/>
  <c r="H65" i="351"/>
  <c r="H61" i="351"/>
  <c r="H57" i="351"/>
  <c r="I51" i="351"/>
  <c r="I46" i="351"/>
  <c r="H44" i="351"/>
  <c r="H39" i="351"/>
  <c r="I39" i="351"/>
  <c r="I35" i="351"/>
  <c r="I30" i="351"/>
  <c r="H22" i="351"/>
  <c r="I17" i="351"/>
  <c r="I12" i="351"/>
  <c r="I9" i="351"/>
  <c r="I5" i="351"/>
  <c r="H5" i="351"/>
  <c r="H164" i="351"/>
  <c r="I161" i="351"/>
  <c r="I159" i="351"/>
  <c r="H155" i="351"/>
  <c r="I151" i="351"/>
  <c r="I149" i="351"/>
  <c r="I145" i="351"/>
  <c r="H141" i="351"/>
  <c r="I136" i="351"/>
  <c r="I132" i="351"/>
  <c r="I128" i="351"/>
  <c r="H124" i="351"/>
  <c r="H120" i="351"/>
  <c r="I116" i="351"/>
  <c r="I112" i="351"/>
  <c r="H108" i="351"/>
  <c r="I104" i="351"/>
  <c r="I102" i="351"/>
  <c r="H97" i="351"/>
  <c r="H95" i="351"/>
  <c r="I91" i="351"/>
  <c r="H91" i="351"/>
  <c r="I87" i="351"/>
  <c r="I85" i="351"/>
  <c r="H82" i="351"/>
  <c r="H34" i="351"/>
  <c r="I77" i="351"/>
  <c r="I72" i="351"/>
  <c r="H68" i="351"/>
  <c r="I64" i="351"/>
  <c r="I60" i="351"/>
  <c r="I56" i="351"/>
  <c r="H55" i="351"/>
  <c r="H52" i="351"/>
  <c r="I50" i="351"/>
  <c r="H47" i="351"/>
  <c r="H45" i="351"/>
  <c r="I42" i="351"/>
  <c r="I38" i="351"/>
  <c r="I32" i="351"/>
  <c r="H29" i="351"/>
  <c r="I26" i="351"/>
  <c r="I25" i="351"/>
  <c r="I18" i="351"/>
  <c r="H14" i="351"/>
  <c r="I10" i="351"/>
  <c r="I6" i="351"/>
  <c r="I2" i="351"/>
  <c r="G4" i="349"/>
  <c r="H4" i="349" s="1"/>
  <c r="G8" i="349"/>
  <c r="I8" i="349" s="1"/>
  <c r="G13" i="349"/>
  <c r="I13" i="349" s="1"/>
  <c r="G16" i="349"/>
  <c r="H16" i="349" s="1"/>
  <c r="G21" i="349"/>
  <c r="I21" i="349" s="1"/>
  <c r="G23" i="349"/>
  <c r="H23" i="349" s="1"/>
  <c r="G28" i="349"/>
  <c r="I28" i="349" s="1"/>
  <c r="G31" i="349"/>
  <c r="I31" i="349" s="1"/>
  <c r="G36" i="349"/>
  <c r="H36" i="349" s="1"/>
  <c r="G40" i="349"/>
  <c r="I40" i="349" s="1"/>
  <c r="G19" i="349"/>
  <c r="I19" i="349" s="1"/>
  <c r="G48" i="349"/>
  <c r="I48" i="349" s="1"/>
  <c r="G53" i="349"/>
  <c r="H53" i="349" s="1"/>
  <c r="G58" i="349"/>
  <c r="I58" i="349" s="1"/>
  <c r="G62" i="349"/>
  <c r="H62" i="349" s="1"/>
  <c r="G66" i="349"/>
  <c r="H66" i="349" s="1"/>
  <c r="G70" i="349"/>
  <c r="H70" i="349" s="1"/>
  <c r="G75" i="349"/>
  <c r="I75" i="349" s="1"/>
  <c r="G79" i="349"/>
  <c r="H79" i="349" s="1"/>
  <c r="G80" i="349"/>
  <c r="H80" i="349" s="1"/>
  <c r="G84" i="349"/>
  <c r="H84" i="349" s="1"/>
  <c r="G89" i="349"/>
  <c r="H89" i="349" s="1"/>
  <c r="G93" i="349"/>
  <c r="I93" i="349" s="1"/>
  <c r="G100" i="349"/>
  <c r="H100" i="349" s="1"/>
  <c r="G107" i="349"/>
  <c r="H107" i="349" s="1"/>
  <c r="G110" i="349"/>
  <c r="I110" i="349" s="1"/>
  <c r="G114" i="349"/>
  <c r="I114" i="349" s="1"/>
  <c r="G118" i="349"/>
  <c r="H118" i="349" s="1"/>
  <c r="G122" i="349"/>
  <c r="H122" i="349" s="1"/>
  <c r="G126" i="349"/>
  <c r="H126" i="349" s="1"/>
  <c r="G130" i="349"/>
  <c r="H130" i="349" s="1"/>
  <c r="G134" i="349"/>
  <c r="I134" i="349" s="1"/>
  <c r="G138" i="349"/>
  <c r="H138" i="349" s="1"/>
  <c r="G139" i="349"/>
  <c r="I139" i="349" s="1"/>
  <c r="G143" i="349"/>
  <c r="I143" i="349" s="1"/>
  <c r="G147" i="349"/>
  <c r="H147" i="349" s="1"/>
  <c r="G153" i="349"/>
  <c r="H153" i="349" s="1"/>
  <c r="G157" i="349"/>
  <c r="H157" i="349" s="1"/>
  <c r="G162" i="349"/>
  <c r="I162" i="349" s="1"/>
  <c r="I23" i="349"/>
  <c r="I62" i="349"/>
  <c r="H120" i="357" l="1"/>
  <c r="H10" i="357"/>
  <c r="I85" i="361"/>
  <c r="H60" i="357"/>
  <c r="H45" i="357"/>
  <c r="I52" i="361"/>
  <c r="I48" i="361"/>
  <c r="I157" i="349"/>
  <c r="I126" i="349"/>
  <c r="I89" i="349"/>
  <c r="I66" i="349"/>
  <c r="H58" i="349"/>
  <c r="H31" i="349"/>
  <c r="I121" i="361"/>
  <c r="I44" i="361"/>
  <c r="I113" i="361"/>
  <c r="I12" i="361"/>
  <c r="I78" i="361"/>
  <c r="H162" i="349"/>
  <c r="I70" i="349"/>
  <c r="I97" i="364"/>
  <c r="H124" i="364"/>
  <c r="H88" i="364"/>
  <c r="H82" i="364"/>
  <c r="H71" i="364"/>
  <c r="I100" i="363"/>
  <c r="H124" i="363"/>
  <c r="I2" i="363"/>
  <c r="I155" i="363"/>
  <c r="I32" i="363"/>
  <c r="H94" i="363"/>
  <c r="H52" i="357"/>
  <c r="H243" i="355"/>
  <c r="I176" i="355"/>
  <c r="H203" i="355"/>
  <c r="H198" i="355"/>
  <c r="H140" i="355"/>
  <c r="I103" i="355"/>
  <c r="H137" i="355"/>
  <c r="I156" i="352"/>
  <c r="I141" i="352"/>
  <c r="I89" i="352"/>
  <c r="I29" i="352"/>
  <c r="I65" i="361"/>
  <c r="H135" i="361"/>
  <c r="H32" i="361"/>
  <c r="H100" i="361"/>
  <c r="I153" i="361"/>
  <c r="H62" i="361"/>
  <c r="I44" i="351"/>
  <c r="I113" i="351"/>
  <c r="I53" i="349"/>
  <c r="H28" i="349"/>
  <c r="I145" i="364"/>
  <c r="H5" i="364"/>
  <c r="I111" i="364"/>
  <c r="H140" i="364"/>
  <c r="I28" i="364"/>
  <c r="H153" i="364"/>
  <c r="H20" i="364"/>
  <c r="H14" i="364"/>
  <c r="H8" i="364"/>
  <c r="I134" i="364"/>
  <c r="H103" i="364"/>
  <c r="H137" i="364"/>
  <c r="I18" i="364"/>
  <c r="I68" i="364"/>
  <c r="I141" i="364"/>
  <c r="H120" i="363"/>
  <c r="I145" i="363"/>
  <c r="I44" i="363"/>
  <c r="H58" i="363"/>
  <c r="I20" i="363"/>
  <c r="H14" i="363"/>
  <c r="I85" i="363"/>
  <c r="I112" i="363"/>
  <c r="I19" i="363"/>
  <c r="H84" i="355"/>
  <c r="H178" i="355"/>
  <c r="I132" i="355"/>
  <c r="H208" i="355"/>
  <c r="H232" i="355"/>
  <c r="I235" i="355"/>
  <c r="H50" i="355"/>
  <c r="H59" i="355"/>
  <c r="H250" i="355"/>
  <c r="H22" i="352"/>
  <c r="H75" i="352"/>
  <c r="I112" i="352"/>
  <c r="I81" i="352"/>
  <c r="I158" i="352"/>
  <c r="H23" i="352"/>
  <c r="I45" i="352"/>
  <c r="I30" i="352"/>
  <c r="H61" i="352"/>
  <c r="H58" i="352"/>
  <c r="I79" i="352"/>
  <c r="I123" i="352"/>
  <c r="H127" i="361"/>
  <c r="I120" i="351"/>
  <c r="I94" i="351"/>
  <c r="H119" i="351"/>
  <c r="I139" i="351"/>
  <c r="I96" i="351"/>
  <c r="I34" i="351"/>
  <c r="H122" i="351"/>
  <c r="I78" i="351"/>
  <c r="H90" i="351"/>
  <c r="I88" i="351"/>
  <c r="H48" i="349"/>
  <c r="I147" i="349"/>
  <c r="I130" i="349"/>
  <c r="H93" i="349"/>
  <c r="H61" i="364"/>
  <c r="H139" i="364"/>
  <c r="I29" i="364"/>
  <c r="I128" i="364"/>
  <c r="I109" i="364"/>
  <c r="I66" i="364"/>
  <c r="H84" i="364"/>
  <c r="H54" i="364"/>
  <c r="H121" i="364"/>
  <c r="H95" i="364"/>
  <c r="H23" i="364"/>
  <c r="H75" i="364"/>
  <c r="H154" i="364"/>
  <c r="I56" i="364"/>
  <c r="I22" i="364"/>
  <c r="I144" i="364"/>
  <c r="I45" i="363"/>
  <c r="I82" i="363"/>
  <c r="H95" i="363"/>
  <c r="H22" i="363"/>
  <c r="I46" i="363"/>
  <c r="H90" i="363"/>
  <c r="I111" i="363"/>
  <c r="I140" i="363"/>
  <c r="H21" i="363"/>
  <c r="I40" i="363"/>
  <c r="I71" i="363"/>
  <c r="I89" i="363"/>
  <c r="I5" i="363"/>
  <c r="H57" i="363"/>
  <c r="I76" i="363"/>
  <c r="I8" i="363"/>
  <c r="H23" i="363"/>
  <c r="I54" i="363"/>
  <c r="I55" i="363"/>
  <c r="H91" i="363"/>
  <c r="I108" i="363"/>
  <c r="I81" i="363"/>
  <c r="H156" i="363"/>
  <c r="I13" i="363"/>
  <c r="H53" i="363"/>
  <c r="I79" i="363"/>
  <c r="I154" i="363"/>
  <c r="I91" i="357"/>
  <c r="H212" i="355"/>
  <c r="H97" i="355"/>
  <c r="I131" i="355"/>
  <c r="H94" i="355"/>
  <c r="I173" i="355"/>
  <c r="I167" i="355"/>
  <c r="H54" i="355"/>
  <c r="I60" i="355"/>
  <c r="I63" i="355"/>
  <c r="I138" i="355"/>
  <c r="I32" i="352"/>
  <c r="I72" i="352"/>
  <c r="H95" i="352"/>
  <c r="H109" i="352"/>
  <c r="I118" i="352"/>
  <c r="H94" i="352"/>
  <c r="I111" i="352"/>
  <c r="I19" i="352"/>
  <c r="I2" i="352"/>
  <c r="H68" i="352"/>
  <c r="I155" i="352"/>
  <c r="I144" i="352"/>
  <c r="H126" i="352"/>
  <c r="H73" i="361"/>
  <c r="H8" i="361"/>
  <c r="I82" i="351"/>
  <c r="I124" i="351"/>
  <c r="H151" i="351"/>
  <c r="I4" i="351"/>
  <c r="I53" i="351"/>
  <c r="I110" i="351"/>
  <c r="I153" i="351"/>
  <c r="H138" i="351"/>
  <c r="I146" i="351"/>
  <c r="I8" i="351"/>
  <c r="I58" i="351"/>
  <c r="H84" i="351"/>
  <c r="H24" i="351"/>
  <c r="I154" i="351"/>
  <c r="I140" i="351"/>
  <c r="I14" i="351"/>
  <c r="H42" i="351"/>
  <c r="H10" i="351"/>
  <c r="I55" i="351"/>
  <c r="I57" i="351"/>
  <c r="I27" i="351"/>
  <c r="H59" i="351"/>
  <c r="H143" i="349"/>
  <c r="H19" i="349"/>
  <c r="I107" i="349"/>
  <c r="I79" i="349"/>
  <c r="I47" i="364"/>
  <c r="H108" i="364"/>
  <c r="I159" i="364"/>
  <c r="H76" i="364"/>
  <c r="I127" i="364"/>
  <c r="H40" i="364"/>
  <c r="H110" i="364"/>
  <c r="H11" i="364"/>
  <c r="H27" i="364"/>
  <c r="H43" i="364"/>
  <c r="H63" i="364"/>
  <c r="H78" i="364"/>
  <c r="H96" i="364"/>
  <c r="H113" i="364"/>
  <c r="H129" i="364"/>
  <c r="H146" i="364"/>
  <c r="I2" i="364"/>
  <c r="I112" i="364"/>
  <c r="I81" i="364"/>
  <c r="H45" i="364"/>
  <c r="I85" i="364"/>
  <c r="H155" i="364"/>
  <c r="I46" i="364"/>
  <c r="H123" i="364"/>
  <c r="I13" i="364"/>
  <c r="H53" i="364"/>
  <c r="I100" i="364"/>
  <c r="H122" i="364"/>
  <c r="I3" i="364"/>
  <c r="I72" i="364"/>
  <c r="I30" i="364"/>
  <c r="I158" i="364"/>
  <c r="H26" i="364"/>
  <c r="H52" i="364"/>
  <c r="H104" i="364"/>
  <c r="H136" i="364"/>
  <c r="H73" i="364"/>
  <c r="H6" i="364"/>
  <c r="H60" i="364"/>
  <c r="H87" i="364"/>
  <c r="H116" i="364"/>
  <c r="H149" i="364"/>
  <c r="H12" i="364"/>
  <c r="H51" i="364"/>
  <c r="H86" i="364"/>
  <c r="I105" i="364"/>
  <c r="H148" i="364"/>
  <c r="H16" i="364"/>
  <c r="H89" i="364"/>
  <c r="H107" i="364"/>
  <c r="I118" i="364"/>
  <c r="H157" i="364"/>
  <c r="I38" i="364"/>
  <c r="I115" i="364"/>
  <c r="H79" i="364"/>
  <c r="H143" i="364"/>
  <c r="H17" i="364"/>
  <c r="H90" i="364"/>
  <c r="H152" i="364"/>
  <c r="H21" i="364"/>
  <c r="H80" i="364"/>
  <c r="H93" i="364"/>
  <c r="H147" i="364"/>
  <c r="H162" i="364"/>
  <c r="H64" i="364"/>
  <c r="H151" i="364"/>
  <c r="H119" i="364"/>
  <c r="H25" i="364"/>
  <c r="I42" i="364"/>
  <c r="I91" i="364"/>
  <c r="I120" i="364"/>
  <c r="H131" i="364"/>
  <c r="H58" i="364"/>
  <c r="H70" i="364"/>
  <c r="H126" i="364"/>
  <c r="H10" i="364"/>
  <c r="H57" i="364"/>
  <c r="H50" i="364"/>
  <c r="H77" i="364"/>
  <c r="H102" i="364"/>
  <c r="H132" i="364"/>
  <c r="H161" i="364"/>
  <c r="H35" i="364"/>
  <c r="H69" i="364"/>
  <c r="H101" i="364"/>
  <c r="H163" i="364"/>
  <c r="H31" i="364"/>
  <c r="H138" i="364"/>
  <c r="H19" i="364"/>
  <c r="H114" i="364"/>
  <c r="H135" i="364"/>
  <c r="H4" i="364"/>
  <c r="H36" i="364"/>
  <c r="H48" i="364"/>
  <c r="H62" i="364"/>
  <c r="H130" i="364"/>
  <c r="H34" i="364"/>
  <c r="H164" i="364"/>
  <c r="H39" i="364"/>
  <c r="H7" i="364"/>
  <c r="H64" i="363"/>
  <c r="H17" i="363"/>
  <c r="H152" i="363"/>
  <c r="I134" i="363"/>
  <c r="I103" i="363"/>
  <c r="H42" i="363"/>
  <c r="H151" i="363"/>
  <c r="H119" i="363"/>
  <c r="H84" i="363"/>
  <c r="I3" i="363"/>
  <c r="I137" i="363"/>
  <c r="I88" i="363"/>
  <c r="I29" i="363"/>
  <c r="I56" i="363"/>
  <c r="I141" i="363"/>
  <c r="I9" i="363"/>
  <c r="I109" i="363"/>
  <c r="H123" i="363"/>
  <c r="I144" i="363"/>
  <c r="I75" i="363"/>
  <c r="I147" i="363"/>
  <c r="I121" i="363"/>
  <c r="H34" i="363"/>
  <c r="H104" i="363"/>
  <c r="H164" i="363"/>
  <c r="H105" i="363"/>
  <c r="H135" i="363"/>
  <c r="H36" i="363"/>
  <c r="H70" i="363"/>
  <c r="H110" i="363"/>
  <c r="H122" i="363"/>
  <c r="H52" i="363"/>
  <c r="H6" i="363"/>
  <c r="I26" i="363"/>
  <c r="H38" i="363"/>
  <c r="H60" i="363"/>
  <c r="H87" i="363"/>
  <c r="H116" i="363"/>
  <c r="I136" i="363"/>
  <c r="H149" i="363"/>
  <c r="H12" i="363"/>
  <c r="I39" i="363"/>
  <c r="H51" i="363"/>
  <c r="I73" i="363"/>
  <c r="H86" i="363"/>
  <c r="H115" i="363"/>
  <c r="H148" i="363"/>
  <c r="I4" i="363"/>
  <c r="H16" i="363"/>
  <c r="H48" i="363"/>
  <c r="H80" i="363"/>
  <c r="H93" i="363"/>
  <c r="H18" i="363"/>
  <c r="H47" i="363"/>
  <c r="H72" i="363"/>
  <c r="H97" i="363"/>
  <c r="H128" i="363"/>
  <c r="H159" i="363"/>
  <c r="H30" i="363"/>
  <c r="H65" i="363"/>
  <c r="H98" i="363"/>
  <c r="H127" i="363"/>
  <c r="H158" i="363"/>
  <c r="H28" i="363"/>
  <c r="H62" i="363"/>
  <c r="H126" i="363"/>
  <c r="H139" i="363"/>
  <c r="H157" i="363"/>
  <c r="H11" i="363"/>
  <c r="H27" i="363"/>
  <c r="H43" i="363"/>
  <c r="H63" i="363"/>
  <c r="H78" i="363"/>
  <c r="H96" i="363"/>
  <c r="H113" i="363"/>
  <c r="H129" i="363"/>
  <c r="H146" i="363"/>
  <c r="H114" i="363"/>
  <c r="H50" i="363"/>
  <c r="H102" i="363"/>
  <c r="H161" i="363"/>
  <c r="H69" i="363"/>
  <c r="H131" i="363"/>
  <c r="H31" i="363"/>
  <c r="H66" i="363"/>
  <c r="H118" i="363"/>
  <c r="H25" i="363"/>
  <c r="H77" i="363"/>
  <c r="H132" i="363"/>
  <c r="H35" i="363"/>
  <c r="H101" i="363"/>
  <c r="H163" i="363"/>
  <c r="H107" i="363"/>
  <c r="H136" i="357"/>
  <c r="I26" i="357"/>
  <c r="H68" i="357"/>
  <c r="H236" i="355"/>
  <c r="H93" i="355"/>
  <c r="H92" i="355"/>
  <c r="I11" i="355"/>
  <c r="H65" i="355"/>
  <c r="I19" i="355"/>
  <c r="I102" i="355"/>
  <c r="I105" i="355"/>
  <c r="H169" i="355"/>
  <c r="H55" i="355"/>
  <c r="I100" i="355"/>
  <c r="I86" i="355"/>
  <c r="I126" i="355"/>
  <c r="H190" i="355"/>
  <c r="H141" i="355"/>
  <c r="I183" i="355"/>
  <c r="H185" i="355"/>
  <c r="H42" i="355"/>
  <c r="H123" i="355"/>
  <c r="H14" i="355"/>
  <c r="I215" i="355"/>
  <c r="I114" i="355"/>
  <c r="I182" i="355"/>
  <c r="I70" i="355"/>
  <c r="H99" i="355"/>
  <c r="I164" i="355"/>
  <c r="H3" i="355"/>
  <c r="H172" i="355"/>
  <c r="H10" i="355"/>
  <c r="I2" i="355"/>
  <c r="H226" i="355"/>
  <c r="I18" i="355"/>
  <c r="H80" i="355"/>
  <c r="I143" i="355"/>
  <c r="H244" i="355"/>
  <c r="I211" i="355"/>
  <c r="H72" i="355"/>
  <c r="I112" i="355"/>
  <c r="I134" i="355"/>
  <c r="H205" i="355"/>
  <c r="H247" i="355"/>
  <c r="H21" i="355"/>
  <c r="I67" i="355"/>
  <c r="I148" i="355"/>
  <c r="H35" i="355"/>
  <c r="I108" i="352"/>
  <c r="I76" i="352"/>
  <c r="I18" i="352"/>
  <c r="H82" i="352"/>
  <c r="I128" i="352"/>
  <c r="H44" i="352"/>
  <c r="I98" i="352"/>
  <c r="H8" i="352"/>
  <c r="I62" i="352"/>
  <c r="I107" i="352"/>
  <c r="H14" i="352"/>
  <c r="I28" i="352"/>
  <c r="H55" i="352"/>
  <c r="I97" i="352"/>
  <c r="H5" i="352"/>
  <c r="I65" i="352"/>
  <c r="H140" i="352"/>
  <c r="I85" i="352"/>
  <c r="I46" i="352"/>
  <c r="I13" i="352"/>
  <c r="I56" i="352"/>
  <c r="H124" i="352"/>
  <c r="I9" i="352"/>
  <c r="I47" i="352"/>
  <c r="I159" i="352"/>
  <c r="I127" i="352"/>
  <c r="H26" i="352"/>
  <c r="H73" i="352"/>
  <c r="H105" i="352"/>
  <c r="H36" i="352"/>
  <c r="H6" i="352"/>
  <c r="H38" i="352"/>
  <c r="I52" i="352"/>
  <c r="I34" i="352"/>
  <c r="H116" i="352"/>
  <c r="H149" i="352"/>
  <c r="I54" i="352"/>
  <c r="I60" i="352"/>
  <c r="I87" i="352"/>
  <c r="I12" i="352"/>
  <c r="I51" i="352"/>
  <c r="I86" i="352"/>
  <c r="I115" i="352"/>
  <c r="I148" i="352"/>
  <c r="I16" i="352"/>
  <c r="I48" i="352"/>
  <c r="I80" i="352"/>
  <c r="I93" i="352"/>
  <c r="I110" i="352"/>
  <c r="H42" i="352"/>
  <c r="H64" i="352"/>
  <c r="H91" i="352"/>
  <c r="H151" i="352"/>
  <c r="H17" i="352"/>
  <c r="H90" i="352"/>
  <c r="H21" i="352"/>
  <c r="H84" i="352"/>
  <c r="H100" i="352"/>
  <c r="H139" i="352"/>
  <c r="H157" i="352"/>
  <c r="H11" i="352"/>
  <c r="H27" i="352"/>
  <c r="H43" i="352"/>
  <c r="H63" i="352"/>
  <c r="H78" i="352"/>
  <c r="H96" i="352"/>
  <c r="H113" i="352"/>
  <c r="H129" i="352"/>
  <c r="H146" i="352"/>
  <c r="H10" i="352"/>
  <c r="H120" i="352"/>
  <c r="H57" i="352"/>
  <c r="H119" i="352"/>
  <c r="H152" i="352"/>
  <c r="H53" i="352"/>
  <c r="I114" i="352"/>
  <c r="H25" i="352"/>
  <c r="H50" i="352"/>
  <c r="H77" i="352"/>
  <c r="H102" i="352"/>
  <c r="H132" i="352"/>
  <c r="H161" i="352"/>
  <c r="H35" i="352"/>
  <c r="H69" i="352"/>
  <c r="H101" i="352"/>
  <c r="H131" i="352"/>
  <c r="H163" i="352"/>
  <c r="H31" i="352"/>
  <c r="H66" i="352"/>
  <c r="I130" i="352"/>
  <c r="H136" i="352"/>
  <c r="H164" i="352"/>
  <c r="H39" i="352"/>
  <c r="H135" i="352"/>
  <c r="H4" i="352"/>
  <c r="H70" i="352"/>
  <c r="H134" i="352"/>
  <c r="H147" i="352"/>
  <c r="H3" i="352"/>
  <c r="H20" i="352"/>
  <c r="H37" i="352"/>
  <c r="H71" i="352"/>
  <c r="H88" i="352"/>
  <c r="H103" i="352"/>
  <c r="H121" i="352"/>
  <c r="H137" i="352"/>
  <c r="H154" i="352"/>
  <c r="H104" i="352"/>
  <c r="I122" i="352"/>
  <c r="H56" i="361"/>
  <c r="I149" i="361"/>
  <c r="I81" i="361"/>
  <c r="H143" i="361"/>
  <c r="I15" i="361"/>
  <c r="I117" i="361"/>
  <c r="H131" i="361"/>
  <c r="I109" i="361"/>
  <c r="I40" i="361"/>
  <c r="H91" i="361"/>
  <c r="H29" i="361"/>
  <c r="I163" i="361"/>
  <c r="I95" i="361"/>
  <c r="I158" i="361"/>
  <c r="I23" i="361"/>
  <c r="I147" i="361"/>
  <c r="H17" i="351"/>
  <c r="I52" i="351"/>
  <c r="I74" i="351"/>
  <c r="H26" i="351"/>
  <c r="I68" i="351"/>
  <c r="H136" i="351"/>
  <c r="I22" i="351"/>
  <c r="H105" i="351"/>
  <c r="I156" i="351"/>
  <c r="H70" i="351"/>
  <c r="I126" i="351"/>
  <c r="H41" i="351"/>
  <c r="I121" i="351"/>
  <c r="H64" i="351"/>
  <c r="I135" i="351"/>
  <c r="I107" i="351"/>
  <c r="I45" i="351"/>
  <c r="H104" i="351"/>
  <c r="I155" i="351"/>
  <c r="H73" i="351"/>
  <c r="I89" i="351"/>
  <c r="H7" i="351"/>
  <c r="I63" i="351"/>
  <c r="I103" i="351"/>
  <c r="I164" i="351"/>
  <c r="I123" i="351"/>
  <c r="H36" i="351"/>
  <c r="I29" i="351"/>
  <c r="I141" i="351"/>
  <c r="I109" i="351"/>
  <c r="I75" i="351"/>
  <c r="I43" i="351"/>
  <c r="I129" i="351"/>
  <c r="I108" i="351"/>
  <c r="I76" i="351"/>
  <c r="H152" i="351"/>
  <c r="I40" i="351"/>
  <c r="I95" i="351"/>
  <c r="I61" i="351"/>
  <c r="I23" i="351"/>
  <c r="I157" i="351"/>
  <c r="I137" i="351"/>
  <c r="H6" i="351"/>
  <c r="H38" i="351"/>
  <c r="H87" i="351"/>
  <c r="H116" i="351"/>
  <c r="H12" i="351"/>
  <c r="H51" i="351"/>
  <c r="H115" i="351"/>
  <c r="H148" i="351"/>
  <c r="H48" i="351"/>
  <c r="H80" i="351"/>
  <c r="H147" i="351"/>
  <c r="H54" i="351"/>
  <c r="H18" i="351"/>
  <c r="H72" i="351"/>
  <c r="H128" i="351"/>
  <c r="H159" i="351"/>
  <c r="H30" i="351"/>
  <c r="I86" i="351"/>
  <c r="H158" i="351"/>
  <c r="I16" i="351"/>
  <c r="H62" i="351"/>
  <c r="H130" i="351"/>
  <c r="I47" i="351"/>
  <c r="I97" i="351"/>
  <c r="I65" i="351"/>
  <c r="I98" i="351"/>
  <c r="I127" i="351"/>
  <c r="I28" i="351"/>
  <c r="I93" i="351"/>
  <c r="I162" i="351"/>
  <c r="I33" i="351"/>
  <c r="I67" i="351"/>
  <c r="H35" i="351"/>
  <c r="H69" i="351"/>
  <c r="H131" i="351"/>
  <c r="H163" i="351"/>
  <c r="H100" i="351"/>
  <c r="H37" i="351"/>
  <c r="H71" i="351"/>
  <c r="H77" i="351"/>
  <c r="H161" i="351"/>
  <c r="H101" i="351"/>
  <c r="H31" i="351"/>
  <c r="H134" i="351"/>
  <c r="H25" i="351"/>
  <c r="H50" i="351"/>
  <c r="H102" i="351"/>
  <c r="H132" i="351"/>
  <c r="H66" i="351"/>
  <c r="H3" i="351"/>
  <c r="H2" i="351"/>
  <c r="H32" i="351"/>
  <c r="H56" i="351"/>
  <c r="H85" i="351"/>
  <c r="H112" i="351"/>
  <c r="H145" i="351"/>
  <c r="H9" i="351"/>
  <c r="H46" i="351"/>
  <c r="H81" i="351"/>
  <c r="H111" i="351"/>
  <c r="H144" i="351"/>
  <c r="H13" i="351"/>
  <c r="H19" i="351"/>
  <c r="H79" i="351"/>
  <c r="H114" i="351"/>
  <c r="H143" i="351"/>
  <c r="H15" i="351"/>
  <c r="H49" i="351"/>
  <c r="H60" i="351"/>
  <c r="H149" i="351"/>
  <c r="H118" i="351"/>
  <c r="H20" i="351"/>
  <c r="I16" i="349"/>
  <c r="H114" i="349"/>
  <c r="H13" i="349"/>
  <c r="I84" i="349"/>
  <c r="I122" i="349"/>
  <c r="I80" i="349"/>
  <c r="I4" i="349"/>
  <c r="I153" i="349"/>
  <c r="I118" i="349"/>
  <c r="I36" i="349"/>
  <c r="H134" i="349"/>
  <c r="H21" i="349"/>
  <c r="I138" i="349"/>
  <c r="I100" i="349"/>
  <c r="H189" i="355"/>
  <c r="H121" i="355"/>
  <c r="H47" i="355"/>
  <c r="H220" i="355"/>
  <c r="H147" i="355"/>
  <c r="H79" i="355"/>
  <c r="H13" i="355"/>
  <c r="H102" i="357"/>
  <c r="H15" i="364"/>
  <c r="H24" i="364"/>
  <c r="H33" i="364"/>
  <c r="H41" i="364"/>
  <c r="H49" i="364"/>
  <c r="H59" i="364"/>
  <c r="H67" i="364"/>
  <c r="H74" i="364"/>
  <c r="H83" i="364"/>
  <c r="H92" i="364"/>
  <c r="H99" i="364"/>
  <c r="H106" i="364"/>
  <c r="H117" i="364"/>
  <c r="H125" i="364"/>
  <c r="H133" i="364"/>
  <c r="H142" i="364"/>
  <c r="H150" i="364"/>
  <c r="H160" i="364"/>
  <c r="H165" i="364"/>
  <c r="H130" i="363"/>
  <c r="H138" i="363"/>
  <c r="H143" i="363"/>
  <c r="H153" i="363"/>
  <c r="H162" i="363"/>
  <c r="H7" i="363"/>
  <c r="H15" i="363"/>
  <c r="H24" i="363"/>
  <c r="H33" i="363"/>
  <c r="H41" i="363"/>
  <c r="H49" i="363"/>
  <c r="H59" i="363"/>
  <c r="H67" i="363"/>
  <c r="H74" i="363"/>
  <c r="H83" i="363"/>
  <c r="H92" i="363"/>
  <c r="H99" i="363"/>
  <c r="H106" i="363"/>
  <c r="H117" i="363"/>
  <c r="H125" i="363"/>
  <c r="H133" i="363"/>
  <c r="H142" i="363"/>
  <c r="H150" i="363"/>
  <c r="H160" i="363"/>
  <c r="H165" i="363"/>
  <c r="H28" i="355"/>
  <c r="H166" i="355"/>
  <c r="H200" i="355"/>
  <c r="I135" i="355"/>
  <c r="I170" i="355"/>
  <c r="H31" i="355"/>
  <c r="I229" i="355"/>
  <c r="I22" i="355"/>
  <c r="H233" i="355"/>
  <c r="I154" i="355"/>
  <c r="I184" i="355"/>
  <c r="H165" i="355"/>
  <c r="I175" i="355"/>
  <c r="I206" i="355"/>
  <c r="H153" i="355"/>
  <c r="I38" i="355"/>
  <c r="H249" i="355"/>
  <c r="I49" i="355"/>
  <c r="I82" i="355"/>
  <c r="H246" i="355"/>
  <c r="H129" i="355"/>
  <c r="H160" i="355"/>
  <c r="H83" i="355"/>
  <c r="H217" i="355"/>
  <c r="H17" i="355"/>
  <c r="I221" i="355"/>
  <c r="I56" i="355"/>
  <c r="I115" i="355"/>
  <c r="I75" i="355"/>
  <c r="I238" i="355"/>
  <c r="I69" i="355"/>
  <c r="I144" i="355"/>
  <c r="I227" i="355"/>
  <c r="I7" i="355"/>
  <c r="I78" i="355"/>
  <c r="I161" i="355"/>
  <c r="I241" i="355"/>
  <c r="I73" i="355"/>
  <c r="I156" i="355"/>
  <c r="I230" i="355"/>
  <c r="H27" i="355"/>
  <c r="H91" i="355"/>
  <c r="H151" i="355"/>
  <c r="H214" i="355"/>
  <c r="H29" i="355"/>
  <c r="H109" i="355"/>
  <c r="H179" i="355"/>
  <c r="H45" i="355"/>
  <c r="H118" i="355"/>
  <c r="H197" i="355"/>
  <c r="H32" i="355"/>
  <c r="H111" i="355"/>
  <c r="H195" i="355"/>
  <c r="H96" i="355"/>
  <c r="H158" i="355"/>
  <c r="H117" i="355"/>
  <c r="H192" i="355"/>
  <c r="H128" i="355"/>
  <c r="H209" i="355"/>
  <c r="H43" i="355"/>
  <c r="H125" i="355"/>
  <c r="H201" i="355"/>
  <c r="H36" i="355"/>
  <c r="H223" i="355"/>
  <c r="H39" i="355"/>
  <c r="H46" i="355"/>
  <c r="H138" i="352"/>
  <c r="H143" i="352"/>
  <c r="H153" i="352"/>
  <c r="H162" i="352"/>
  <c r="H7" i="352"/>
  <c r="H15" i="352"/>
  <c r="H24" i="352"/>
  <c r="H33" i="352"/>
  <c r="H41" i="352"/>
  <c r="H49" i="352"/>
  <c r="H59" i="352"/>
  <c r="H67" i="352"/>
  <c r="H74" i="352"/>
  <c r="H83" i="352"/>
  <c r="H92" i="352"/>
  <c r="H99" i="352"/>
  <c r="H106" i="352"/>
  <c r="H117" i="352"/>
  <c r="H125" i="352"/>
  <c r="H133" i="352"/>
  <c r="H142" i="352"/>
  <c r="H150" i="352"/>
  <c r="H160" i="352"/>
  <c r="H165" i="352"/>
  <c r="H83" i="351"/>
  <c r="H92" i="351"/>
  <c r="H99" i="351"/>
  <c r="H106" i="351"/>
  <c r="H117" i="351"/>
  <c r="H125" i="351"/>
  <c r="H133" i="351"/>
  <c r="H142" i="351"/>
  <c r="H150" i="351"/>
  <c r="H160" i="351"/>
  <c r="H165" i="351"/>
  <c r="H139" i="349"/>
  <c r="H110" i="349"/>
  <c r="H75" i="349"/>
  <c r="H40" i="349"/>
  <c r="H8" i="349"/>
  <c r="G2" i="365"/>
  <c r="G3" i="365"/>
  <c r="G4" i="365"/>
  <c r="G5" i="365"/>
  <c r="G6" i="365"/>
  <c r="G7" i="365"/>
  <c r="G8" i="365"/>
  <c r="G9" i="365"/>
  <c r="G10" i="365"/>
  <c r="G11" i="365"/>
  <c r="G12" i="365"/>
  <c r="G13" i="365"/>
  <c r="G14" i="365"/>
  <c r="G15" i="365"/>
  <c r="G16" i="365"/>
  <c r="G17" i="365"/>
  <c r="G18" i="365"/>
  <c r="G19" i="365"/>
  <c r="G20" i="365"/>
  <c r="G21" i="365"/>
  <c r="G22" i="365"/>
  <c r="G23" i="365"/>
  <c r="G24" i="365"/>
  <c r="G25" i="365"/>
  <c r="G26" i="365"/>
  <c r="G27" i="365"/>
  <c r="G28" i="365"/>
  <c r="G29" i="365"/>
  <c r="G30" i="365"/>
  <c r="G31" i="365"/>
  <c r="G32" i="365"/>
  <c r="G33" i="365"/>
  <c r="G34" i="365"/>
  <c r="G35" i="365"/>
  <c r="G36" i="365"/>
  <c r="G37" i="365"/>
  <c r="G38" i="365"/>
  <c r="G39" i="365"/>
  <c r="G40" i="365"/>
  <c r="G41" i="365"/>
  <c r="G42" i="365"/>
  <c r="G43" i="365"/>
  <c r="G44" i="365"/>
  <c r="G45" i="365"/>
  <c r="G46" i="365"/>
  <c r="G47" i="365"/>
  <c r="G48" i="365"/>
  <c r="G49" i="365"/>
  <c r="G50" i="365"/>
  <c r="G51" i="365"/>
  <c r="G52" i="365"/>
  <c r="G53" i="365"/>
  <c r="G54" i="365"/>
  <c r="G55" i="365"/>
  <c r="G56" i="365"/>
  <c r="G57" i="365"/>
  <c r="G58" i="365"/>
  <c r="G59" i="365"/>
  <c r="G60" i="365"/>
  <c r="G61" i="365"/>
  <c r="G62" i="365"/>
  <c r="G63" i="365"/>
  <c r="G64" i="365"/>
  <c r="G65" i="365"/>
  <c r="G66" i="365"/>
  <c r="G67" i="365"/>
  <c r="G68" i="365"/>
  <c r="G69" i="365"/>
  <c r="G70" i="365"/>
  <c r="G71" i="365"/>
  <c r="G72" i="365"/>
  <c r="G73" i="365"/>
  <c r="G74" i="365"/>
  <c r="G75" i="365"/>
  <c r="G76" i="365"/>
  <c r="G77" i="365"/>
  <c r="G78" i="365"/>
  <c r="G79" i="365"/>
  <c r="G80" i="365"/>
  <c r="G81" i="365"/>
  <c r="G82" i="365"/>
  <c r="G83" i="365"/>
  <c r="I83" i="365" l="1"/>
  <c r="H83" i="365"/>
  <c r="F83" i="365"/>
  <c r="I82" i="365"/>
  <c r="H82" i="365"/>
  <c r="F82" i="365"/>
  <c r="I81" i="365"/>
  <c r="H81" i="365"/>
  <c r="F81" i="365"/>
  <c r="I80" i="365"/>
  <c r="H80" i="365"/>
  <c r="F80" i="365"/>
  <c r="I79" i="365"/>
  <c r="H79" i="365"/>
  <c r="F79" i="365"/>
  <c r="I78" i="365"/>
  <c r="H78" i="365"/>
  <c r="F78" i="365"/>
  <c r="I77" i="365"/>
  <c r="H77" i="365"/>
  <c r="F77" i="365"/>
  <c r="I76" i="365"/>
  <c r="H76" i="365"/>
  <c r="F76" i="365"/>
  <c r="I75" i="365"/>
  <c r="H75" i="365"/>
  <c r="F75" i="365"/>
  <c r="I74" i="365"/>
  <c r="H74" i="365"/>
  <c r="F74" i="365"/>
  <c r="I73" i="365"/>
  <c r="H73" i="365"/>
  <c r="F73" i="365"/>
  <c r="I72" i="365"/>
  <c r="H72" i="365"/>
  <c r="F72" i="365"/>
  <c r="I71" i="365"/>
  <c r="H71" i="365"/>
  <c r="F71" i="365"/>
  <c r="I70" i="365"/>
  <c r="H70" i="365"/>
  <c r="F70" i="365"/>
  <c r="I69" i="365"/>
  <c r="H69" i="365"/>
  <c r="F69" i="365"/>
  <c r="I68" i="365"/>
  <c r="H68" i="365"/>
  <c r="F68" i="365"/>
  <c r="I67" i="365"/>
  <c r="H67" i="365"/>
  <c r="F67" i="365"/>
  <c r="I66" i="365"/>
  <c r="H66" i="365"/>
  <c r="F66" i="365"/>
  <c r="I65" i="365"/>
  <c r="H65" i="365"/>
  <c r="F65" i="365"/>
  <c r="I64" i="365"/>
  <c r="H64" i="365"/>
  <c r="F64" i="365"/>
  <c r="I63" i="365"/>
  <c r="H63" i="365"/>
  <c r="F63" i="365"/>
  <c r="I62" i="365"/>
  <c r="H62" i="365"/>
  <c r="F62" i="365"/>
  <c r="I61" i="365"/>
  <c r="H61" i="365"/>
  <c r="F61" i="365"/>
  <c r="I60" i="365"/>
  <c r="H60" i="365"/>
  <c r="F60" i="365"/>
  <c r="I59" i="365"/>
  <c r="H59" i="365"/>
  <c r="F59" i="365"/>
  <c r="I58" i="365"/>
  <c r="H58" i="365"/>
  <c r="F58" i="365"/>
  <c r="I57" i="365"/>
  <c r="H57" i="365"/>
  <c r="F57" i="365"/>
  <c r="I56" i="365"/>
  <c r="H56" i="365"/>
  <c r="F56" i="365"/>
  <c r="I55" i="365"/>
  <c r="H55" i="365"/>
  <c r="F55" i="365"/>
  <c r="I54" i="365"/>
  <c r="H54" i="365"/>
  <c r="F54" i="365"/>
  <c r="I53" i="365"/>
  <c r="H53" i="365"/>
  <c r="F53" i="365"/>
  <c r="I52" i="365"/>
  <c r="H52" i="365"/>
  <c r="F52" i="365"/>
  <c r="I51" i="365"/>
  <c r="H51" i="365"/>
  <c r="F51" i="365"/>
  <c r="I50" i="365"/>
  <c r="H50" i="365"/>
  <c r="F50" i="365"/>
  <c r="I49" i="365"/>
  <c r="H49" i="365"/>
  <c r="F49" i="365"/>
  <c r="I48" i="365"/>
  <c r="H48" i="365"/>
  <c r="F48" i="365"/>
  <c r="I47" i="365"/>
  <c r="H47" i="365"/>
  <c r="F47" i="365"/>
  <c r="I46" i="365"/>
  <c r="H46" i="365"/>
  <c r="F46" i="365"/>
  <c r="I45" i="365"/>
  <c r="H45" i="365"/>
  <c r="F45" i="365"/>
  <c r="I44" i="365"/>
  <c r="H44" i="365"/>
  <c r="F44" i="365"/>
  <c r="I43" i="365"/>
  <c r="H43" i="365"/>
  <c r="F43" i="365"/>
  <c r="I42" i="365"/>
  <c r="H42" i="365"/>
  <c r="F42" i="365"/>
  <c r="I41" i="365"/>
  <c r="H41" i="365"/>
  <c r="F41" i="365"/>
  <c r="I40" i="365"/>
  <c r="H40" i="365"/>
  <c r="F40" i="365"/>
  <c r="I39" i="365"/>
  <c r="H39" i="365"/>
  <c r="F39" i="365"/>
  <c r="I38" i="365"/>
  <c r="H38" i="365"/>
  <c r="F38" i="365"/>
  <c r="I37" i="365"/>
  <c r="H37" i="365"/>
  <c r="F37" i="365"/>
  <c r="I36" i="365"/>
  <c r="H36" i="365"/>
  <c r="F36" i="365"/>
  <c r="I35" i="365"/>
  <c r="H35" i="365"/>
  <c r="F35" i="365"/>
  <c r="I34" i="365"/>
  <c r="H34" i="365"/>
  <c r="F34" i="365"/>
  <c r="I33" i="365"/>
  <c r="H33" i="365"/>
  <c r="F33" i="365"/>
  <c r="I32" i="365"/>
  <c r="H32" i="365"/>
  <c r="F32" i="365"/>
  <c r="I31" i="365"/>
  <c r="H31" i="365"/>
  <c r="F31" i="365"/>
  <c r="I30" i="365"/>
  <c r="H30" i="365"/>
  <c r="F30" i="365"/>
  <c r="I29" i="365"/>
  <c r="H29" i="365"/>
  <c r="F29" i="365"/>
  <c r="I28" i="365"/>
  <c r="H28" i="365"/>
  <c r="F28" i="365"/>
  <c r="I27" i="365"/>
  <c r="H27" i="365"/>
  <c r="F27" i="365"/>
  <c r="I26" i="365"/>
  <c r="H26" i="365"/>
  <c r="F26" i="365"/>
  <c r="I25" i="365"/>
  <c r="H25" i="365"/>
  <c r="F25" i="365"/>
  <c r="I24" i="365"/>
  <c r="H24" i="365"/>
  <c r="F24" i="365"/>
  <c r="I23" i="365"/>
  <c r="H23" i="365"/>
  <c r="F23" i="365"/>
  <c r="I22" i="365"/>
  <c r="H22" i="365"/>
  <c r="F22" i="365"/>
  <c r="I21" i="365"/>
  <c r="H21" i="365"/>
  <c r="F21" i="365"/>
  <c r="I20" i="365"/>
  <c r="H20" i="365"/>
  <c r="F20" i="365"/>
  <c r="I19" i="365"/>
  <c r="H19" i="365"/>
  <c r="F19" i="365"/>
  <c r="I18" i="365"/>
  <c r="H18" i="365"/>
  <c r="F18" i="365"/>
  <c r="I17" i="365"/>
  <c r="H17" i="365"/>
  <c r="F17" i="365"/>
  <c r="I16" i="365"/>
  <c r="H16" i="365"/>
  <c r="F16" i="365"/>
  <c r="I15" i="365"/>
  <c r="H15" i="365"/>
  <c r="F15" i="365"/>
  <c r="I14" i="365"/>
  <c r="H14" i="365"/>
  <c r="F14" i="365"/>
  <c r="I13" i="365"/>
  <c r="H13" i="365"/>
  <c r="F13" i="365"/>
  <c r="I12" i="365"/>
  <c r="H12" i="365"/>
  <c r="F12" i="365"/>
  <c r="I11" i="365"/>
  <c r="H11" i="365"/>
  <c r="F11" i="365"/>
  <c r="I10" i="365"/>
  <c r="H10" i="365"/>
  <c r="F10" i="365"/>
  <c r="I9" i="365"/>
  <c r="H9" i="365"/>
  <c r="F9" i="365"/>
  <c r="I8" i="365"/>
  <c r="H8" i="365"/>
  <c r="F8" i="365"/>
  <c r="I7" i="365"/>
  <c r="H7" i="365"/>
  <c r="F7" i="365"/>
  <c r="I6" i="365"/>
  <c r="H6" i="365"/>
  <c r="F6" i="365"/>
  <c r="I5" i="365"/>
  <c r="H5" i="365"/>
  <c r="F5" i="365"/>
  <c r="I4" i="365"/>
  <c r="H4" i="365"/>
  <c r="F4" i="365"/>
  <c r="I3" i="365"/>
  <c r="H3" i="365"/>
  <c r="F3" i="365"/>
  <c r="I2" i="365"/>
  <c r="H2" i="365"/>
  <c r="F2" i="365"/>
  <c r="F2" i="357"/>
  <c r="F18" i="357"/>
  <c r="F32" i="357"/>
  <c r="F47" i="357"/>
  <c r="F56" i="357"/>
  <c r="F82" i="357"/>
  <c r="F85" i="357"/>
  <c r="F95" i="357"/>
  <c r="F104" i="357"/>
  <c r="F128" i="357"/>
  <c r="F145" i="357"/>
  <c r="F155" i="357"/>
  <c r="F161" i="357"/>
  <c r="F112" i="357"/>
  <c r="G2" i="357" l="1"/>
  <c r="G18" i="357"/>
  <c r="G32" i="357"/>
  <c r="G47" i="357"/>
  <c r="G56" i="357"/>
  <c r="G82" i="357"/>
  <c r="G85" i="357"/>
  <c r="G95" i="357"/>
  <c r="G104" i="357"/>
  <c r="G128" i="357"/>
  <c r="G145" i="357"/>
  <c r="G155" i="357"/>
  <c r="G161" i="357"/>
  <c r="G112" i="357"/>
  <c r="G2" i="361"/>
  <c r="G6" i="361"/>
  <c r="G10" i="361"/>
  <c r="G14" i="361"/>
  <c r="G17" i="361"/>
  <c r="G21" i="361"/>
  <c r="G25" i="361"/>
  <c r="G27" i="361"/>
  <c r="G31" i="361"/>
  <c r="G34" i="361"/>
  <c r="G38" i="361"/>
  <c r="G42" i="361"/>
  <c r="G46" i="361"/>
  <c r="G50" i="361"/>
  <c r="G54" i="361"/>
  <c r="G58" i="361"/>
  <c r="G60" i="361"/>
  <c r="G63" i="361"/>
  <c r="G67" i="361"/>
  <c r="G71" i="361"/>
  <c r="G76" i="361"/>
  <c r="G80" i="361"/>
  <c r="G83" i="361"/>
  <c r="G89" i="361"/>
  <c r="G93" i="361"/>
  <c r="G97" i="361"/>
  <c r="G102" i="361"/>
  <c r="G106" i="361"/>
  <c r="G111" i="361"/>
  <c r="G115" i="361"/>
  <c r="G119" i="361"/>
  <c r="G122" i="361"/>
  <c r="G124" i="361"/>
  <c r="G129" i="361"/>
  <c r="G133" i="361"/>
  <c r="G137" i="361"/>
  <c r="G141" i="361"/>
  <c r="G145" i="361"/>
  <c r="G151" i="361"/>
  <c r="G156" i="361"/>
  <c r="G160" i="361"/>
  <c r="G161" i="361"/>
  <c r="G166" i="361"/>
  <c r="G2" i="349"/>
  <c r="G6" i="349"/>
  <c r="G10" i="349"/>
  <c r="G14" i="349"/>
  <c r="G18" i="349"/>
  <c r="G25" i="349"/>
  <c r="G26" i="349"/>
  <c r="G29" i="349"/>
  <c r="G32" i="349"/>
  <c r="G38" i="349"/>
  <c r="G42" i="349"/>
  <c r="G45" i="349"/>
  <c r="G47" i="349"/>
  <c r="G50" i="349"/>
  <c r="G52" i="349"/>
  <c r="G55" i="349"/>
  <c r="G56" i="349"/>
  <c r="G60" i="349"/>
  <c r="G64" i="349"/>
  <c r="G68" i="349"/>
  <c r="G72" i="349"/>
  <c r="G77" i="349"/>
  <c r="G34" i="349"/>
  <c r="G82" i="349"/>
  <c r="G85" i="349"/>
  <c r="G87" i="349"/>
  <c r="G91" i="349"/>
  <c r="G95" i="349"/>
  <c r="G97" i="349"/>
  <c r="G102" i="349"/>
  <c r="G104" i="349"/>
  <c r="G108" i="349"/>
  <c r="G112" i="349"/>
  <c r="G116" i="349"/>
  <c r="G120" i="349"/>
  <c r="G124" i="349"/>
  <c r="G128" i="349"/>
  <c r="G132" i="349"/>
  <c r="G136" i="349"/>
  <c r="G141" i="349"/>
  <c r="G145" i="349"/>
  <c r="G149" i="349"/>
  <c r="G151" i="349"/>
  <c r="G155" i="349"/>
  <c r="G159" i="349"/>
  <c r="G161" i="349"/>
  <c r="G164" i="349"/>
  <c r="H112" i="357" l="1"/>
  <c r="I112" i="357"/>
  <c r="H161" i="357"/>
  <c r="I161" i="357"/>
  <c r="I155" i="357"/>
  <c r="H145" i="357"/>
  <c r="I145" i="357"/>
  <c r="I128" i="357"/>
  <c r="H128" i="357"/>
  <c r="H104" i="357"/>
  <c r="I104" i="357"/>
  <c r="I95" i="357"/>
  <c r="H95" i="357"/>
  <c r="H85" i="357"/>
  <c r="I85" i="357"/>
  <c r="I82" i="357"/>
  <c r="H82" i="357"/>
  <c r="H56" i="357"/>
  <c r="I56" i="357"/>
  <c r="I47" i="357"/>
  <c r="H47" i="357"/>
  <c r="H32" i="357"/>
  <c r="I32" i="357"/>
  <c r="I18" i="357"/>
  <c r="H18" i="357"/>
  <c r="H2" i="357"/>
  <c r="I2" i="357"/>
  <c r="I166" i="361"/>
  <c r="H166" i="361"/>
  <c r="I161" i="361"/>
  <c r="H161" i="361"/>
  <c r="I160" i="361"/>
  <c r="H160" i="361"/>
  <c r="I156" i="361"/>
  <c r="H156" i="361"/>
  <c r="I151" i="361"/>
  <c r="H151" i="361"/>
  <c r="I145" i="361"/>
  <c r="H145" i="361"/>
  <c r="I141" i="361"/>
  <c r="H141" i="361"/>
  <c r="I137" i="361"/>
  <c r="H137" i="361"/>
  <c r="I133" i="361"/>
  <c r="H133" i="361"/>
  <c r="I129" i="361"/>
  <c r="H129" i="361"/>
  <c r="I124" i="361"/>
  <c r="H124" i="361"/>
  <c r="I122" i="361"/>
  <c r="H122" i="361"/>
  <c r="I119" i="361"/>
  <c r="H119" i="361"/>
  <c r="I115" i="361"/>
  <c r="H115" i="361"/>
  <c r="I111" i="361"/>
  <c r="H111" i="361"/>
  <c r="I106" i="361"/>
  <c r="H106" i="361"/>
  <c r="I102" i="361"/>
  <c r="H102" i="361"/>
  <c r="I97" i="361"/>
  <c r="H97" i="361"/>
  <c r="I93" i="361"/>
  <c r="H93" i="361"/>
  <c r="I89" i="361"/>
  <c r="H89" i="361"/>
  <c r="I83" i="361"/>
  <c r="H83" i="361"/>
  <c r="I80" i="361"/>
  <c r="H80" i="361"/>
  <c r="I76" i="361"/>
  <c r="H76" i="361"/>
  <c r="I71" i="361"/>
  <c r="H71" i="361"/>
  <c r="I67" i="361"/>
  <c r="H67" i="361"/>
  <c r="I63" i="361"/>
  <c r="H63" i="361"/>
  <c r="I60" i="361"/>
  <c r="H60" i="361"/>
  <c r="I58" i="361"/>
  <c r="H58" i="361"/>
  <c r="I54" i="361"/>
  <c r="H54" i="361"/>
  <c r="I50" i="361"/>
  <c r="H50" i="361"/>
  <c r="I46" i="361"/>
  <c r="H46" i="361"/>
  <c r="I42" i="361"/>
  <c r="H42" i="361"/>
  <c r="I38" i="361"/>
  <c r="H38" i="361"/>
  <c r="I34" i="361"/>
  <c r="H34" i="361"/>
  <c r="I31" i="361"/>
  <c r="H31" i="361"/>
  <c r="I27" i="361"/>
  <c r="H27" i="361"/>
  <c r="I25" i="361"/>
  <c r="H25" i="361"/>
  <c r="I21" i="361"/>
  <c r="H21" i="361"/>
  <c r="I17" i="361"/>
  <c r="H17" i="361"/>
  <c r="I14" i="361"/>
  <c r="H14" i="361"/>
  <c r="I10" i="361"/>
  <c r="H10" i="361"/>
  <c r="I6" i="361"/>
  <c r="H6" i="361"/>
  <c r="I2" i="361"/>
  <c r="H2" i="361"/>
  <c r="I164" i="349"/>
  <c r="I161" i="349"/>
  <c r="H161" i="349"/>
  <c r="I159" i="349"/>
  <c r="I155" i="349"/>
  <c r="H155" i="349"/>
  <c r="I151" i="349"/>
  <c r="I149" i="349"/>
  <c r="H149" i="349"/>
  <c r="I145" i="349"/>
  <c r="I141" i="349"/>
  <c r="H141" i="349"/>
  <c r="I136" i="349"/>
  <c r="I132" i="349"/>
  <c r="H132" i="349"/>
  <c r="I128" i="349"/>
  <c r="I124" i="349"/>
  <c r="H124" i="349"/>
  <c r="I120" i="349"/>
  <c r="I116" i="349"/>
  <c r="H116" i="349"/>
  <c r="I112" i="349"/>
  <c r="I108" i="349"/>
  <c r="H108" i="349"/>
  <c r="I104" i="349"/>
  <c r="I102" i="349"/>
  <c r="H102" i="349"/>
  <c r="I97" i="349"/>
  <c r="I95" i="349"/>
  <c r="H95" i="349"/>
  <c r="I91" i="349"/>
  <c r="I87" i="349"/>
  <c r="H87" i="349"/>
  <c r="I85" i="349"/>
  <c r="I82" i="349"/>
  <c r="H82" i="349"/>
  <c r="I34" i="349"/>
  <c r="I77" i="349"/>
  <c r="H77" i="349"/>
  <c r="I72" i="349"/>
  <c r="I68" i="349"/>
  <c r="H68" i="349"/>
  <c r="I64" i="349"/>
  <c r="I60" i="349"/>
  <c r="H60" i="349"/>
  <c r="I56" i="349"/>
  <c r="I55" i="349"/>
  <c r="H55" i="349"/>
  <c r="I52" i="349"/>
  <c r="I50" i="349"/>
  <c r="H50" i="349"/>
  <c r="I47" i="349"/>
  <c r="I45" i="349"/>
  <c r="H45" i="349"/>
  <c r="I42" i="349"/>
  <c r="I38" i="349"/>
  <c r="H38" i="349"/>
  <c r="I32" i="349"/>
  <c r="I29" i="349"/>
  <c r="H29" i="349"/>
  <c r="I26" i="349"/>
  <c r="I25" i="349"/>
  <c r="H25" i="349"/>
  <c r="I18" i="349"/>
  <c r="I14" i="349"/>
  <c r="H14" i="349"/>
  <c r="I10" i="349"/>
  <c r="I6" i="349"/>
  <c r="H6" i="349"/>
  <c r="I2" i="349"/>
  <c r="H155" i="357" l="1"/>
  <c r="H2" i="349"/>
  <c r="H10" i="349"/>
  <c r="H18" i="349"/>
  <c r="H26" i="349"/>
  <c r="H32" i="349"/>
  <c r="H42" i="349"/>
  <c r="H47" i="349"/>
  <c r="H52" i="349"/>
  <c r="H56" i="349"/>
  <c r="H64" i="349"/>
  <c r="H72" i="349"/>
  <c r="H34" i="349"/>
  <c r="H85" i="349"/>
  <c r="H91" i="349"/>
  <c r="H97" i="349"/>
  <c r="H104" i="349"/>
  <c r="H112" i="349"/>
  <c r="H120" i="349"/>
  <c r="H128" i="349"/>
  <c r="H136" i="349"/>
  <c r="H145" i="349"/>
  <c r="H151" i="349"/>
  <c r="H159" i="349"/>
  <c r="H164" i="349"/>
  <c r="G2" i="362" l="1"/>
  <c r="H2" i="362" l="1"/>
  <c r="F2" i="362" s="1"/>
</calcChain>
</file>

<file path=xl/sharedStrings.xml><?xml version="1.0" encoding="utf-8"?>
<sst xmlns="http://schemas.openxmlformats.org/spreadsheetml/2006/main" count="6107" uniqueCount="407">
  <si>
    <t>Date</t>
  </si>
  <si>
    <t>Time</t>
  </si>
  <si>
    <t>Sport</t>
  </si>
  <si>
    <t>Match</t>
  </si>
  <si>
    <t>Channel</t>
  </si>
  <si>
    <t>[ DEVELOPMENT ] - Timestamp</t>
  </si>
  <si>
    <t>[ DEVELOPMENT ] - GMT</t>
  </si>
  <si>
    <t>[ DEVELOPMENT ] - GMT Time</t>
  </si>
  <si>
    <t>Football</t>
  </si>
  <si>
    <t>Premier League: Manchester City - Manchester United</t>
  </si>
  <si>
    <t>S1</t>
  </si>
  <si>
    <t>Azerbaijan</t>
  </si>
  <si>
    <t>Estonia</t>
  </si>
  <si>
    <t>Kazakhstan</t>
  </si>
  <si>
    <t>Kyrgyzstan</t>
  </si>
  <si>
    <t>Latvia</t>
  </si>
  <si>
    <t>Lithuania</t>
  </si>
  <si>
    <t>Moldova</t>
  </si>
  <si>
    <t>Ukraine</t>
  </si>
  <si>
    <t>Uzbekistan</t>
  </si>
  <si>
    <t>[ DEVELOPMENT ] - GMT Date</t>
  </si>
  <si>
    <t>Setanta Sports 1</t>
  </si>
  <si>
    <t>Setanta Ukraine</t>
  </si>
  <si>
    <t>Bundesliga: Classics</t>
  </si>
  <si>
    <t>Serie A: Classics</t>
  </si>
  <si>
    <t>Ligue 1: Toulouse - Marseille</t>
  </si>
  <si>
    <t>Serie A: Napoli - Parma</t>
  </si>
  <si>
    <t>PFL 8 - Main Card</t>
  </si>
  <si>
    <t>Scottish Premiership: Celtic - Rangers</t>
  </si>
  <si>
    <t>Bundesliga: Heidenheim - Augsburg</t>
  </si>
  <si>
    <t>Bundesliga: Bayern Munich - Freiburg</t>
  </si>
  <si>
    <t>WTA 1000 Toronto - Final</t>
  </si>
  <si>
    <t>Bellator San Diego: Nurmagomedov vs Shabily  Main Card</t>
  </si>
  <si>
    <t>Bundesliga: Borussia Dortmund - Heidenheim</t>
  </si>
  <si>
    <t>LaLiga: Best of 2023/24</t>
  </si>
  <si>
    <t>Saudi Arabia Pro League: Al Nassr - Al Ahli</t>
  </si>
  <si>
    <t>Ligue 1: St. Etien - Lille</t>
  </si>
  <si>
    <t>LaLiga: Betis - Leganes</t>
  </si>
  <si>
    <t>LaLiga: Real Sociedad - Real Madrid</t>
  </si>
  <si>
    <t>Ligue 1: PSG - Brest</t>
  </si>
  <si>
    <t>LaLiga: Sevilla - Getafe</t>
  </si>
  <si>
    <t>Serie A: Milan - Venezia</t>
  </si>
  <si>
    <t>Ligue 1: Marseille - Nice</t>
  </si>
  <si>
    <t>Serie A: Monza - Inter</t>
  </si>
  <si>
    <t>LaLiga: Girona - Barcelona</t>
  </si>
  <si>
    <t>WTA 1000 Cincinnati Final</t>
  </si>
  <si>
    <t>Serie A: Genoa - Roma</t>
  </si>
  <si>
    <t>Ligue 1: Lens - Lyon</t>
  </si>
  <si>
    <t>Serie A: Atalanta - Fiorentina</t>
  </si>
  <si>
    <t>LaLiga: Atl. Madrid - Valencia</t>
  </si>
  <si>
    <t>La Liga: Real Madrid - Betis</t>
  </si>
  <si>
    <t>Ligue 1: Lille - Paris SG</t>
  </si>
  <si>
    <t>WTA 1000 Toronto: Pegula - Anisimova (Final)</t>
  </si>
  <si>
    <t>La Liga: Classic</t>
  </si>
  <si>
    <t>Italian Basketball League: Olimpia Milano - Virtus Bologna (Game 4)</t>
  </si>
  <si>
    <t>Bundesliga: Classic</t>
  </si>
  <si>
    <t>La Liga: Rayo Vallecano - Barcelona</t>
  </si>
  <si>
    <t>WTA 500 Washington: Bouzkova - Badosa (Final)</t>
  </si>
  <si>
    <t>Bundesliga: Wolfsburg - Bayern Munich</t>
  </si>
  <si>
    <t>Serie A: Classic</t>
  </si>
  <si>
    <t>Ligue 1: St. Etienne - Lille</t>
  </si>
  <si>
    <t>WTA 1000 Cincinnati: Sabalenka - Pegula (Final)</t>
  </si>
  <si>
    <t>La Liga: Real Betis - Leganes</t>
  </si>
  <si>
    <t>Serie A: Napoli - Bologna</t>
  </si>
  <si>
    <t>Ligue 1: Paris SG - Brest</t>
  </si>
  <si>
    <t>Bundesliga: Holstein Kiel - Bayern Munich</t>
  </si>
  <si>
    <t>Scottish Premiership: Dundee United - Rangers</t>
  </si>
  <si>
    <t>La Liga: Atletico Madrid - Valencia</t>
  </si>
  <si>
    <t>Serie A: Cagliari - Napoli</t>
  </si>
  <si>
    <t>La Liga: Girona - Barcelona</t>
  </si>
  <si>
    <t>Bundesliga: Mainz - Werder Bremen</t>
  </si>
  <si>
    <t>La Liga: Las Palmas - Athletic Bilbao</t>
  </si>
  <si>
    <t>Setanta Sports 2</t>
  </si>
  <si>
    <t>Premier League: Southampton - Manchester United</t>
  </si>
  <si>
    <t>Premier League: Manchester City - Brentford</t>
  </si>
  <si>
    <t xml:space="preserve">Serie A: Empoli - Juventus </t>
  </si>
  <si>
    <t xml:space="preserve">Premier League: Aston Villa - Everton </t>
  </si>
  <si>
    <t xml:space="preserve">Premier League: Bournemouth - Chelsea </t>
  </si>
  <si>
    <t xml:space="preserve">Premier League: Wolves - Newcastle </t>
  </si>
  <si>
    <t xml:space="preserve">Premier League: Tottenham - Arsenal </t>
  </si>
  <si>
    <t xml:space="preserve">Serie A: Genoa - Roma </t>
  </si>
  <si>
    <t>UFC 305: Du Plessis vs. Adesanya - Main Card</t>
  </si>
  <si>
    <t>Formula 1: Belgian Grand Prix - Race</t>
  </si>
  <si>
    <t>Formula 1: Dutch Grand Prix - Race</t>
  </si>
  <si>
    <t xml:space="preserve">LaLiga: Real Betis - Leganes </t>
  </si>
  <si>
    <t>Formula 1: Hungarian Grand Prix - Race</t>
  </si>
  <si>
    <t xml:space="preserve">LaLiga: Real Sociedad - Real Madrid </t>
  </si>
  <si>
    <t>UFC 306: Riyadh Season Noche UFC: O’Malley vs. Dvalishvili - Main Card</t>
  </si>
  <si>
    <t xml:space="preserve">Bundesliga: Holstein Kiel - Bayern Munich </t>
  </si>
  <si>
    <t xml:space="preserve">Bundesliga: Hoffenheim - Bayer Leverkusen </t>
  </si>
  <si>
    <t xml:space="preserve">LaLiga: Girona - Barcelona </t>
  </si>
  <si>
    <t xml:space="preserve">Formula 1: Azerbaijan Grand Prix - Race </t>
  </si>
  <si>
    <t>WTA 500 Guadalajara: Final</t>
  </si>
  <si>
    <t xml:space="preserve">LaLiga: Atletico Madrid - Valencia </t>
  </si>
  <si>
    <t>Bellator Champions Series San Diego: Nurmagomedov vs. Shabliy - Main Card</t>
  </si>
  <si>
    <t>Premier League: Aston Villa - Everton</t>
  </si>
  <si>
    <t>Premier League: Tottenham - Arsenal</t>
  </si>
  <si>
    <t>UFC 306: O'Malley vs. Dvalishvili - Main Card</t>
  </si>
  <si>
    <t>Formula 1: Azerbaijan Grand Prix - Race</t>
  </si>
  <si>
    <t>Bundesliga: Round 3 Highlights</t>
  </si>
  <si>
    <t>Setanta Moldova</t>
  </si>
  <si>
    <t>Premier League: Rewind</t>
  </si>
  <si>
    <t xml:space="preserve">Bundesliga: Borussia Dortmund - Heidenheim </t>
  </si>
  <si>
    <t>Bundesliga 2: Karlsruher - Schalke</t>
  </si>
  <si>
    <t>Premier League: TOP 5</t>
  </si>
  <si>
    <t>Formula 1: Classic</t>
  </si>
  <si>
    <t>Formula 1: Highlights of Past Races</t>
  </si>
  <si>
    <t xml:space="preserve">Bundesliga: Augsburg - St. Pauli </t>
  </si>
  <si>
    <t xml:space="preserve">Bundesliga: Mainz - Werder Bremen </t>
  </si>
  <si>
    <t>Saudi Pro League: Al Nassr - Al Ahli</t>
  </si>
  <si>
    <t>Bundesliga: RB Leipzig - Union Berlin</t>
  </si>
  <si>
    <t>Setanta Ukraine +</t>
  </si>
  <si>
    <t>Premier League : Everton - Bournemouth</t>
  </si>
  <si>
    <t>LaLiga World</t>
  </si>
  <si>
    <t>LaLiga : Athletic Bilbao - Atletico Madrid</t>
  </si>
  <si>
    <t xml:space="preserve">Premier League: Liverpool - Nottingham </t>
  </si>
  <si>
    <t>Setanta Philippines</t>
  </si>
  <si>
    <t>Turkmenistan</t>
  </si>
  <si>
    <t>Tajikistan</t>
  </si>
  <si>
    <t>Philippines</t>
  </si>
  <si>
    <t>Ligue 1: Round 4 Highlight</t>
  </si>
  <si>
    <t>LaLiga: Round 5 Highlight</t>
  </si>
  <si>
    <t>LIVE. LaLiga: Mallorca - Real Sociedad</t>
  </si>
  <si>
    <t>WTA 500 Guadalajara - Final</t>
  </si>
  <si>
    <t>LaLiga: Mallorca - Villareal</t>
  </si>
  <si>
    <t>Serie A: Empoli - Juventus</t>
  </si>
  <si>
    <t>LIVE. LaLiga: Real Betis - Getafe</t>
  </si>
  <si>
    <t>LIVE. LaLiga: Leganes - Ath. Bilbao</t>
  </si>
  <si>
    <t>Serie A: Lazio - Verona</t>
  </si>
  <si>
    <t>Serie A: Parma - Udinese</t>
  </si>
  <si>
    <t xml:space="preserve">LIVE. WTA 500 Seoul </t>
  </si>
  <si>
    <t xml:space="preserve">LIVE. PFL Mena 3, Riyadh, Saudi Arabia </t>
  </si>
  <si>
    <t>LaLiga: Betis - Getafe</t>
  </si>
  <si>
    <t>LIVE. WTA 500 Seoul  Semi - Final</t>
  </si>
  <si>
    <t>LIVE. LaLiga: Valladolid - Real Sociedad</t>
  </si>
  <si>
    <t>Ligue 1: Nice - St. Etienne</t>
  </si>
  <si>
    <t>LIVE. Serie A: Juventus - Napoli</t>
  </si>
  <si>
    <t>LIVE. LaLiga: Real Madrid - Espanyol</t>
  </si>
  <si>
    <t>Saudi Arabia pro League: Al Ettifaq - Al Nassr</t>
  </si>
  <si>
    <t>LaLiga: Alaves - Sevilla</t>
  </si>
  <si>
    <t>LIVE. WTA 500 Seoul - Final</t>
  </si>
  <si>
    <t>LaLiga: Real Madrid - Espanyol</t>
  </si>
  <si>
    <t>LIVE. Ligue 1: Monaco - Le Havre</t>
  </si>
  <si>
    <t>LIVE. LaLiga: Villareal - Barcelona</t>
  </si>
  <si>
    <t>LIVE. Serie A: Inter - Milan</t>
  </si>
  <si>
    <t>Bundesliga: Werder Bremen - Bayern Munich</t>
  </si>
  <si>
    <t>Ligue 1: Reims - PSG</t>
  </si>
  <si>
    <t>LaLiga: Valencia - Girona</t>
  </si>
  <si>
    <t>Serie A: Lecce - Parma</t>
  </si>
  <si>
    <t>Bundesliga: Eintracht Frankfurt - Borussia Monchengladbach</t>
  </si>
  <si>
    <t>LaLiga: Valladolid - Real Sociedad</t>
  </si>
  <si>
    <t>Serie A: Juventus - Napoli</t>
  </si>
  <si>
    <t>Bundesliga: Bayer Leverkusen - Wolfsburg</t>
  </si>
  <si>
    <t>LaLiga: Villareal - Barcelona</t>
  </si>
  <si>
    <t>LIVE. Serie A: Atalanta - Como</t>
  </si>
  <si>
    <t>WTA 500 Seoul - Final</t>
  </si>
  <si>
    <t>Bundesliga: St. Pauli - RB Leipzg</t>
  </si>
  <si>
    <t>Serie A: Roma - Udinese</t>
  </si>
  <si>
    <t>LaLiga: Ath. Bilbao - Celta</t>
  </si>
  <si>
    <t>Serie A: Lazio - Hellas Verona</t>
  </si>
  <si>
    <t>La Liga: Rayo Vallecano - Osasuna</t>
  </si>
  <si>
    <t xml:space="preserve">WTA 500 Guadalajara: Final </t>
  </si>
  <si>
    <t>Bundesliga: Round 3 - Highlights</t>
  </si>
  <si>
    <t>La Liga: Mallorca - Real Sociedad</t>
  </si>
  <si>
    <t>La Liga: Round 5 - Highlights</t>
  </si>
  <si>
    <t>La Liga: Real Betis - Getafe</t>
  </si>
  <si>
    <t>La Liga: Real Sociedad - Real Madrid</t>
  </si>
  <si>
    <t>Ligue 1: Round 4 - Highlights</t>
  </si>
  <si>
    <t>La Liga: Leganes - Athletic Bilbao</t>
  </si>
  <si>
    <t>Live. Serie A: Cagliari - Empoli</t>
  </si>
  <si>
    <t>Live. La Liga: Alaves - Sevilla</t>
  </si>
  <si>
    <t>Serie A: Cagliari - Empoli</t>
  </si>
  <si>
    <t>Live. Bundesliga: Werder Bremen - Bayern Munich</t>
  </si>
  <si>
    <t>Live. Italian Basketball Supercup: Olimpia Milano - Venezia</t>
  </si>
  <si>
    <t>Live. Italian Basketball Supercup: Basket Napoli - Virtus Bologna</t>
  </si>
  <si>
    <t>La Liga: Alaves - Sevilla</t>
  </si>
  <si>
    <t>La Liga: Valencia- Villarreal</t>
  </si>
  <si>
    <t>Ligue 1: Classic</t>
  </si>
  <si>
    <t>Live. Serie A: Fiorentina - Lazio</t>
  </si>
  <si>
    <t>Live. Bundesliga: Bayer Leverkusen - Wolfsburg</t>
  </si>
  <si>
    <t>Live. Italian Basketball Supercup: Final</t>
  </si>
  <si>
    <t>Live. Ligue 1: Lyon - Marseille</t>
  </si>
  <si>
    <t>WTA 500 Monterrey: Sun - Pliskova (Final)</t>
  </si>
  <si>
    <t>La Liga: Valladolid - Real Sociedad</t>
  </si>
  <si>
    <t>Ligue 1: Reims - Paris SG</t>
  </si>
  <si>
    <t>La Liga: Real Madrid - Espanyol</t>
  </si>
  <si>
    <t>Serie A: Fiorentina - Lazio</t>
  </si>
  <si>
    <t>Ligue 1: Monaco - Le Havre</t>
  </si>
  <si>
    <t>La Liga: Villarreal - Barcelona</t>
  </si>
  <si>
    <t>Live. La Liga: Real Betis - Mallorca</t>
  </si>
  <si>
    <t>Bundesliga: St. Pauli - RB Leipzig</t>
  </si>
  <si>
    <t>Ligue 1: Lyon - Marseille</t>
  </si>
  <si>
    <t>Serie A: Inter -Milan</t>
  </si>
  <si>
    <t>La Liga: Athletic Bilbao - Celta</t>
  </si>
  <si>
    <t>Bundesliga: Stuttgart - Borussia Dortmund</t>
  </si>
  <si>
    <t xml:space="preserve">Serie A: Lazio - Hellas Verona </t>
  </si>
  <si>
    <t>LIVE. EFL Cup: Manchester United - Barnsley</t>
  </si>
  <si>
    <t xml:space="preserve">Serie A: Cagliari - Napoli </t>
  </si>
  <si>
    <t xml:space="preserve">Serie A: Atalanta - Fiorentina </t>
  </si>
  <si>
    <t xml:space="preserve">Serie A: Milan - Venezia </t>
  </si>
  <si>
    <t>Premier League: Round 4 Highlights</t>
  </si>
  <si>
    <t>Ligue 1: Round 4 Highlights</t>
  </si>
  <si>
    <t>LaLiga: Round 5 Highlights</t>
  </si>
  <si>
    <t>EFL Cup: Manchester United - Barnsley</t>
  </si>
  <si>
    <t xml:space="preserve">LIVE. EFL Cup: Coventry - Tottenham </t>
  </si>
  <si>
    <t xml:space="preserve">Premier League: Brighton - Ipswich </t>
  </si>
  <si>
    <t xml:space="preserve">EFL Cup: Coventry - Tottenham </t>
  </si>
  <si>
    <t xml:space="preserve">LIVE. LaLiga: Leganes - Athletic Bilbao </t>
  </si>
  <si>
    <t xml:space="preserve">LIVE. Serie A: Cagliari - Empoli </t>
  </si>
  <si>
    <t>LIVE. Ligue 1: Nice - St. Etienne</t>
  </si>
  <si>
    <t xml:space="preserve">LIVE. Premier League: West Ham - Chelsea </t>
  </si>
  <si>
    <t xml:space="preserve">LIVE. Premier League: Liverpool - Bournemouth </t>
  </si>
  <si>
    <t>LIVE. Premier League: Crystal Palace - Manchester United</t>
  </si>
  <si>
    <t xml:space="preserve">LIVE. Ligue 1: Reims - Paris SG </t>
  </si>
  <si>
    <t xml:space="preserve">Serie A: Cagliari - Empoli </t>
  </si>
  <si>
    <t xml:space="preserve">LIVE. Serie A: Fiorentina - Lazio </t>
  </si>
  <si>
    <t xml:space="preserve">LIVE. Premier League: Brighton - Nottingham </t>
  </si>
  <si>
    <t xml:space="preserve">LIVE. Premier League: Manchester City - Arsenal </t>
  </si>
  <si>
    <t xml:space="preserve">LIVE. Serie A: Inter - Milan </t>
  </si>
  <si>
    <t xml:space="preserve">Premier League: West Ham - Chelsea </t>
  </si>
  <si>
    <t xml:space="preserve">Premier League: Liverpool - Bournemouth </t>
  </si>
  <si>
    <t xml:space="preserve">Serie A: Juventus - Napoli </t>
  </si>
  <si>
    <t>Premier League: Crystal Palace - Manchester United</t>
  </si>
  <si>
    <t>Premier League: Tottenham - Brentford</t>
  </si>
  <si>
    <t xml:space="preserve">Premier League: Manchester City - Arsenal </t>
  </si>
  <si>
    <t xml:space="preserve">Serie A: Inter - Milan </t>
  </si>
  <si>
    <t xml:space="preserve">Premier League: Brighton - Nottingham </t>
  </si>
  <si>
    <t xml:space="preserve">LIVE. Serie A: Atalanta - Como </t>
  </si>
  <si>
    <t xml:space="preserve">Serie A: Fiorentina - Lazio </t>
  </si>
  <si>
    <t xml:space="preserve">LaLiga: Rayo Vallecano - Osasuna </t>
  </si>
  <si>
    <t xml:space="preserve">Ligue 1: Lens - Lyon </t>
  </si>
  <si>
    <t>LIVE. EFL Cup: Everton - Southampton</t>
  </si>
  <si>
    <t xml:space="preserve">LaLiga: Las Palmas - Athletic Bilbao </t>
  </si>
  <si>
    <t>LaLiga: Mallorca - Villarreal</t>
  </si>
  <si>
    <t>LaLiga: Real Betis - Getafe</t>
  </si>
  <si>
    <t>Ligue 1: St Etienne - Lille</t>
  </si>
  <si>
    <t>LIVE. WTA 500 Seoul: Quarter-Final 1</t>
  </si>
  <si>
    <t>LIVE. WTA 500 Seoul: Quarter-Final 2</t>
  </si>
  <si>
    <t>LIVE. WTA 500 Seoul: Quarter-Final 3</t>
  </si>
  <si>
    <t>LIVE. WTA 500 Seoul: Quarter-Final 4</t>
  </si>
  <si>
    <t>LIVE. WTA 500 Seoul: Semi-Final 1</t>
  </si>
  <si>
    <t>LIVE. WTA 500 Seoul: Semi-Final 2</t>
  </si>
  <si>
    <t xml:space="preserve">LIVE. Formula 1: Singapore Grand Prix - Qualifying </t>
  </si>
  <si>
    <t>LIVE. Premier League: Aston Villa - Wolves</t>
  </si>
  <si>
    <t xml:space="preserve">Bundesliga: Augsburg - Mainz </t>
  </si>
  <si>
    <t>LIVE. WTA 500 Seoul: Final</t>
  </si>
  <si>
    <t>LIVE. Formula 1: Singapore Grand Prix - Race</t>
  </si>
  <si>
    <t xml:space="preserve">LIVE. LaLiga: Athletic Bilbao - Celta </t>
  </si>
  <si>
    <t xml:space="preserve">LIVE. LaLiga: Villarreal - Barcelona </t>
  </si>
  <si>
    <t xml:space="preserve">LIVE. Ligue 1: Lyon - Marseille  </t>
  </si>
  <si>
    <t xml:space="preserve">Bundesliga: Werder Bremen - Bayern Munich </t>
  </si>
  <si>
    <t xml:space="preserve">Bundesliga: Eintracht Frankfurt - Borussia Monchengladbach </t>
  </si>
  <si>
    <t xml:space="preserve">LaLiga: Villarreal - Barcelona </t>
  </si>
  <si>
    <t xml:space="preserve">LaLiga: Athletic Bilbao - Celta </t>
  </si>
  <si>
    <t xml:space="preserve">Ligue 1: Lyon - Marseille  </t>
  </si>
  <si>
    <t>LIVE. La Liga : Alaves - Sevilla</t>
  </si>
  <si>
    <t xml:space="preserve">LIVE. Bundesliga : Stuttgart - Borussia Dortmund </t>
  </si>
  <si>
    <t xml:space="preserve">LIVE. Ligue 1 : Lyon - Marseille </t>
  </si>
  <si>
    <t>LIVE. Premier League: Tottenham - Brentford</t>
  </si>
  <si>
    <t xml:space="preserve">LIVE. LaLiga: Rayo Vallecano - Atletico Madrid </t>
  </si>
  <si>
    <t>Sporting Countdowns: Meltdowns</t>
  </si>
  <si>
    <t>Football Countdowns: Debuts</t>
  </si>
  <si>
    <t>LaLiga: Las Palmas - Athletic Bilbao</t>
  </si>
  <si>
    <t>Premier League: Bournemouth - Chelsea</t>
  </si>
  <si>
    <t>LIVE. Uefa Champions League: Juventus - PSV</t>
  </si>
  <si>
    <t>LIVE. Uefa Champions League: Milan - Liverpool</t>
  </si>
  <si>
    <t>Uefa Champions League: Milan - Liverpool</t>
  </si>
  <si>
    <t>Uefa Champions League: Real Madrid - Stuttgart</t>
  </si>
  <si>
    <t>LIVE. Uefa Champions League: Bologna - Shakhtar Donetsk</t>
  </si>
  <si>
    <t>LIVE. Uefa Champions League: Manchester City - Inter</t>
  </si>
  <si>
    <t>Premier League: Brighton - Ipswich</t>
  </si>
  <si>
    <t>Uefa Champions League: Juventus - PSV</t>
  </si>
  <si>
    <t>LaLiga: Mallorca - Real Sociedad</t>
  </si>
  <si>
    <t>Uefa Champions League: Manchester City - Inter</t>
  </si>
  <si>
    <t>Uefa Champions League: Bologna - Shakhtar Donetsk</t>
  </si>
  <si>
    <t>LIVE. Uefa Champions League: Feyenoord - Bayer Leverkusen</t>
  </si>
  <si>
    <t>LIVE. Uefa Champions League: Monaco - Barcelona</t>
  </si>
  <si>
    <t>Premier League: Liverpool - Nottingham</t>
  </si>
  <si>
    <t>EFL Cup: Everton - Southampton</t>
  </si>
  <si>
    <t>EFL Championship: Millwall - Luton Town</t>
  </si>
  <si>
    <t>EFL Cup: Coventry - Tottenham</t>
  </si>
  <si>
    <t>Uefa Champions League: Atalanta - Arsenal</t>
  </si>
  <si>
    <t>Uefa Champions League: Monaco - Barcelona</t>
  </si>
  <si>
    <t>LaLiga: Leganes - Athletic Bilbao</t>
  </si>
  <si>
    <t>Uefa Champions League: Feyenoord - Bayer Leverkusen</t>
  </si>
  <si>
    <t>LIVE. LaLiga: Alaves - Sevilla</t>
  </si>
  <si>
    <t>My Sporting Moment: Lloyd &amp; Taylor</t>
  </si>
  <si>
    <t>Football Countdowns: Finals</t>
  </si>
  <si>
    <t>LIVE. EFL Championship: Sunderland - Middlesbrough</t>
  </si>
  <si>
    <t>LIVE. Bundesliga: Werder Bremen - Bayern Munich</t>
  </si>
  <si>
    <t>LIVE. Bundesliga: Eintracht Frankfurt - Borussia Monchengladbach</t>
  </si>
  <si>
    <t>LIVE. Serie A: Lecce - Roma</t>
  </si>
  <si>
    <t>Saudi Arabia Pro League: Al Ettifaq - Al Nassr</t>
  </si>
  <si>
    <t>LIVE. EFL Championship: Preston - Blackburn Rovers</t>
  </si>
  <si>
    <t>LIVE. Bundesliga: Stuttgart - Borussia Dortmund</t>
  </si>
  <si>
    <t>LIVE. LaLiga: Rayo Vallecano - Atletico Madrid</t>
  </si>
  <si>
    <t>Premier League: West Ham - Chelsea</t>
  </si>
  <si>
    <t>EFL Championship: Sunderland - Middlesbrough</t>
  </si>
  <si>
    <t>Premier League: Manchester City - Arsenal</t>
  </si>
  <si>
    <t>LIVE. LaLiga: Real Betis - Mallorca</t>
  </si>
  <si>
    <t>LaLiga: Villarreal - Barcelona</t>
  </si>
  <si>
    <t>Premier League: Aston Villa - Wolves</t>
  </si>
  <si>
    <t>Serie A: Inter - Milan</t>
  </si>
  <si>
    <t>LaLiga: Rayo Vallecano - Atletico Madrid</t>
  </si>
  <si>
    <t>Premier League : Manchester City - Brentford</t>
  </si>
  <si>
    <t xml:space="preserve">LaLiga : Rayo Vallecano - Osasuna </t>
  </si>
  <si>
    <t xml:space="preserve">LaLiga : Girona - Barcelona </t>
  </si>
  <si>
    <t>Premier League: Round 4 - Highlights</t>
  </si>
  <si>
    <t>LaLiga: Round 5 - Highlights</t>
  </si>
  <si>
    <t>LIVE - La Liga : Mallorca - Real Sociedad</t>
  </si>
  <si>
    <t>LIVE - EFL Cup : Manchester United - Barnsley</t>
  </si>
  <si>
    <t>EFL Championship  : Watford - Coventry City</t>
  </si>
  <si>
    <t xml:space="preserve">Premier League : Liverpool - Nottingham </t>
  </si>
  <si>
    <t>LaLiga : Mallorca - Villarreal</t>
  </si>
  <si>
    <t>EFL Cup : Manchester United - Barnsley</t>
  </si>
  <si>
    <t>LIVE - Karate Combat 49</t>
  </si>
  <si>
    <t>LIVE - La Liga : Real Betis - Getafe</t>
  </si>
  <si>
    <t xml:space="preserve">LIVE - EFL Cup : Coventry - Tottenham </t>
  </si>
  <si>
    <t>La Liga : Mallorca - Real Sociedad</t>
  </si>
  <si>
    <t xml:space="preserve">Premier League : Aston Villa - Everton </t>
  </si>
  <si>
    <t>LIVE - Australian Basketball League : Melbourne United - Tasmania JackJumpers</t>
  </si>
  <si>
    <t xml:space="preserve">EFL Cup : Coventry - Tottenham </t>
  </si>
  <si>
    <t xml:space="preserve">LIVE - La Liga : Leganes - Athletic Bilbao </t>
  </si>
  <si>
    <t>Karate Combat 49</t>
  </si>
  <si>
    <t>La Liga : Real Betis - Getafe</t>
  </si>
  <si>
    <t xml:space="preserve">Atletico Madrid - Valencia </t>
  </si>
  <si>
    <t>LIVE - Australian Basketball League : Perth - South East Melbourne</t>
  </si>
  <si>
    <t xml:space="preserve">LIVE - PFL Mena 3, Riyadh, Saudi Arabia </t>
  </si>
  <si>
    <t>LIVE - EFL Championship : Stoke City - Hull City</t>
  </si>
  <si>
    <t xml:space="preserve">La Liga : Leganes - Athletic Bilbao </t>
  </si>
  <si>
    <t>Australian Basketball League : Melbourne United - Tasmania JackJumpers</t>
  </si>
  <si>
    <t>LIVE - Australian Basketball League : New Zealand Breakers - Brisbane Bullets</t>
  </si>
  <si>
    <t xml:space="preserve">LIVE - Premier League : West Ham - Chelsea </t>
  </si>
  <si>
    <t xml:space="preserve">LIVE - Premier League : Liverpool - Bournemouth </t>
  </si>
  <si>
    <t xml:space="preserve">LIVE - Supercopa Endesa : Real Madrid - Barcelona </t>
  </si>
  <si>
    <t xml:space="preserve">LIVE - Supercopa Endesa : Murcia - Unicaja </t>
  </si>
  <si>
    <t xml:space="preserve">PFL Mena 3, Riyadh, Saudi Arabia </t>
  </si>
  <si>
    <t>EFL Championship : Stoke City - Hull City</t>
  </si>
  <si>
    <t>Australian Basketball League : Perth - South East Melbourne</t>
  </si>
  <si>
    <t>Australian Basketball League : New Zealand Breakers - Brisbane Bullets</t>
  </si>
  <si>
    <t xml:space="preserve">LaLiga: Leganes - Athletic Bilbao </t>
  </si>
  <si>
    <t>LIVE - EFL Championship  : Preston - Blackburn Rovers</t>
  </si>
  <si>
    <t xml:space="preserve">LIVE - Premier League : Brighton - Nottingham </t>
  </si>
  <si>
    <t xml:space="preserve">LIVE - Premier League : Manchester City - Arsenal </t>
  </si>
  <si>
    <t>LIVE - Supercopa Endesa : Final</t>
  </si>
  <si>
    <t xml:space="preserve">LaLiga: Real Madrid - Espanyol </t>
  </si>
  <si>
    <t xml:space="preserve">Supercopa Endesa : Real Madrid - Barcelona </t>
  </si>
  <si>
    <t xml:space="preserve">Supercopa Endesa : Murcia - Unicaja </t>
  </si>
  <si>
    <t xml:space="preserve">LaLiga: Rayo Vallecano - Atletico Madrid </t>
  </si>
  <si>
    <t>LaLiga: Real Betis - Mallorca</t>
  </si>
  <si>
    <t>LIVE - La Liga: Real Betis - Mallorca</t>
  </si>
  <si>
    <t>Supercopa Endesa : Final</t>
  </si>
  <si>
    <t>LIVE - EFL Cup: Manchester United - Barnsley</t>
  </si>
  <si>
    <t xml:space="preserve">LIVE - EFL Cup: Coventry - Tottenham </t>
  </si>
  <si>
    <t>Diamond League Final: Brussels Day 1</t>
  </si>
  <si>
    <t>Diamond League Final: Brussels Day 2</t>
  </si>
  <si>
    <t>LIVE - Boxing: Walsh vs Runowski - Main Card</t>
  </si>
  <si>
    <t>UFC 306: O'malley vs Dvalishvili - Main Card</t>
  </si>
  <si>
    <t>EFL Championship: Stoke City - Hull City</t>
  </si>
  <si>
    <t xml:space="preserve">LIVE - Premier League: West Ham - Chelsea </t>
  </si>
  <si>
    <t xml:space="preserve">LIVE - Premier League: Liverpool - Bournemouth </t>
  </si>
  <si>
    <t>LIVE - Premier League: Crystal Palace - Manchester United</t>
  </si>
  <si>
    <t>Diamond League Finals: Brussels Day 1</t>
  </si>
  <si>
    <t>Diamond League Finals: Brussels Day 2</t>
  </si>
  <si>
    <t>LIVE - EFL Championship: Preston - Blackburn Rovers</t>
  </si>
  <si>
    <t xml:space="preserve">LIVE - Premier League: Brighton - Nottingham </t>
  </si>
  <si>
    <t xml:space="preserve">LIVE - Premier League: Manchester City - Arsenal </t>
  </si>
  <si>
    <t>WTA 500 Guadalajara: Final Match</t>
  </si>
  <si>
    <t>EFL Championship: Preston - Blackburn Rovers</t>
  </si>
  <si>
    <t>Bundesliga: Claasic</t>
  </si>
  <si>
    <t xml:space="preserve">LIVE - EFL Cup: Everton - Southampton </t>
  </si>
  <si>
    <t>Premier League: Icons</t>
  </si>
  <si>
    <t xml:space="preserve">EFL Cup: Everton - Southampton </t>
  </si>
  <si>
    <t>WTA 500 Guadalajara, Final Match</t>
  </si>
  <si>
    <t>LIVE - WTA 500 Seoul, Quarter-Final Match 1</t>
  </si>
  <si>
    <t>LIVE - WTA 500 Seoul, Quarter-Final Match 2</t>
  </si>
  <si>
    <t>LIVE - WTA 500 Seoul, Quarter-Final Match 3</t>
  </si>
  <si>
    <t>LIVE - WTA 500 Seoul, Quarter-Final Match 4</t>
  </si>
  <si>
    <t>LIVE - Bundesliga 2: Schalke - Darmstadt</t>
  </si>
  <si>
    <t xml:space="preserve">LIVE - Bundesliga: Augsburg - Mainz </t>
  </si>
  <si>
    <t>WTA 500 Monterrey: Final Match</t>
  </si>
  <si>
    <t>LIVE - WTA 500 Seoul, Semi-Final Match 1</t>
  </si>
  <si>
    <t>LIVE - WTA 500 Seoul, Semi-Final Match 2</t>
  </si>
  <si>
    <t xml:space="preserve">LIVE - Formula 1: Singapore Grand Prix - Qualifying </t>
  </si>
  <si>
    <t xml:space="preserve">LIVE - Premier League: Leicester - Everton </t>
  </si>
  <si>
    <t xml:space="preserve">LIVE - Bundesliga: Eintracht Frankfurt - Borussia Monchengladbach </t>
  </si>
  <si>
    <t>LIVE - Bundesliga 2: Kaiserslautern - Hamburger SV</t>
  </si>
  <si>
    <t xml:space="preserve">LIVE - WTA 500 Seoul, Final Match </t>
  </si>
  <si>
    <t xml:space="preserve">Formula 1: Singapore Grand Prix - Qualifying </t>
  </si>
  <si>
    <t>LIVE - Formula 1: Singapore Grand Prix - Race</t>
  </si>
  <si>
    <t xml:space="preserve">LIVE - Bundesliga: Stuttgart - Borussia Dortmund </t>
  </si>
  <si>
    <t>LIVE - Bundesliga: St. Pauli - RB Leipzig</t>
  </si>
  <si>
    <t xml:space="preserve">Premier League: Leicester - Everton </t>
  </si>
  <si>
    <t>Bundesliga 2: Kaiserslautern - Hamburger SV</t>
  </si>
  <si>
    <t>UFC 306: O’Malley vs. Dvalishvili - Main Card</t>
  </si>
  <si>
    <t xml:space="preserve">WTA 500 Seoul, Final Match </t>
  </si>
  <si>
    <t>Formula 1: Singapore Grand Prix - Race</t>
  </si>
  <si>
    <t xml:space="preserve">Bundesliga: Stuttgart - Borussia Dortmund </t>
  </si>
  <si>
    <t>Tennis</t>
  </si>
  <si>
    <t>MMA</t>
  </si>
  <si>
    <t>Basketball</t>
  </si>
  <si>
    <t>UFC</t>
  </si>
  <si>
    <t>Racing</t>
  </si>
  <si>
    <t>Documentary</t>
  </si>
  <si>
    <t>Athletics</t>
  </si>
  <si>
    <t>Boxing</t>
  </si>
  <si>
    <t>Karate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</si>
</sst>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409]d\-mmm;@"/>
    <numFmt numFmtId="166" formatCode="h:mm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</font>
    <font>
      <sz val="10"/>
      <color rgb="FF000000"/>
      <name val="Arial"/>
      <family val="2"/>
    </font>
    <font>
      <b/>
      <sz val="11"/>
      <color rgb="FFFF0000"/>
      <name val="Calibri"/>
      <family val="2"/>
    </font>
    <font>
      <sz val="12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</font>
    <font>
      <b/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1F2"/>
        <bgColor rgb="FFD9E1F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32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10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8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0" fillId="0" borderId="0" xfId="0" applyNumberFormat="1"/>
    <xf numFmtId="16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1" fontId="0" fillId="0" borderId="0" xfId="0" applyNumberFormat="1"/>
    <xf numFmtId="0" fontId="20" fillId="33" borderId="10" xfId="0" applyFont="1" applyFill="1" applyBorder="1"/>
    <xf numFmtId="0" fontId="0" fillId="0" borderId="0" xfId="0" applyNumberFormat="1"/>
    <xf numFmtId="0" fontId="20" fillId="0" borderId="0" xfId="0" applyFont="1" applyBorder="1"/>
    <xf numFmtId="0" fontId="0" fillId="0" borderId="0" xfId="0" applyNumberFormat="1" applyBorder="1"/>
    <xf numFmtId="0" fontId="20" fillId="0" borderId="0" xfId="0" applyFont="1"/>
    <xf numFmtId="165" fontId="18" fillId="0" borderId="0" xfId="50" applyNumberFormat="1" applyFont="1" applyFill="1" applyAlignment="1">
      <alignment horizontal="center"/>
    </xf>
    <xf numFmtId="166" fontId="18" fillId="0" borderId="0" xfId="50" applyNumberFormat="1" applyFont="1" applyBorder="1" applyAlignment="1">
      <alignment horizontal="center"/>
    </xf>
    <xf numFmtId="0" fontId="18" fillId="0" borderId="0" xfId="50" applyFont="1" applyFill="1" applyAlignment="1">
      <alignment horizontal="left"/>
    </xf>
    <xf numFmtId="0" fontId="18" fillId="0" borderId="0" xfId="50" applyFont="1" applyBorder="1" applyAlignment="1">
      <alignment horizontal="left"/>
    </xf>
    <xf numFmtId="20" fontId="0" fillId="0" borderId="0" xfId="0" applyNumberFormat="1" applyBorder="1"/>
    <xf numFmtId="166" fontId="18" fillId="0" borderId="0" xfId="50" applyNumberFormat="1" applyFont="1" applyFill="1" applyAlignment="1">
      <alignment horizontal="center"/>
    </xf>
    <xf numFmtId="166" fontId="18" fillId="0" borderId="0" xfId="50" applyNumberFormat="1" applyFont="1" applyAlignment="1">
      <alignment horizontal="center"/>
    </xf>
    <xf numFmtId="1" fontId="0" fillId="0" borderId="0" xfId="0" applyNumberFormat="1" applyBorder="1"/>
    <xf numFmtId="165" fontId="18" fillId="0" borderId="0" xfId="50" applyNumberFormat="1" applyFont="1" applyBorder="1" applyAlignment="1">
      <alignment horizontal="center"/>
    </xf>
    <xf numFmtId="165" fontId="18" fillId="0" borderId="0" xfId="50" applyNumberFormat="1" applyFont="1" applyAlignment="1">
      <alignment horizontal="center"/>
    </xf>
    <xf numFmtId="0" fontId="23" fillId="0" borderId="0" xfId="50" applyFont="1" applyAlignment="1">
      <alignment horizontal="left"/>
    </xf>
    <xf numFmtId="0" fontId="25" fillId="0" borderId="0" xfId="50" applyFont="1" applyAlignment="1">
      <alignment horizontal="left"/>
    </xf>
    <xf numFmtId="20" fontId="18" fillId="0" borderId="0" xfId="50" applyNumberFormat="1" applyFont="1" applyAlignment="1">
      <alignment horizontal="center"/>
    </xf>
    <xf numFmtId="20" fontId="18" fillId="0" borderId="0" xfId="50" applyNumberFormat="1" applyFont="1" applyAlignment="1">
      <alignment horizontal="center"/>
    </xf>
    <xf numFmtId="16" fontId="18" fillId="0" borderId="0" xfId="50" applyNumberFormat="1" applyFont="1" applyAlignment="1">
      <alignment horizontal="center"/>
    </xf>
    <xf numFmtId="0" fontId="18" fillId="0" borderId="0" xfId="50" applyFont="1" applyAlignment="1">
      <alignment horizontal="left"/>
    </xf>
    <xf numFmtId="0" fontId="1" fillId="0" borderId="0" xfId="50" applyFont="1" applyAlignment="1">
      <alignment horizontal="left"/>
    </xf>
    <xf numFmtId="0" fontId="20" fillId="33" borderId="0" xfId="0" applyFont="1" applyFill="1" applyBorder="1"/>
    <xf numFmtId="0" fontId="20" fillId="0" borderId="10" xfId="0" applyFont="1" applyBorder="1"/>
    <xf numFmtId="166" fontId="24" fillId="0" borderId="11" xfId="50" applyNumberFormat="1" applyFont="1" applyFill="1" applyBorder="1" applyAlignment="1">
      <alignment horizontal="center"/>
    </xf>
    <xf numFmtId="166" fontId="24" fillId="0" borderId="12" xfId="50" applyNumberFormat="1" applyFont="1" applyFill="1" applyBorder="1" applyAlignment="1">
      <alignment horizontal="center"/>
    </xf>
    <xf numFmtId="0" fontId="1" fillId="0" borderId="0" xfId="45" applyFont="1" applyAlignment="1">
      <alignment horizontal="left"/>
    </xf>
    <xf numFmtId="0" fontId="1" fillId="0" borderId="0" xfId="45" applyFont="1" applyAlignment="1">
      <alignment horizontal="left"/>
    </xf>
    <xf numFmtId="0" fontId="19" fillId="0" borderId="12" xfId="50" applyFont="1" applyFill="1" applyBorder="1" applyAlignment="1">
      <alignment horizontal="left"/>
    </xf>
    <xf numFmtId="166" fontId="18" fillId="0" borderId="0" xfId="45" applyNumberFormat="1" applyFont="1" applyAlignment="1">
      <alignment horizontal="center"/>
    </xf>
    <xf numFmtId="165" fontId="18" fillId="0" borderId="0" xfId="45" applyNumberFormat="1" applyFont="1" applyBorder="1" applyAlignment="1">
      <alignment horizontal="center"/>
    </xf>
    <xf numFmtId="20" fontId="21" fillId="0" borderId="12" xfId="50" applyNumberFormat="1" applyFont="1" applyFill="1" applyBorder="1" applyAlignment="1">
      <alignment horizontal="center"/>
    </xf>
    <xf numFmtId="20" fontId="18" fillId="0" borderId="0" xfId="45" applyNumberFormat="1" applyFont="1" applyAlignment="1">
      <alignment horizontal="center"/>
    </xf>
    <xf numFmtId="165" fontId="19" fillId="0" borderId="12" xfId="50" applyNumberFormat="1" applyFont="1" applyFill="1" applyBorder="1" applyAlignment="1">
      <alignment horizontal="center"/>
    </xf>
    <xf numFmtId="16" fontId="18" fillId="0" borderId="0" xfId="45" applyNumberFormat="1" applyFont="1" applyAlignment="1">
      <alignment horizontal="center"/>
    </xf>
    <xf numFmtId="0" fontId="19" fillId="0" borderId="11" xfId="50" applyFont="1" applyFill="1" applyBorder="1" applyAlignment="1">
      <alignment horizontal="left"/>
    </xf>
    <xf numFmtId="0" fontId="18" fillId="0" borderId="0" xfId="45" applyFont="1" applyAlignment="1">
      <alignment horizontal="center"/>
    </xf>
    <xf numFmtId="165" fontId="18" fillId="0" borderId="0" xfId="45" applyNumberFormat="1" applyFont="1" applyAlignment="1">
      <alignment horizontal="center"/>
    </xf>
    <xf numFmtId="20" fontId="18" fillId="0" borderId="0" xfId="45" applyNumberFormat="1" applyFont="1" applyAlignment="1">
      <alignment horizontal="center"/>
    </xf>
    <xf numFmtId="20" fontId="18" fillId="0" borderId="0" xfId="50" applyNumberFormat="1" applyFont="1" applyFill="1" applyBorder="1" applyAlignment="1">
      <alignment horizontal="center"/>
    </xf>
    <xf numFmtId="20" fontId="18" fillId="0" borderId="0" xfId="50" applyNumberFormat="1" applyFont="1" applyFill="1" applyAlignment="1">
      <alignment horizontal="center"/>
    </xf>
    <xf numFmtId="16" fontId="18" fillId="0" borderId="0" xfId="45" applyNumberFormat="1" applyFont="1" applyAlignment="1">
      <alignment horizontal="center"/>
    </xf>
    <xf numFmtId="20" fontId="21" fillId="0" borderId="11" xfId="50" applyNumberFormat="1" applyFont="1" applyFill="1" applyBorder="1" applyAlignment="1">
      <alignment horizontal="center"/>
    </xf>
    <xf numFmtId="166" fontId="18" fillId="0" borderId="0" xfId="50" applyNumberFormat="1" applyFont="1" applyFill="1" applyBorder="1" applyAlignment="1">
      <alignment horizontal="center"/>
    </xf>
    <xf numFmtId="0" fontId="18" fillId="0" borderId="0" xfId="45" applyFont="1" applyAlignment="1">
      <alignment horizontal="left"/>
    </xf>
    <xf numFmtId="0" fontId="18" fillId="0" borderId="0" xfId="45" applyFont="1" applyBorder="1" applyAlignment="1">
      <alignment horizontal="left"/>
    </xf>
    <xf numFmtId="0" fontId="18" fillId="0" borderId="0" xfId="45" applyFont="1" applyAlignment="1">
      <alignment horizontal="left"/>
    </xf>
    <xf numFmtId="0" fontId="25" fillId="0" borderId="0" xfId="45" applyFont="1" applyAlignment="1">
      <alignment horizontal="left"/>
    </xf>
    <xf numFmtId="166" fontId="18" fillId="0" borderId="0" xfId="45" applyNumberFormat="1" applyFont="1" applyBorder="1" applyAlignment="1">
      <alignment horizontal="center"/>
    </xf>
    <xf numFmtId="0" fontId="1" fillId="0" borderId="0" xfId="45" applyFont="1" applyAlignment="1">
      <alignment horizontal="left"/>
    </xf>
    <xf numFmtId="0" fontId="18" fillId="0" borderId="0" xfId="45" applyFont="1" applyAlignment="1">
      <alignment horizontal="center"/>
    </xf>
    <xf numFmtId="165" fontId="19" fillId="0" borderId="11" xfId="50" applyNumberFormat="1" applyFont="1" applyFill="1" applyBorder="1" applyAlignment="1">
      <alignment horizontal="center"/>
    </xf>
    <xf numFmtId="0" fontId="23" fillId="0" borderId="0" xfId="45" applyFont="1" applyAlignment="1">
      <alignment horizontal="left"/>
    </xf>
    <xf numFmtId="166" fontId="21" fillId="0" borderId="12" xfId="50" applyNumberFormat="1" applyFill="1" applyBorder="1" applyAlignment="1">
      <alignment horizontal="center"/>
    </xf>
    <xf numFmtId="16" fontId="18" fillId="0" borderId="0" xfId="45" applyNumberFormat="1" applyFont="1" applyAlignment="1">
      <alignment horizontal="center"/>
    </xf>
    <xf numFmtId="165" fontId="19" fillId="0" borderId="11" xfId="50" applyNumberFormat="1" applyFont="1" applyBorder="1" applyAlignment="1">
      <alignment horizontal="center"/>
    </xf>
    <xf numFmtId="0" fontId="19" fillId="0" borderId="11" xfId="50" applyFont="1" applyBorder="1" applyAlignment="1">
      <alignment horizontal="center"/>
    </xf>
    <xf numFmtId="0" fontId="19" fillId="0" borderId="11" xfId="50" applyFont="1" applyBorder="1" applyAlignment="1">
      <alignment horizontal="left"/>
    </xf>
    <xf numFmtId="0" fontId="23" fillId="0" borderId="11" xfId="50" applyFont="1" applyBorder="1" applyAlignment="1">
      <alignment horizontal="left"/>
    </xf>
    <xf numFmtId="20" fontId="21" fillId="0" borderId="11" xfId="50" applyNumberFormat="1" applyBorder="1" applyAlignment="1">
      <alignment horizontal="center"/>
    </xf>
    <xf numFmtId="0" fontId="21" fillId="0" borderId="11" xfId="50" applyBorder="1" applyAlignment="1">
      <alignment horizontal="left"/>
    </xf>
    <xf numFmtId="0" fontId="19" fillId="34" borderId="11" xfId="50" applyFont="1" applyFill="1" applyBorder="1" applyAlignment="1">
      <alignment horizontal="left"/>
    </xf>
    <xf numFmtId="20" fontId="19" fillId="0" borderId="11" xfId="45" applyNumberFormat="1" applyBorder="1" applyAlignment="1">
      <alignment horizontal="center"/>
    </xf>
    <xf numFmtId="0" fontId="19" fillId="0" borderId="12" xfId="45" applyFont="1" applyBorder="1"/>
    <xf numFmtId="20" fontId="19" fillId="0" borderId="11" xfId="45" applyNumberFormat="1" applyFont="1" applyBorder="1" applyAlignment="1">
      <alignment horizontal="center"/>
    </xf>
    <xf numFmtId="0" fontId="18" fillId="0" borderId="0" xfId="45" applyFont="1"/>
    <xf numFmtId="0" fontId="18" fillId="0" borderId="0" xfId="50" applyFont="1" applyFill="1" applyBorder="1" applyAlignment="1">
      <alignment horizontal="left"/>
    </xf>
    <xf numFmtId="0" fontId="23" fillId="0" borderId="0" xfId="45" applyFont="1"/>
    <xf numFmtId="16" fontId="19" fillId="0" borderId="11" xfId="45" applyNumberFormat="1" applyBorder="1" applyAlignment="1">
      <alignment horizontal="center"/>
    </xf>
    <xf numFmtId="16" fontId="26" fillId="0" borderId="0" xfId="45" applyNumberFormat="1" applyFont="1" applyAlignment="1">
      <alignment horizontal="center"/>
    </xf>
    <xf numFmtId="0" fontId="19" fillId="0" borderId="11" xfId="45" applyFont="1" applyBorder="1"/>
    <xf numFmtId="0" fontId="19" fillId="0" borderId="11" xfId="45" applyFont="1" applyBorder="1" applyAlignment="1">
      <alignment horizontal="center"/>
    </xf>
    <xf numFmtId="166" fontId="19" fillId="0" borderId="12" xfId="45" applyNumberFormat="1" applyBorder="1" applyAlignment="1">
      <alignment horizontal="center"/>
    </xf>
    <xf numFmtId="165" fontId="18" fillId="0" borderId="0" xfId="50" applyNumberFormat="1" applyFont="1" applyFill="1" applyBorder="1" applyAlignment="1">
      <alignment horizontal="center"/>
    </xf>
    <xf numFmtId="0" fontId="27" fillId="35" borderId="11" xfId="45" applyFont="1" applyFill="1" applyBorder="1" applyAlignment="1">
      <alignment wrapText="1"/>
    </xf>
    <xf numFmtId="165" fontId="19" fillId="0" borderId="12" xfId="45" applyNumberFormat="1" applyFont="1" applyBorder="1" applyAlignment="1">
      <alignment horizontal="center"/>
    </xf>
    <xf numFmtId="0" fontId="19" fillId="35" borderId="11" xfId="45" applyFont="1" applyFill="1" applyBorder="1" applyAlignment="1">
      <alignment wrapText="1"/>
    </xf>
    <xf numFmtId="0" fontId="18" fillId="0" borderId="0" xfId="45" applyFont="1" applyAlignment="1">
      <alignment horizontal="center"/>
    </xf>
    <xf numFmtId="0" fontId="27" fillId="0" borderId="11" xfId="45" applyFont="1" applyBorder="1"/>
    <xf numFmtId="20" fontId="18" fillId="0" borderId="0" xfId="45" applyNumberFormat="1" applyFont="1" applyAlignment="1">
      <alignment horizontal="center"/>
    </xf>
    <xf numFmtId="166" fontId="21" fillId="0" borderId="11" xfId="50" applyNumberFormat="1" applyFill="1" applyBorder="1" applyAlignment="1">
      <alignment horizontal="center"/>
    </xf>
    <xf numFmtId="0" fontId="19" fillId="0" borderId="11" xfId="45" applyFont="1" applyBorder="1"/>
    <xf numFmtId="166" fontId="19" fillId="0" borderId="11" xfId="45" applyNumberFormat="1" applyBorder="1" applyAlignment="1">
      <alignment horizontal="center"/>
    </xf>
    <xf numFmtId="165" fontId="19" fillId="0" borderId="11" xfId="45" applyNumberFormat="1" applyFont="1" applyBorder="1" applyAlignment="1">
      <alignment horizontal="center"/>
    </xf>
    <xf numFmtId="0" fontId="24" fillId="0" borderId="12" xfId="45" applyFont="1" applyBorder="1" applyAlignment="1">
      <alignment horizontal="center"/>
    </xf>
    <xf numFmtId="0" fontId="24" fillId="0" borderId="11" xfId="45" applyFont="1" applyBorder="1" applyAlignment="1">
      <alignment horizontal="center"/>
    </xf>
    <xf numFmtId="0" fontId="24" fillId="0" borderId="0" xfId="45" applyFont="1" applyBorder="1" applyAlignment="1">
      <alignment horizontal="center"/>
    </xf>
    <xf numFmtId="0" fontId="18" fillId="0" borderId="11" xfId="45" applyFont="1" applyBorder="1" applyAlignment="1">
      <alignment horizontal="center"/>
    </xf>
    <xf numFmtId="20" fontId="18" fillId="0" borderId="11" xfId="50" applyNumberFormat="1" applyFont="1" applyFill="1" applyBorder="1" applyAlignment="1">
      <alignment horizontal="center"/>
    </xf>
    <xf numFmtId="0" fontId="24" fillId="0" borderId="0" xfId="45" applyFont="1" applyBorder="1" applyAlignment="1">
      <alignment horizontal="center" wrapText="1"/>
    </xf>
    <xf numFmtId="0" fontId="25" fillId="0" borderId="0" xfId="50" applyFont="1" applyAlignment="1">
      <alignment horizontal="left"/>
    </xf>
    <xf numFmtId="16" fontId="18" fillId="0" borderId="0" xfId="50" applyNumberFormat="1" applyFont="1" applyAlignment="1">
      <alignment horizontal="center"/>
    </xf>
    <xf numFmtId="0" fontId="18" fillId="0" borderId="0" xfId="50" applyFont="1" applyAlignment="1">
      <alignment horizontal="center"/>
    </xf>
    <xf numFmtId="20" fontId="18" fillId="0" borderId="0" xfId="50" applyNumberFormat="1" applyFont="1" applyAlignment="1">
      <alignment horizontal="center"/>
    </xf>
    <xf numFmtId="0" fontId="18" fillId="0" borderId="0" xfId="50" applyFont="1" applyAlignment="1">
      <alignment horizontal="left"/>
    </xf>
    <xf numFmtId="0" fontId="1" fillId="0" borderId="0" xfId="50" applyFont="1" applyAlignment="1">
      <alignment horizontal="left"/>
    </xf>
    <xf numFmtId="0" fontId="23" fillId="0" borderId="0" xfId="50" applyFont="1" applyAlignment="1">
      <alignment horizontal="left"/>
    </xf>
    <xf numFmtId="0" fontId="18" fillId="0" borderId="0" xfId="50" applyFont="1" applyAlignment="1">
      <alignment horizontal="center"/>
    </xf>
    <xf numFmtId="16" fontId="18" fillId="0" borderId="0" xfId="50" applyNumberFormat="1" applyFont="1" applyAlignment="1">
      <alignment horizontal="center"/>
    </xf>
    <xf numFmtId="20" fontId="18" fillId="0" borderId="0" xfId="50" applyNumberFormat="1" applyFont="1" applyAlignment="1">
      <alignment horizontal="center"/>
    </xf>
    <xf numFmtId="0" fontId="1" fillId="0" borderId="0" xfId="50" applyFont="1" applyAlignment="1">
      <alignment horizontal="left"/>
    </xf>
  </cellXfs>
  <cellStyles count="732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7303" xr:uid="{40F8B205-CD19-4169-BEA6-3A72B093916E}"/>
    <cellStyle name="Normal 10 2" xfId="7257" xr:uid="{5F04629D-32BC-4F56-8659-69EBF05D86C4}"/>
    <cellStyle name="Normal 2" xfId="45" xr:uid="{C3AF003E-9201-4732-94DC-081C1BAE5639}"/>
    <cellStyle name="Normal 2 10" xfId="127" xr:uid="{99B7BD45-5B98-4704-A374-A87978568286}"/>
    <cellStyle name="Normal 2 10 10" xfId="3856" xr:uid="{82166741-E445-4547-934E-D0CE09F4AA40}"/>
    <cellStyle name="Normal 2 10 2" xfId="373" xr:uid="{D836DFB3-1E16-4BE8-80C0-5646CD5FEDE7}"/>
    <cellStyle name="Normal 2 10 2 2" xfId="2072" xr:uid="{AE60A36E-9507-4510-8CEB-53B138983E8F}"/>
    <cellStyle name="Normal 2 10 2 2 2" xfId="5743" xr:uid="{2E628B94-762F-4D1A-8043-D2455BFB83F8}"/>
    <cellStyle name="Normal 2 10 2 3" xfId="4036" xr:uid="{DF61535A-7774-480B-A7C9-A5EA18E55550}"/>
    <cellStyle name="Normal 2 10 3" xfId="569" xr:uid="{5C10A159-0187-4042-BD50-E6114591DC60}"/>
    <cellStyle name="Normal 2 10 3 2" xfId="2290" xr:uid="{76421640-9EE7-4153-A969-426B45F2EC31}"/>
    <cellStyle name="Normal 2 10 3 2 2" xfId="5961" xr:uid="{77E5F25A-9464-4FB4-ADA3-15ECFC70F3F4}"/>
    <cellStyle name="Normal 2 10 3 3" xfId="4242" xr:uid="{25AEFA81-B81D-4C4F-9BBC-8832F24317AD}"/>
    <cellStyle name="Normal 2 10 4" xfId="787" xr:uid="{7672CDDB-D53A-42E2-AECF-1603138BF2AD}"/>
    <cellStyle name="Normal 2 10 4 2" xfId="2508" xr:uid="{802EF666-41F7-4B49-94CC-CE2684FA5777}"/>
    <cellStyle name="Normal 2 10 4 2 2" xfId="6179" xr:uid="{D05D9280-0E85-48B2-BBA9-D5D2E0E6BBB7}"/>
    <cellStyle name="Normal 2 10 4 3" xfId="4460" xr:uid="{7139117D-A858-442C-940E-852E2FB1D3C6}"/>
    <cellStyle name="Normal 2 10 5" xfId="1005" xr:uid="{46B3273E-25EF-4879-A18F-424D11153C1D}"/>
    <cellStyle name="Normal 2 10 5 2" xfId="2726" xr:uid="{1041CBD4-FD84-4414-8FC5-60FFD95C096D}"/>
    <cellStyle name="Normal 2 10 5 2 2" xfId="6397" xr:uid="{1BE3F50B-4AF0-47DF-B48B-9C94192E6DE4}"/>
    <cellStyle name="Normal 2 10 5 3" xfId="4678" xr:uid="{97AC449C-E81F-4B45-9E7B-52399DFD533F}"/>
    <cellStyle name="Normal 2 10 6" xfId="1223" xr:uid="{B4230CF0-C779-4EA3-99D4-D97C1C7FCC86}"/>
    <cellStyle name="Normal 2 10 6 2" xfId="2944" xr:uid="{0484A10A-291C-4E15-93EC-D71799A71FD5}"/>
    <cellStyle name="Normal 2 10 6 2 2" xfId="6615" xr:uid="{D735F9F3-95CE-433C-80F1-72D084288A32}"/>
    <cellStyle name="Normal 2 10 6 3" xfId="4896" xr:uid="{4D694593-3042-492A-A45F-1D0CD935F399}"/>
    <cellStyle name="Normal 2 10 7" xfId="1441" xr:uid="{BBBD6CE5-6576-42E6-96F8-45FE27F3A51C}"/>
    <cellStyle name="Normal 2 10 7 2" xfId="3162" xr:uid="{917C8D63-A468-4818-879D-9A8FA0BF352D}"/>
    <cellStyle name="Normal 2 10 7 2 2" xfId="6833" xr:uid="{9C7C73FC-0EAD-4FCB-AB5B-40455D419AAB}"/>
    <cellStyle name="Normal 2 10 7 3" xfId="5114" xr:uid="{571AB264-AE71-4B93-A6D9-4E57D732FA1F}"/>
    <cellStyle name="Normal 2 10 8" xfId="1660" xr:uid="{A4F6FE63-F19E-400F-B186-E7BD7A581FE7}"/>
    <cellStyle name="Normal 2 10 8 2" xfId="3381" xr:uid="{4ABB7CC2-546F-482A-A9A9-6C101CB4C5A4}"/>
    <cellStyle name="Normal 2 10 8 2 2" xfId="7052" xr:uid="{56E6E002-CB1F-41C9-A355-66EA688C2E79}"/>
    <cellStyle name="Normal 2 10 8 3" xfId="5332" xr:uid="{A40A1D39-2C07-41F8-B7A0-0A3C5BD93091}"/>
    <cellStyle name="Normal 2 10 9" xfId="1880" xr:uid="{5B8C8A4D-9DCB-425B-ACBB-E50E9CA7F1E1}"/>
    <cellStyle name="Normal 2 10 9 2" xfId="5551" xr:uid="{B49CA633-0ED4-4D9F-9982-BC6CA03C4BBA}"/>
    <cellStyle name="Normal 2 11" xfId="140" xr:uid="{6504E5C2-407A-4509-9AAD-EF69BDF77570}"/>
    <cellStyle name="Normal 2 11 10" xfId="3869" xr:uid="{0EB1F6F4-B458-48C8-8557-BF03461BC040}"/>
    <cellStyle name="Normal 2 11 2" xfId="386" xr:uid="{D1CEE453-A693-41C6-9181-6BF7F450AAD1}"/>
    <cellStyle name="Normal 2 11 2 2" xfId="2085" xr:uid="{6299DE4E-D791-4333-B0A1-1D63C40A9612}"/>
    <cellStyle name="Normal 2 11 2 2 2" xfId="5756" xr:uid="{267747E6-D206-4A1A-861A-D52030EA1B53}"/>
    <cellStyle name="Normal 2 11 2 3" xfId="4049" xr:uid="{116D39C3-DB9A-4DFC-B772-C48EECD5E230}"/>
    <cellStyle name="Normal 2 11 3" xfId="582" xr:uid="{DF33E779-B51B-4D38-BBDF-D51E86CBA9AE}"/>
    <cellStyle name="Normal 2 11 3 2" xfId="2303" xr:uid="{7EC3F039-1929-4053-834F-9C0D4ABDD35E}"/>
    <cellStyle name="Normal 2 11 3 2 2" xfId="5974" xr:uid="{546069CF-6B69-4F3D-B624-1CE16F73013D}"/>
    <cellStyle name="Normal 2 11 3 3" xfId="4255" xr:uid="{FF2635F0-4458-45AA-B284-6B97BD8AA774}"/>
    <cellStyle name="Normal 2 11 4" xfId="800" xr:uid="{45ED6FE9-98B6-4788-9837-A9E418CF020E}"/>
    <cellStyle name="Normal 2 11 4 2" xfId="2521" xr:uid="{08489444-D345-49A9-97A2-6B90F11A5E39}"/>
    <cellStyle name="Normal 2 11 4 2 2" xfId="6192" xr:uid="{E473CEDC-4BA2-4BB9-9323-675A6676548A}"/>
    <cellStyle name="Normal 2 11 4 3" xfId="4473" xr:uid="{F27F02E1-E467-4420-ADAD-3E785B3B7A07}"/>
    <cellStyle name="Normal 2 11 5" xfId="1018" xr:uid="{309D6B7A-A6E4-41CE-A23B-26B2724B29E3}"/>
    <cellStyle name="Normal 2 11 5 2" xfId="2739" xr:uid="{F9220337-F765-421D-AD99-CF760F27F05F}"/>
    <cellStyle name="Normal 2 11 5 2 2" xfId="6410" xr:uid="{CDD28970-FD1C-4238-AC02-85D0AA34C130}"/>
    <cellStyle name="Normal 2 11 5 3" xfId="4691" xr:uid="{A4A60F76-9DDC-44BF-97DA-7AF63CEFF4FE}"/>
    <cellStyle name="Normal 2 11 6" xfId="1236" xr:uid="{069C204F-678B-4FFD-B514-C357A1C7BE64}"/>
    <cellStyle name="Normal 2 11 6 2" xfId="2957" xr:uid="{0384052E-A6D2-49FD-ADA7-E42C6FF137C7}"/>
    <cellStyle name="Normal 2 11 6 2 2" xfId="6628" xr:uid="{DBD1E68D-A11D-433B-A377-9B6B1BC4C66E}"/>
    <cellStyle name="Normal 2 11 6 3" xfId="4909" xr:uid="{8480A1F5-0A75-4ED4-9B6F-1630E0C3D627}"/>
    <cellStyle name="Normal 2 11 7" xfId="1454" xr:uid="{6CE562A9-3910-4F33-9482-8E2E06A1FE20}"/>
    <cellStyle name="Normal 2 11 7 2" xfId="3175" xr:uid="{FB4A255D-F5F1-47C0-A809-85747BDFCE1A}"/>
    <cellStyle name="Normal 2 11 7 2 2" xfId="6846" xr:uid="{C1F1D6D1-2CBE-4595-AB2B-0D1C7C673C0C}"/>
    <cellStyle name="Normal 2 11 7 3" xfId="5127" xr:uid="{151B8C61-7ABC-4D3E-81AB-9BEA22FC5C65}"/>
    <cellStyle name="Normal 2 11 8" xfId="1673" xr:uid="{338249EE-0B8B-4A35-A7C8-E958DDDD67AC}"/>
    <cellStyle name="Normal 2 11 8 2" xfId="3394" xr:uid="{8FF802E9-DFFF-41E0-B236-EF4306B3FF27}"/>
    <cellStyle name="Normal 2 11 8 2 2" xfId="7065" xr:uid="{32B2A658-9683-4F35-82BE-4A2D5F679913}"/>
    <cellStyle name="Normal 2 11 8 3" xfId="5345" xr:uid="{AC2630F8-F87E-4DC9-96D8-88E4C68F34F1}"/>
    <cellStyle name="Normal 2 11 9" xfId="1893" xr:uid="{6077860C-44AF-4E83-9FF1-362514B1E4F6}"/>
    <cellStyle name="Normal 2 11 9 2" xfId="5564" xr:uid="{7EEB5FCF-DE26-4425-9BF5-CE6B4CEAAF9E}"/>
    <cellStyle name="Normal 2 12" xfId="153" xr:uid="{A71F7A10-80D8-424A-B10D-41B14E67C800}"/>
    <cellStyle name="Normal 2 12 10" xfId="3882" xr:uid="{F99DFAA6-AA8C-4A62-958E-0C154E6D26EB}"/>
    <cellStyle name="Normal 2 12 2" xfId="399" xr:uid="{E6D2B481-6A68-4476-9469-D5F8AF4DAF7C}"/>
    <cellStyle name="Normal 2 12 2 2" xfId="2098" xr:uid="{19FC8D41-DDBB-48A0-AA79-8D97C586E828}"/>
    <cellStyle name="Normal 2 12 2 2 2" xfId="5769" xr:uid="{0D8F9862-F0AF-45FA-9E57-D932F79664F5}"/>
    <cellStyle name="Normal 2 12 2 3" xfId="4062" xr:uid="{0BC62027-D5B4-4F20-8CB2-638AA8EAF8AD}"/>
    <cellStyle name="Normal 2 12 3" xfId="595" xr:uid="{B56082EE-B3FD-4059-9E48-37FC77227B2E}"/>
    <cellStyle name="Normal 2 12 3 2" xfId="2316" xr:uid="{96C0F455-2B86-42A0-A674-2D8AE8D6CD43}"/>
    <cellStyle name="Normal 2 12 3 2 2" xfId="5987" xr:uid="{6DD0644A-A891-4521-8FEB-011582183D76}"/>
    <cellStyle name="Normal 2 12 3 3" xfId="4268" xr:uid="{3E4E131A-1524-4066-9D9F-6867F5C51C66}"/>
    <cellStyle name="Normal 2 12 4" xfId="813" xr:uid="{F156A80E-B620-48F3-944D-44BE57FBDB66}"/>
    <cellStyle name="Normal 2 12 4 2" xfId="2534" xr:uid="{BC7191E2-6EEA-450E-929C-A9310F210AEA}"/>
    <cellStyle name="Normal 2 12 4 2 2" xfId="6205" xr:uid="{93E7E1C9-027E-4495-BD9E-C0CFFA9B64EE}"/>
    <cellStyle name="Normal 2 12 4 3" xfId="4486" xr:uid="{E359177A-AADB-4B0C-9091-01662ECE688C}"/>
    <cellStyle name="Normal 2 12 5" xfId="1031" xr:uid="{A1651B64-68CD-45FE-8827-A8DABFEC13D2}"/>
    <cellStyle name="Normal 2 12 5 2" xfId="2752" xr:uid="{B5308410-F73F-4C01-9BFF-AF9372C298DD}"/>
    <cellStyle name="Normal 2 12 5 2 2" xfId="6423" xr:uid="{29E81495-6F6A-4F96-8598-D23878149293}"/>
    <cellStyle name="Normal 2 12 5 3" xfId="4704" xr:uid="{8BBDF441-413E-4FB2-B7C8-EFFF9BDC6355}"/>
    <cellStyle name="Normal 2 12 6" xfId="1249" xr:uid="{EAE9AF1D-D5E5-4A9F-9FE9-8706FB1CC4E5}"/>
    <cellStyle name="Normal 2 12 6 2" xfId="2970" xr:uid="{379216B9-3052-414F-B098-79F60C86DC05}"/>
    <cellStyle name="Normal 2 12 6 2 2" xfId="6641" xr:uid="{F28BC7F1-1447-4F69-86EF-803A95942993}"/>
    <cellStyle name="Normal 2 12 6 3" xfId="4922" xr:uid="{49FA663B-E6F0-464A-9B28-A35426CCD506}"/>
    <cellStyle name="Normal 2 12 7" xfId="1467" xr:uid="{52D1BDCD-0B81-4722-9008-5D1605BFA564}"/>
    <cellStyle name="Normal 2 12 7 2" xfId="3188" xr:uid="{ECB4E8F0-B818-4E3B-AD99-0156EF197743}"/>
    <cellStyle name="Normal 2 12 7 2 2" xfId="6859" xr:uid="{2B35F06C-09C2-4BEF-8E43-583B382CDD8C}"/>
    <cellStyle name="Normal 2 12 7 3" xfId="5140" xr:uid="{59D35910-C966-44B4-B21B-21CB79C31271}"/>
    <cellStyle name="Normal 2 12 8" xfId="1686" xr:uid="{00F5C7AB-FBE8-4A2E-B4DD-CFE0DCC226D6}"/>
    <cellStyle name="Normal 2 12 8 2" xfId="3407" xr:uid="{0A5D90FE-9929-4978-BB53-7208064ED79C}"/>
    <cellStyle name="Normal 2 12 8 2 2" xfId="7078" xr:uid="{6F7DBFB5-B001-49CA-B372-62ECFB166806}"/>
    <cellStyle name="Normal 2 12 8 3" xfId="5358" xr:uid="{B8A504E4-01AC-42EF-A5F0-89E72268A510}"/>
    <cellStyle name="Normal 2 12 9" xfId="1906" xr:uid="{257FD05C-779E-4150-8612-EC7A9F2C5F5D}"/>
    <cellStyle name="Normal 2 12 9 2" xfId="5577" xr:uid="{DB3AD9B4-A0B2-4630-B494-D2762D166705}"/>
    <cellStyle name="Normal 2 13" xfId="166" xr:uid="{3A873C8F-DA61-4A83-9A4E-B8C34683F7BA}"/>
    <cellStyle name="Normal 2 13 10" xfId="3895" xr:uid="{62100FB3-82D6-4189-9E9E-C9AB66ADF20B}"/>
    <cellStyle name="Normal 2 13 2" xfId="412" xr:uid="{6D085DD5-659F-43E6-83E5-FD8D9D0A0F64}"/>
    <cellStyle name="Normal 2 13 2 2" xfId="2111" xr:uid="{EE889339-5A10-4B42-8D19-500AA5A634E5}"/>
    <cellStyle name="Normal 2 13 2 2 2" xfId="5782" xr:uid="{08396B70-C6E0-4493-BE09-20A337B8BCC2}"/>
    <cellStyle name="Normal 2 13 2 3" xfId="4075" xr:uid="{F565C0D9-9930-411A-9CC5-3C8827FF63D3}"/>
    <cellStyle name="Normal 2 13 3" xfId="608" xr:uid="{DB86D97F-490C-40C4-8251-7492F0850765}"/>
    <cellStyle name="Normal 2 13 3 2" xfId="2329" xr:uid="{2AE6D170-E25B-4D5F-B386-DC017E2A496A}"/>
    <cellStyle name="Normal 2 13 3 2 2" xfId="6000" xr:uid="{F2DB3298-4F0E-4EA1-8905-D14BDCDB0E14}"/>
    <cellStyle name="Normal 2 13 3 3" xfId="4281" xr:uid="{E6582ECC-5B98-4A56-92D8-36AAAEC438CC}"/>
    <cellStyle name="Normal 2 13 4" xfId="826" xr:uid="{A4DFD5A1-3E9A-4AB2-80DF-F95F6A4D98E3}"/>
    <cellStyle name="Normal 2 13 4 2" xfId="2547" xr:uid="{EB673F0C-5B09-4AFF-BBA2-5B16483249E4}"/>
    <cellStyle name="Normal 2 13 4 2 2" xfId="6218" xr:uid="{23CD1A4B-8D41-433F-9C45-368FEB7A748E}"/>
    <cellStyle name="Normal 2 13 4 3" xfId="4499" xr:uid="{F760F635-B7DE-4FDC-B7B7-A7ECB3EB6534}"/>
    <cellStyle name="Normal 2 13 5" xfId="1044" xr:uid="{E50AD856-ED33-41AA-BC85-DE5D08B10D17}"/>
    <cellStyle name="Normal 2 13 5 2" xfId="2765" xr:uid="{432F82ED-B6A8-450B-939E-559B148818BE}"/>
    <cellStyle name="Normal 2 13 5 2 2" xfId="6436" xr:uid="{4018CB92-A4CC-47C3-A822-630554F13C47}"/>
    <cellStyle name="Normal 2 13 5 3" xfId="4717" xr:uid="{445516C0-9CCE-42A8-892B-3056D68950DD}"/>
    <cellStyle name="Normal 2 13 6" xfId="1262" xr:uid="{E6DF01C0-8040-42FF-AC4D-4BFDFD82FF4D}"/>
    <cellStyle name="Normal 2 13 6 2" xfId="2983" xr:uid="{999A242E-5C91-4E9A-8DA9-76AE9146D76F}"/>
    <cellStyle name="Normal 2 13 6 2 2" xfId="6654" xr:uid="{F0BAC87A-5F8F-4D37-B25E-58B6CA8A59C7}"/>
    <cellStyle name="Normal 2 13 6 3" xfId="4935" xr:uid="{750AB430-AC54-476D-A4E5-AA1D074B21EA}"/>
    <cellStyle name="Normal 2 13 7" xfId="1480" xr:uid="{54D5E999-8FE6-44FB-9019-BCD4521EEBEB}"/>
    <cellStyle name="Normal 2 13 7 2" xfId="3201" xr:uid="{AE5CD7EC-3174-4493-A097-7DDDACA5327D}"/>
    <cellStyle name="Normal 2 13 7 2 2" xfId="6872" xr:uid="{DF2505E3-2A8B-4F40-B356-D806CF90E116}"/>
    <cellStyle name="Normal 2 13 7 3" xfId="5153" xr:uid="{0D764B98-159E-4196-BA98-99BFC895E532}"/>
    <cellStyle name="Normal 2 13 8" xfId="1699" xr:uid="{D900FFB3-4057-428A-A84B-8BA4FAD0F91E}"/>
    <cellStyle name="Normal 2 13 8 2" xfId="3420" xr:uid="{AA8E76A1-6B2F-4D8C-9B87-C4510ACCB13B}"/>
    <cellStyle name="Normal 2 13 8 2 2" xfId="7091" xr:uid="{F1655776-FDB4-484E-9EA1-E263460F9F5D}"/>
    <cellStyle name="Normal 2 13 8 3" xfId="5371" xr:uid="{08397FC1-7BB5-4619-8C0F-C6728428AF54}"/>
    <cellStyle name="Normal 2 13 9" xfId="1919" xr:uid="{130E9988-9B75-4309-8BDB-B4108AEC7516}"/>
    <cellStyle name="Normal 2 13 9 2" xfId="5590" xr:uid="{A4338EE7-6B36-4DC8-A685-DF4665788198}"/>
    <cellStyle name="Normal 2 14" xfId="179" xr:uid="{A5CED0E6-DD2F-4DA1-BD00-DC88B76FF7C1}"/>
    <cellStyle name="Normal 2 14 10" xfId="3908" xr:uid="{EF5902DD-8721-41B1-A0C7-0F24D8EE2B70}"/>
    <cellStyle name="Normal 2 14 2" xfId="425" xr:uid="{19C72B9D-3E02-4F72-91B3-17E22B9F35E5}"/>
    <cellStyle name="Normal 2 14 2 2" xfId="2124" xr:uid="{C3E1357C-74FD-4613-8098-A42C465991A8}"/>
    <cellStyle name="Normal 2 14 2 2 2" xfId="5795" xr:uid="{76C244D6-C6DA-4607-A6C0-A999483567EE}"/>
    <cellStyle name="Normal 2 14 2 3" xfId="4088" xr:uid="{602E11A8-7B03-4601-AFAC-F6C50D41B3B5}"/>
    <cellStyle name="Normal 2 14 3" xfId="621" xr:uid="{5F8A0D23-F5F5-4DBE-A8C2-F26BF20F567E}"/>
    <cellStyle name="Normal 2 14 3 2" xfId="2342" xr:uid="{E369DF21-BB94-41B5-938A-64FCB0BDD5A2}"/>
    <cellStyle name="Normal 2 14 3 2 2" xfId="6013" xr:uid="{75E6086B-A194-4C60-8E85-9AA28287E0A3}"/>
    <cellStyle name="Normal 2 14 3 3" xfId="4294" xr:uid="{FB1AD003-10A3-47D7-A858-AB05339166E4}"/>
    <cellStyle name="Normal 2 14 4" xfId="839" xr:uid="{C2C86039-D344-44E5-ABE8-A8686C75D5CA}"/>
    <cellStyle name="Normal 2 14 4 2" xfId="2560" xr:uid="{01B0D72A-2799-445C-9CC1-5E7EF9A1265D}"/>
    <cellStyle name="Normal 2 14 4 2 2" xfId="6231" xr:uid="{B10EE05F-4D62-4BE2-8951-2032A5F3E548}"/>
    <cellStyle name="Normal 2 14 4 3" xfId="4512" xr:uid="{86233618-7A88-47AA-AC35-4F95801A944B}"/>
    <cellStyle name="Normal 2 14 5" xfId="1057" xr:uid="{5194F388-6B09-4413-90D0-B3AC7CAF5070}"/>
    <cellStyle name="Normal 2 14 5 2" xfId="2778" xr:uid="{A52E164C-A56F-4AB0-930A-08132EBD5859}"/>
    <cellStyle name="Normal 2 14 5 2 2" xfId="6449" xr:uid="{8A40E1FE-CBE8-4BBF-804D-37897F17A459}"/>
    <cellStyle name="Normal 2 14 5 3" xfId="4730" xr:uid="{B9887043-FA5B-4647-A028-787DF24FF029}"/>
    <cellStyle name="Normal 2 14 6" xfId="1275" xr:uid="{CB9C2ACD-8F67-426B-B50A-30267D2D0F0D}"/>
    <cellStyle name="Normal 2 14 6 2" xfId="2996" xr:uid="{FE4362E6-5012-4188-BF0F-01022510B3A6}"/>
    <cellStyle name="Normal 2 14 6 2 2" xfId="6667" xr:uid="{B9BA8ED7-E8D9-422F-ADE5-BEA5B9EE6F19}"/>
    <cellStyle name="Normal 2 14 6 3" xfId="4948" xr:uid="{C3B22593-CF92-450A-8A08-B4279E653A85}"/>
    <cellStyle name="Normal 2 14 7" xfId="1493" xr:uid="{44C9ECE0-D2D3-4F33-B47E-444DD9081CCD}"/>
    <cellStyle name="Normal 2 14 7 2" xfId="3214" xr:uid="{14EF5AB9-C611-4997-B1E0-2119463603FB}"/>
    <cellStyle name="Normal 2 14 7 2 2" xfId="6885" xr:uid="{7AE065ED-0AF8-43B5-BEAD-17E898373A05}"/>
    <cellStyle name="Normal 2 14 7 3" xfId="5166" xr:uid="{85277E2C-C8A8-452C-9CB5-92FBC9ACCA79}"/>
    <cellStyle name="Normal 2 14 8" xfId="1712" xr:uid="{7B388761-B5C3-4E2B-95FF-381E18FF9285}"/>
    <cellStyle name="Normal 2 14 8 2" xfId="3433" xr:uid="{B50C9466-4D8E-44C4-A139-06D1A7BD629B}"/>
    <cellStyle name="Normal 2 14 8 2 2" xfId="7104" xr:uid="{728C0BB0-E525-45E9-ADAC-9DD683745967}"/>
    <cellStyle name="Normal 2 14 8 3" xfId="5384" xr:uid="{2AB2B8F7-9F33-4D15-9173-E39FB89EEDCB}"/>
    <cellStyle name="Normal 2 14 9" xfId="1932" xr:uid="{C07710A9-425F-44D2-A608-A97C755D0430}"/>
    <cellStyle name="Normal 2 14 9 2" xfId="5603" xr:uid="{73C83F85-A584-48C8-BDFB-0E04422D8943}"/>
    <cellStyle name="Normal 2 15" xfId="192" xr:uid="{5FD9BA98-5DD9-4805-9F8E-A19EF575BD0C}"/>
    <cellStyle name="Normal 2 15 10" xfId="3921" xr:uid="{80737DAB-8719-4132-AB81-2F9B7BFC9597}"/>
    <cellStyle name="Normal 2 15 2" xfId="438" xr:uid="{BFFAB261-9B31-4FDD-A633-2D688073EE82}"/>
    <cellStyle name="Normal 2 15 2 2" xfId="2137" xr:uid="{467D2015-0E51-495B-A592-666BFB749B08}"/>
    <cellStyle name="Normal 2 15 2 2 2" xfId="5808" xr:uid="{CA556454-6E46-40CE-9D64-BA72F15E4451}"/>
    <cellStyle name="Normal 2 15 2 3" xfId="4101" xr:uid="{9045013B-B1BF-4E9B-B29C-DA64622511BF}"/>
    <cellStyle name="Normal 2 15 3" xfId="634" xr:uid="{6B3BC889-7D48-4573-979E-802DAAB83958}"/>
    <cellStyle name="Normal 2 15 3 2" xfId="2355" xr:uid="{53C5EDCD-0B6D-4560-93BA-CBB02672F172}"/>
    <cellStyle name="Normal 2 15 3 2 2" xfId="6026" xr:uid="{FA5E8C27-183A-4883-86B9-FC041071D8CC}"/>
    <cellStyle name="Normal 2 15 3 3" xfId="4307" xr:uid="{5904A57D-D58C-4789-AE04-E7909574904B}"/>
    <cellStyle name="Normal 2 15 4" xfId="852" xr:uid="{F15B46EA-F8EF-47E7-A95A-37D16A26316D}"/>
    <cellStyle name="Normal 2 15 4 2" xfId="2573" xr:uid="{6AEC68E6-8743-4B52-B9F4-EA7A6392F028}"/>
    <cellStyle name="Normal 2 15 4 2 2" xfId="6244" xr:uid="{E1CE5001-F0D8-4839-9492-381FC0BB3FC7}"/>
    <cellStyle name="Normal 2 15 4 3" xfId="4525" xr:uid="{707EBF46-9A9C-4DBE-9A74-6C13DA9230B6}"/>
    <cellStyle name="Normal 2 15 5" xfId="1070" xr:uid="{43115730-A3C5-433C-A067-9381188FF8ED}"/>
    <cellStyle name="Normal 2 15 5 2" xfId="2791" xr:uid="{136184A5-6551-4752-8D6F-FFFD56078B3D}"/>
    <cellStyle name="Normal 2 15 5 2 2" xfId="6462" xr:uid="{27AD72B7-B0AC-413F-AB1C-0961C28CF515}"/>
    <cellStyle name="Normal 2 15 5 3" xfId="4743" xr:uid="{26149A7B-5CA4-4045-8CEB-725FFC553034}"/>
    <cellStyle name="Normal 2 15 6" xfId="1288" xr:uid="{1D625963-6EFF-4264-A893-4DC5D6BCC486}"/>
    <cellStyle name="Normal 2 15 6 2" xfId="3009" xr:uid="{340A3EC9-595D-4326-BE5E-705066A39A5F}"/>
    <cellStyle name="Normal 2 15 6 2 2" xfId="6680" xr:uid="{312A85ED-46A8-4952-B2EE-B3A008BAFE76}"/>
    <cellStyle name="Normal 2 15 6 3" xfId="4961" xr:uid="{417184AB-BF91-4EAD-B149-4F53FD493CD8}"/>
    <cellStyle name="Normal 2 15 7" xfId="1506" xr:uid="{9D307D85-684D-4097-AA56-94186B335054}"/>
    <cellStyle name="Normal 2 15 7 2" xfId="3227" xr:uid="{01EAC737-353F-4C8E-852B-7B7C19B0C2B6}"/>
    <cellStyle name="Normal 2 15 7 2 2" xfId="6898" xr:uid="{237FB1E7-6B9C-4DF6-B0DF-E7BD470CAED1}"/>
    <cellStyle name="Normal 2 15 7 3" xfId="5179" xr:uid="{9EF07F94-3202-4CE0-8D32-4A866BF534A7}"/>
    <cellStyle name="Normal 2 15 8" xfId="1725" xr:uid="{50129F62-48AC-43E8-B30E-E52D306F6029}"/>
    <cellStyle name="Normal 2 15 8 2" xfId="3446" xr:uid="{951BDB3A-B136-4466-8751-304970AAB69A}"/>
    <cellStyle name="Normal 2 15 8 2 2" xfId="7117" xr:uid="{6C02A4C7-7B73-44D0-A11A-2748B0392F03}"/>
    <cellStyle name="Normal 2 15 8 3" xfId="5397" xr:uid="{3B5E17DC-1385-4A21-B3BC-414C2BA8BA8A}"/>
    <cellStyle name="Normal 2 15 9" xfId="1945" xr:uid="{85A9F764-0D16-49C9-AF84-C11DB69D632A}"/>
    <cellStyle name="Normal 2 15 9 2" xfId="5616" xr:uid="{74D01DE1-2FAE-4877-8144-DAC4C6E4594C}"/>
    <cellStyle name="Normal 2 16" xfId="205" xr:uid="{15609A1F-5A5E-4774-840F-95FA2A525240}"/>
    <cellStyle name="Normal 2 17" xfId="217" xr:uid="{B35FFF5C-AC2A-493C-93E5-F14B72392914}"/>
    <cellStyle name="Normal 2 17 10" xfId="3944" xr:uid="{CD7E9CAE-7CF0-4D8A-925C-22D2337747A3}"/>
    <cellStyle name="Normal 2 17 2" xfId="461" xr:uid="{29A47460-D582-4AB6-8BB0-F41066854BDB}"/>
    <cellStyle name="Normal 2 17 2 2" xfId="2160" xr:uid="{924DE960-36EB-4201-8C94-1E93E5746E40}"/>
    <cellStyle name="Normal 2 17 2 2 2" xfId="5831" xr:uid="{F895EF97-2590-4A25-BB62-E3181854C1EF}"/>
    <cellStyle name="Normal 2 17 2 3" xfId="4124" xr:uid="{BCD40AA9-1A6F-4A31-A27B-8E964C27236B}"/>
    <cellStyle name="Normal 2 17 3" xfId="657" xr:uid="{39EFE6F7-9C87-410A-9328-364E1C638395}"/>
    <cellStyle name="Normal 2 17 3 2" xfId="2378" xr:uid="{6E7A0F93-8C61-49A4-BBCF-34B89C643971}"/>
    <cellStyle name="Normal 2 17 3 2 2" xfId="6049" xr:uid="{6234FD6B-49D8-4273-9EC0-1830BF34A2BB}"/>
    <cellStyle name="Normal 2 17 3 3" xfId="4330" xr:uid="{2FE30874-8F2D-44EF-AF0D-8F0EC266B0EC}"/>
    <cellStyle name="Normal 2 17 4" xfId="875" xr:uid="{2928BF71-5669-4B51-A0DC-09717133F859}"/>
    <cellStyle name="Normal 2 17 4 2" xfId="2596" xr:uid="{7F518DAE-6652-4CD5-B18C-D7BAB3EDDB78}"/>
    <cellStyle name="Normal 2 17 4 2 2" xfId="6267" xr:uid="{199782AA-A939-4D46-8F8E-01C5404B53A0}"/>
    <cellStyle name="Normal 2 17 4 3" xfId="4548" xr:uid="{25563097-E4B6-4465-A66D-D90C3301C25C}"/>
    <cellStyle name="Normal 2 17 5" xfId="1093" xr:uid="{04E9156C-D173-473E-8CF5-A4B73B9C6C41}"/>
    <cellStyle name="Normal 2 17 5 2" xfId="2814" xr:uid="{8766570E-EF90-41D7-8492-4CE69AA0DA88}"/>
    <cellStyle name="Normal 2 17 5 2 2" xfId="6485" xr:uid="{8C5A7543-37BD-4300-A245-24CA659FEE44}"/>
    <cellStyle name="Normal 2 17 5 3" xfId="4766" xr:uid="{591A936F-7F13-40E0-BC24-7EB1FA0B159E}"/>
    <cellStyle name="Normal 2 17 6" xfId="1311" xr:uid="{6B800260-42C6-4951-AE65-E475D3103367}"/>
    <cellStyle name="Normal 2 17 6 2" xfId="3032" xr:uid="{36ABA5CF-4148-4913-8077-E5BC26FEA731}"/>
    <cellStyle name="Normal 2 17 6 2 2" xfId="6703" xr:uid="{4C89F198-7D8C-43B9-A484-F6A37F52FABB}"/>
    <cellStyle name="Normal 2 17 6 3" xfId="4984" xr:uid="{63F0409A-8CB3-4716-B696-2B52714ED570}"/>
    <cellStyle name="Normal 2 17 7" xfId="1529" xr:uid="{C04DDD26-3C11-48D0-97E3-055B4C423427}"/>
    <cellStyle name="Normal 2 17 7 2" xfId="3250" xr:uid="{778854B6-09BF-40CC-846A-C29D646E2EFC}"/>
    <cellStyle name="Normal 2 17 7 2 2" xfId="6921" xr:uid="{5E2D386E-6500-4DC9-81B7-9EE662C244AB}"/>
    <cellStyle name="Normal 2 17 7 3" xfId="5202" xr:uid="{43A5526B-AB8C-4318-B5B4-6DF6C2E4213E}"/>
    <cellStyle name="Normal 2 17 8" xfId="1748" xr:uid="{5DF6DF08-4717-4CC0-AA14-16EC9AF48C62}"/>
    <cellStyle name="Normal 2 17 8 2" xfId="3469" xr:uid="{BCAC781A-8A70-4238-A3B6-ACB6680038C3}"/>
    <cellStyle name="Normal 2 17 8 2 2" xfId="7140" xr:uid="{B0E13E80-6021-4D97-A2E5-795F0ADED846}"/>
    <cellStyle name="Normal 2 17 8 3" xfId="5420" xr:uid="{322E3C9D-6D80-4E4C-9AEF-286E16D0A2F1}"/>
    <cellStyle name="Normal 2 17 9" xfId="1968" xr:uid="{49F5797E-2044-434C-885B-5959345E4D49}"/>
    <cellStyle name="Normal 2 17 9 2" xfId="5639" xr:uid="{1BB1327D-EECA-4292-B3B7-153DA51A787E}"/>
    <cellStyle name="Normal 2 18" xfId="230" xr:uid="{22FE3258-9A71-43C7-AEF5-982846D7F7B7}"/>
    <cellStyle name="Normal 2 18 10" xfId="3957" xr:uid="{32A1AD70-BFCE-4365-9FE8-465BF58053A8}"/>
    <cellStyle name="Normal 2 18 2" xfId="474" xr:uid="{69468611-942E-417A-A84C-81BADA2353B3}"/>
    <cellStyle name="Normal 2 18 2 2" xfId="2173" xr:uid="{6EF7F5BF-F4B8-440F-8AF5-567F03CFFD79}"/>
    <cellStyle name="Normal 2 18 2 2 2" xfId="5844" xr:uid="{BA447A2C-8E8C-406A-8791-62C034CE1EEC}"/>
    <cellStyle name="Normal 2 18 2 3" xfId="4137" xr:uid="{BE72731B-5DE2-4950-A745-543DF2B63549}"/>
    <cellStyle name="Normal 2 18 3" xfId="670" xr:uid="{4269F487-2C92-4A51-8F45-C410E8046202}"/>
    <cellStyle name="Normal 2 18 3 2" xfId="2391" xr:uid="{0E890376-7ECF-4969-9A39-9A4C211C0AFB}"/>
    <cellStyle name="Normal 2 18 3 2 2" xfId="6062" xr:uid="{05D490D7-D7D2-4E29-AAEB-4E39519BE5A6}"/>
    <cellStyle name="Normal 2 18 3 3" xfId="4343" xr:uid="{77CE31EA-252F-4783-9C28-6183452E4ED7}"/>
    <cellStyle name="Normal 2 18 4" xfId="888" xr:uid="{86EFD176-8095-42BA-BE41-EF4613E74A2E}"/>
    <cellStyle name="Normal 2 18 4 2" xfId="2609" xr:uid="{AE1C1A52-805F-4820-85CF-4EB7F9194514}"/>
    <cellStyle name="Normal 2 18 4 2 2" xfId="6280" xr:uid="{0A050859-8D2B-4D25-8ABE-3F00BC3E23E4}"/>
    <cellStyle name="Normal 2 18 4 3" xfId="4561" xr:uid="{1550AEC5-993A-4C1D-BC8F-4AA3172D51CA}"/>
    <cellStyle name="Normal 2 18 5" xfId="1106" xr:uid="{44B7D3CD-24D2-4965-84B3-6EA35D9ADF8E}"/>
    <cellStyle name="Normal 2 18 5 2" xfId="2827" xr:uid="{A98E0062-0DB0-4E23-AA51-F1D79F55543D}"/>
    <cellStyle name="Normal 2 18 5 2 2" xfId="6498" xr:uid="{3CB9F2DA-538F-4C50-9F14-7684E826CE74}"/>
    <cellStyle name="Normal 2 18 5 3" xfId="4779" xr:uid="{09FAB75B-585F-4937-A76D-D750628A72CB}"/>
    <cellStyle name="Normal 2 18 6" xfId="1324" xr:uid="{F86E59DF-812E-4F1D-83FE-14B036256720}"/>
    <cellStyle name="Normal 2 18 6 2" xfId="3045" xr:uid="{87A57A33-94A4-458D-B9AD-F6D94DC0D7CE}"/>
    <cellStyle name="Normal 2 18 6 2 2" xfId="6716" xr:uid="{664B9937-8F60-482F-BE0F-86B28AB6B669}"/>
    <cellStyle name="Normal 2 18 6 3" xfId="4997" xr:uid="{2FC533E7-75FE-42FB-979F-796BE3AC0C61}"/>
    <cellStyle name="Normal 2 18 7" xfId="1542" xr:uid="{5E7E70EE-8199-4CED-866F-095AD104EC89}"/>
    <cellStyle name="Normal 2 18 7 2" xfId="3263" xr:uid="{5CBE5830-97F6-4DDA-849C-84A8417B14FE}"/>
    <cellStyle name="Normal 2 18 7 2 2" xfId="6934" xr:uid="{460E4DF3-FCFF-441C-A352-1A2AEA4AA6C1}"/>
    <cellStyle name="Normal 2 18 7 3" xfId="5215" xr:uid="{B446057A-2035-4A58-A917-A8A7B730FD03}"/>
    <cellStyle name="Normal 2 18 8" xfId="1761" xr:uid="{D3E4CB58-1188-4070-9F12-4A2B925849F0}"/>
    <cellStyle name="Normal 2 18 8 2" xfId="3482" xr:uid="{19922FF3-F3B4-4ADC-99F6-98E07F274B62}"/>
    <cellStyle name="Normal 2 18 8 2 2" xfId="7153" xr:uid="{195D6E06-DB49-4D0A-8202-9A7F2AF3311A}"/>
    <cellStyle name="Normal 2 18 8 3" xfId="5433" xr:uid="{217992A3-7383-4A2E-ACAC-2EC4BD92F8D4}"/>
    <cellStyle name="Normal 2 18 9" xfId="1981" xr:uid="{C1A13F25-407C-446F-996A-35C6D0E25E2A}"/>
    <cellStyle name="Normal 2 18 9 2" xfId="5652" xr:uid="{3A5C25F5-CAE8-447E-A513-8A547DAD6B61}"/>
    <cellStyle name="Normal 2 19" xfId="243" xr:uid="{A4480ABF-F513-49AD-B9A2-DA8AB4C58CF3}"/>
    <cellStyle name="Normal 2 19 2" xfId="683" xr:uid="{EBB9910A-424A-4321-8AF5-7C6E4026EC4D}"/>
    <cellStyle name="Normal 2 19 2 2" xfId="2404" xr:uid="{90683A22-9C3D-4F74-B436-C1202FADC36C}"/>
    <cellStyle name="Normal 2 19 2 2 2" xfId="6075" xr:uid="{A2B77608-1D3D-4BEE-A8BB-9E3001BEB5AA}"/>
    <cellStyle name="Normal 2 19 2 3" xfId="4356" xr:uid="{23949C7D-4182-403A-B1FB-3C259946B583}"/>
    <cellStyle name="Normal 2 19 3" xfId="901" xr:uid="{1BF40923-2534-451B-B9F5-C06A0B92DA71}"/>
    <cellStyle name="Normal 2 19 3 2" xfId="2622" xr:uid="{D3461759-8648-404D-A665-12B54AE6A9A0}"/>
    <cellStyle name="Normal 2 19 3 2 2" xfId="6293" xr:uid="{BF41B642-5534-44E2-BA84-3521192A764E}"/>
    <cellStyle name="Normal 2 19 3 3" xfId="4574" xr:uid="{945EE240-34EB-438F-B5EA-A42354C1F09D}"/>
    <cellStyle name="Normal 2 19 4" xfId="1119" xr:uid="{3485C76F-73E6-4E6E-81AD-E907773EBBCA}"/>
    <cellStyle name="Normal 2 19 4 2" xfId="2840" xr:uid="{6B623D2E-54C4-4BE0-8701-C3E76CF974C5}"/>
    <cellStyle name="Normal 2 19 4 2 2" xfId="6511" xr:uid="{6E8C3539-C22A-4080-BF2B-E491FDEC706A}"/>
    <cellStyle name="Normal 2 19 4 3" xfId="4792" xr:uid="{B187E754-DAAC-4073-B2CD-033D525E54C7}"/>
    <cellStyle name="Normal 2 19 5" xfId="1337" xr:uid="{9238EE9A-5171-4F0B-9C9B-29972794D248}"/>
    <cellStyle name="Normal 2 19 5 2" xfId="3058" xr:uid="{1805F7B9-DCC8-4ACA-9FA4-EB1EE58432ED}"/>
    <cellStyle name="Normal 2 19 5 2 2" xfId="6729" xr:uid="{8EBDDD11-FA2F-4036-8A43-D5C7F2265E11}"/>
    <cellStyle name="Normal 2 19 5 3" xfId="5010" xr:uid="{5B23FFDB-80EB-4B8C-869F-DEDA99595F4E}"/>
    <cellStyle name="Normal 2 19 6" xfId="1555" xr:uid="{FDF22BCA-A7C7-44D2-AFD2-E0032E4048BA}"/>
    <cellStyle name="Normal 2 19 6 2" xfId="3276" xr:uid="{AFCC9C23-4590-4A56-AB54-0807AA6D54D8}"/>
    <cellStyle name="Normal 2 19 6 2 2" xfId="6947" xr:uid="{5CFBD047-9CE8-4C1B-AE63-4ADF5B896364}"/>
    <cellStyle name="Normal 2 19 6 3" xfId="5228" xr:uid="{25DD8DFD-D9B8-4284-A561-BAFDE044DEC8}"/>
    <cellStyle name="Normal 2 19 7" xfId="1774" xr:uid="{63CDD0B1-3929-4F95-93FF-21D93585C03D}"/>
    <cellStyle name="Normal 2 19 7 2" xfId="3495" xr:uid="{3F2DB6B5-05D6-4EC9-9581-ECD8F9FA585A}"/>
    <cellStyle name="Normal 2 19 7 2 2" xfId="7166" xr:uid="{CA1DF1A4-7BAC-4873-A1DB-6A78D3017A66}"/>
    <cellStyle name="Normal 2 19 7 3" xfId="5446" xr:uid="{9D36841F-B4CA-44E5-B811-1FEF7182763F}"/>
    <cellStyle name="Normal 2 19 8" xfId="2186" xr:uid="{9B014E55-84B7-4D6D-A3F6-7D76B28314E8}"/>
    <cellStyle name="Normal 2 19 8 2" xfId="5857" xr:uid="{9508B127-D8C7-4E1A-B33C-6F50434BAB6F}"/>
    <cellStyle name="Normal 2 19 9" xfId="4150" xr:uid="{FFB861E5-C746-4D35-A346-A4E8DEB4EEC1}"/>
    <cellStyle name="Normal 2 2" xfId="53" xr:uid="{8DB1B94A-8864-4122-BFD6-D02A27548B8C}"/>
    <cellStyle name="Normal 2 2 10" xfId="3578" xr:uid="{BDFEF3EE-E0B1-42D0-83F2-DB700099A7BB}"/>
    <cellStyle name="Normal 2 2 2" xfId="297" xr:uid="{73A9AA0F-5DAF-4F4D-96C9-8A8C885083B7}"/>
    <cellStyle name="Normal 2 2 2 2" xfId="286" xr:uid="{17F04B15-6765-48DF-A61C-4482A85900CB}"/>
    <cellStyle name="Normal 2 2 2 2 2" xfId="487" xr:uid="{E7CD3E48-2B8A-428A-A21F-8F731B0DAC7C}"/>
    <cellStyle name="Normal 2 2 2 2 2 2" xfId="3528" xr:uid="{1CE63493-878A-4D76-A419-80A8A8472BD0}"/>
    <cellStyle name="Normal 2 2 2 2 2 2 2" xfId="3571" xr:uid="{BA7F8C99-5D3A-4138-8B7D-69E5B08B0FFF}"/>
    <cellStyle name="Normal 2 2 2 2 2 2 3" xfId="3629" xr:uid="{25BBDF4D-4DA9-45F6-9184-8B4F0ED00EF7}"/>
    <cellStyle name="Normal 2 2 2 2 2 3" xfId="287" xr:uid="{0FA8548F-36FB-4EA4-ADB7-984C65E0B735}"/>
    <cellStyle name="Normal 2 2 2 2 2 3 2" xfId="3557" xr:uid="{C292F627-77A8-4AE0-84CD-5AC1761CE15E}"/>
    <cellStyle name="Normal 2 2 2 2 2 3 3" xfId="3603" xr:uid="{FD0DFE8D-F56F-4C4C-B890-425BC992F295}"/>
    <cellStyle name="Normal 2 2 2 2 2 4" xfId="3542" xr:uid="{F9AA45EF-1CEA-457F-A881-0FFCEBA9A6F6}"/>
    <cellStyle name="Normal 2 2 2 2 2 5" xfId="3585" xr:uid="{42D04240-C534-44A3-A06B-9AFECDB2CD89}"/>
    <cellStyle name="Normal 2 2 2 2 3" xfId="278" xr:uid="{213C082E-DABE-4870-AFCD-683C8EB0619B}"/>
    <cellStyle name="Normal 2 2 2 2 3 2" xfId="3532" xr:uid="{43A1847D-5EC6-4C9B-86C7-B8FE83336A70}"/>
    <cellStyle name="Normal 2 2 2 2 3 2 2" xfId="3575" xr:uid="{3FE24C74-A808-44F1-91A6-772DCD994A6F}"/>
    <cellStyle name="Normal 2 2 2 2 3 2 3" xfId="3637" xr:uid="{0F60A5F6-F2ED-4D73-B106-E014C348FD8F}"/>
    <cellStyle name="Normal 2 2 2 2 3 3" xfId="294" xr:uid="{52F2CF95-721F-4167-9ED9-418FF8C7D0C7}"/>
    <cellStyle name="Normal 2 2 2 2 3 3 2" xfId="3561" xr:uid="{5C90F3E1-3923-4F5B-B316-B30091C89236}"/>
    <cellStyle name="Normal 2 2 2 2 3 3 3" xfId="3611" xr:uid="{9827F5F5-8FF5-41EB-A203-7DD970632349}"/>
    <cellStyle name="Normal 2 2 2 2 3 4" xfId="3547" xr:uid="{4F6B8B48-E5D1-452E-AC55-AE81717D30D6}"/>
    <cellStyle name="Normal 2 2 2 2 3 5" xfId="3589" xr:uid="{14C48C6E-393D-40FE-B570-896CDBB91EA7}"/>
    <cellStyle name="Normal 2 2 2 2 4" xfId="3525" xr:uid="{C835DB6A-E4D4-424A-B238-419D6C58EF90}"/>
    <cellStyle name="Normal 2 2 2 2 4 2" xfId="3567" xr:uid="{323A11B1-29D4-4D40-80B5-D52AAD5F5BD9}"/>
    <cellStyle name="Normal 2 2 2 2 4 3" xfId="3621" xr:uid="{BBC4D763-623A-40FC-8C70-F8480760DC44}"/>
    <cellStyle name="Normal 2 2 2 2 5" xfId="290" xr:uid="{7B095B81-2830-4F1E-A492-D6AD4B61E400}"/>
    <cellStyle name="Normal 2 2 2 2 5 2" xfId="3553" xr:uid="{38A836D9-0411-4FFC-821D-856EF1CF9346}"/>
    <cellStyle name="Normal 2 2 2 2 5 3" xfId="3595" xr:uid="{59CC909B-31EC-4FF3-9D31-2C7B25BB185F}"/>
    <cellStyle name="Normal 2 2 2 2 6" xfId="3538" xr:uid="{B6437947-D101-4F17-97FD-0D36C60C2242}"/>
    <cellStyle name="Normal 2 2 2 2 7" xfId="3581" xr:uid="{13B17B95-A6EB-4A1B-A551-DEB5D2B7F87D}"/>
    <cellStyle name="Normal 2 2 2 3" xfId="291" xr:uid="{76A3E4D8-C2C7-47F8-8C08-FED87AD4D670}"/>
    <cellStyle name="Normal 2 2 2 3 2" xfId="3527" xr:uid="{2A4A545A-0E0B-4B06-A751-157BDDEE0F54}"/>
    <cellStyle name="Normal 2 2 2 3 2 2" xfId="3569" xr:uid="{072062E4-1484-4779-A695-580AD5D86418}"/>
    <cellStyle name="Normal 2 2 2 3 2 3" xfId="3625" xr:uid="{C2B74A5F-891A-4C33-AB35-A9AF5D327D91}"/>
    <cellStyle name="Normal 2 2 2 3 3" xfId="488" xr:uid="{6D0AA7B4-306C-4969-A445-3A9C721F6B30}"/>
    <cellStyle name="Normal 2 2 2 3 3 2" xfId="3555" xr:uid="{6EBC3E5B-324C-4FAB-99BB-A2838F3B8DE2}"/>
    <cellStyle name="Normal 2 2 2 3 3 3" xfId="3599" xr:uid="{8151CAA0-54D6-41E3-A859-0B48E6E82E5B}"/>
    <cellStyle name="Normal 2 2 2 3 4" xfId="3540" xr:uid="{40FF9187-0AB2-427A-8BF1-D0958D952C9C}"/>
    <cellStyle name="Normal 2 2 2 3 5" xfId="3583" xr:uid="{84F0266D-9822-4F6E-8055-98D714258CB9}"/>
    <cellStyle name="Normal 2 2 2 4" xfId="272" xr:uid="{9D246C43-9A00-4E99-BD71-1CB7FB1F206E}"/>
    <cellStyle name="Normal 2 2 2 4 2" xfId="3530" xr:uid="{7324164C-9424-4F8E-8B79-BD07368ADE96}"/>
    <cellStyle name="Normal 2 2 2 4 2 2" xfId="3573" xr:uid="{7F085CC9-348E-4132-A4E1-D5A80EB47161}"/>
    <cellStyle name="Normal 2 2 2 4 2 3" xfId="3633" xr:uid="{A934B051-431B-4CD3-A27D-8D80867778D0}"/>
    <cellStyle name="Normal 2 2 2 4 3" xfId="296" xr:uid="{9F8C40D4-1B01-4B3E-8415-569A078C029B}"/>
    <cellStyle name="Normal 2 2 2 4 3 2" xfId="3559" xr:uid="{AE8F6480-C1CB-4854-B693-4BC5237A956E}"/>
    <cellStyle name="Normal 2 2 2 4 3 3" xfId="3607" xr:uid="{40DA8BC9-BBC2-4C71-ADAB-316302BA51AB}"/>
    <cellStyle name="Normal 2 2 2 4 4" xfId="3545" xr:uid="{6C7DBAD9-9BFC-497D-B532-478B6C812B2F}"/>
    <cellStyle name="Normal 2 2 2 4 5" xfId="3587" xr:uid="{C9C7687B-23B1-41F4-BEC3-D8C4ED979416}"/>
    <cellStyle name="Normal 2 2 2 5" xfId="277" xr:uid="{47A5A124-5C4A-48EB-B6D0-5D77D140CD88}"/>
    <cellStyle name="Normal 2 2 2 5 2" xfId="3534" xr:uid="{74578420-3768-4FFD-BE31-29C509342783}"/>
    <cellStyle name="Normal 2 2 2 5 2 2" xfId="3577" xr:uid="{4A90A739-FA0B-445F-9CE3-B5E1B1BAD567}"/>
    <cellStyle name="Normal 2 2 2 5 2 3" xfId="3643" xr:uid="{88488F36-BB5A-4AE7-B96F-30164F67D7C5}"/>
    <cellStyle name="Normal 2 2 2 5 3" xfId="281" xr:uid="{684D1817-3768-4F75-BABC-9A0969FA552F}"/>
    <cellStyle name="Normal 2 2 2 5 3 2" xfId="3563" xr:uid="{12BB4566-3756-403A-9C07-C182BF33C7E2}"/>
    <cellStyle name="Normal 2 2 2 5 3 3" xfId="3617" xr:uid="{1DE75E3B-B4DF-4002-9A65-A43EFCD68E1A}"/>
    <cellStyle name="Normal 2 2 2 5 4" xfId="3549" xr:uid="{78C407B0-E945-4A35-AA30-4830E127B248}"/>
    <cellStyle name="Normal 2 2 2 5 5" xfId="3591" xr:uid="{D4BE93BB-8C43-40E0-B024-47983E6803A0}"/>
    <cellStyle name="Normal 2 2 2 6" xfId="3523" xr:uid="{47AEB507-55B5-48DB-A39A-3C8A4FE881B0}"/>
    <cellStyle name="Normal 2 2 2 6 2" xfId="3565" xr:uid="{10AE33B7-F9A7-4505-BC19-E1BBF6F3837F}"/>
    <cellStyle name="Normal 2 2 2 6 3" xfId="3619" xr:uid="{BA97EA59-A980-40A0-B18A-26949657E760}"/>
    <cellStyle name="Normal 2 2 2 7" xfId="490" xr:uid="{8E806C45-AE91-4AC4-B647-6E4A6A9E7A71}"/>
    <cellStyle name="Normal 2 2 2 7 2" xfId="3551" xr:uid="{FBF36C60-D658-43F0-B268-32EAE5BD31A9}"/>
    <cellStyle name="Normal 2 2 2 7 3" xfId="3593" xr:uid="{5738C3BA-D4C1-427E-8501-2FC8FE44C383}"/>
    <cellStyle name="Normal 2 2 2 8" xfId="3536" xr:uid="{71BBCBC4-A1A2-4792-9352-7771D8B89C1C}"/>
    <cellStyle name="Normal 2 2 2 9" xfId="3579" xr:uid="{BDFCFB02-EB82-41CD-B3BF-69F34CE52C60}"/>
    <cellStyle name="Normal 2 2 3" xfId="279" xr:uid="{55C17AA8-596B-4158-B813-242F6D2A64DD}"/>
    <cellStyle name="Normal 2 2 3 2" xfId="489" xr:uid="{581357C9-693B-4559-B525-6BEA4376742F}"/>
    <cellStyle name="Normal 2 2 3 2 2" xfId="271" xr:uid="{205A126F-7D31-41DB-B8B7-5AED98C8F190}"/>
    <cellStyle name="Normal 2 2 3 2 2 2" xfId="3570" xr:uid="{67B99FE5-723C-49DD-AF58-30274753A718}"/>
    <cellStyle name="Normal 2 2 3 2 2 3" xfId="3627" xr:uid="{412C86A1-E5CF-4807-B9CC-BE05C9A3AA38}"/>
    <cellStyle name="Normal 2 2 3 2 3" xfId="292" xr:uid="{EB0D01C3-6BDF-4877-A15B-CA04ABEB4E03}"/>
    <cellStyle name="Normal 2 2 3 2 3 2" xfId="3556" xr:uid="{ECBF38B4-D540-4448-A413-7A82E64393F5}"/>
    <cellStyle name="Normal 2 2 3 2 3 3" xfId="3601" xr:uid="{22429539-046C-432B-8D00-E9046AC6D059}"/>
    <cellStyle name="Normal 2 2 3 2 4" xfId="3541" xr:uid="{DA88F5F0-A5D9-42CA-8944-AA3DCE1E3C9B}"/>
    <cellStyle name="Normal 2 2 3 2 5" xfId="3584" xr:uid="{E36B5C7B-FC0C-458F-9DE2-E5C3E21BFF3D}"/>
    <cellStyle name="Normal 2 2 3 3" xfId="295" xr:uid="{C357993B-3C54-4BC5-8E68-1397F4665FD6}"/>
    <cellStyle name="Normal 2 2 3 3 2" xfId="3531" xr:uid="{7A519F04-ED44-446F-BF39-E4801C04D05C}"/>
    <cellStyle name="Normal 2 2 3 3 2 2" xfId="3574" xr:uid="{AD46DBBF-3A26-47CB-89FA-979FB2A01B7C}"/>
    <cellStyle name="Normal 2 2 3 3 2 3" xfId="3635" xr:uid="{71BA5A6A-2D98-4D72-BACC-8936431E465E}"/>
    <cellStyle name="Normal 2 2 3 3 3" xfId="270" xr:uid="{58FF55D0-139A-465D-A004-61A567E413E6}"/>
    <cellStyle name="Normal 2 2 3 3 3 2" xfId="3560" xr:uid="{5F07C20C-EBD4-488F-BF38-604E7B9D8053}"/>
    <cellStyle name="Normal 2 2 3 3 3 3" xfId="3609" xr:uid="{F21EBB5C-E1A8-41FB-A7B6-66BA07002648}"/>
    <cellStyle name="Normal 2 2 3 3 4" xfId="3546" xr:uid="{ED881994-779B-4D13-86FB-F3B255C60270}"/>
    <cellStyle name="Normal 2 2 3 3 5" xfId="3588" xr:uid="{29E9905F-9B60-47A2-A11A-92192E395940}"/>
    <cellStyle name="Normal 2 2 3 4" xfId="280" xr:uid="{A602EC04-AD29-42EA-9DBD-A0AA435B89A5}"/>
    <cellStyle name="Normal 2 2 3 4 2" xfId="3533" xr:uid="{14B9FB81-F1AC-4914-8928-3F5161A218EF}"/>
    <cellStyle name="Normal 2 2 3 4 2 2" xfId="3576" xr:uid="{CC84EA42-F0ED-412A-A6C8-C2FAC656B2F1}"/>
    <cellStyle name="Normal 2 2 3 4 2 3" xfId="3641" xr:uid="{BFBA3886-0E36-496C-AF9D-E1E1C6A256CD}"/>
    <cellStyle name="Normal 2 2 3 4 3" xfId="284" xr:uid="{708D6390-650C-4BE5-98CB-C9BC12D16640}"/>
    <cellStyle name="Normal 2 2 3 4 3 2" xfId="3562" xr:uid="{324179E2-953E-4645-A95A-105F10A8D69D}"/>
    <cellStyle name="Normal 2 2 3 4 3 3" xfId="3615" xr:uid="{184A6913-80E5-4CC0-812A-39FD3927D78B}"/>
    <cellStyle name="Normal 2 2 3 4 4" xfId="3548" xr:uid="{D857348D-A9A7-4F4E-8979-9386873DE263}"/>
    <cellStyle name="Normal 2 2 3 4 5" xfId="3590" xr:uid="{00F5C545-8B61-4752-AD25-E2872821C3DB}"/>
    <cellStyle name="Normal 2 2 3 5" xfId="3524" xr:uid="{DEEF753B-D772-4FD2-A2CA-EA290A7A9E79}"/>
    <cellStyle name="Normal 2 2 3 5 2" xfId="3566" xr:uid="{12350097-47FE-44B4-A5E1-4485FFFBD887}"/>
    <cellStyle name="Normal 2 2 3 5 3" xfId="3620" xr:uid="{E786D2A5-4F98-49A3-89ED-1B602F369CD1}"/>
    <cellStyle name="Normal 2 2 3 6" xfId="293" xr:uid="{5AF71AF7-C5F3-4547-8BBE-ED32823C3DC4}"/>
    <cellStyle name="Normal 2 2 3 6 2" xfId="3552" xr:uid="{D8AAD1FD-33B9-4BA3-A60D-A78862044F17}"/>
    <cellStyle name="Normal 2 2 3 6 3" xfId="3594" xr:uid="{53343E16-A89A-4AA6-9F17-6749AFE84B46}"/>
    <cellStyle name="Normal 2 2 3 7" xfId="3537" xr:uid="{FD5095AF-5A55-4101-A174-1EB0B73EC40E}"/>
    <cellStyle name="Normal 2 2 3 8" xfId="3580" xr:uid="{1584968C-E889-4765-81E4-38F2627B7B29}"/>
    <cellStyle name="Normal 2 2 4" xfId="289" xr:uid="{A850809D-0747-4FF5-A340-DD4D0FE1C0AD}"/>
    <cellStyle name="Normal 2 2 4 2" xfId="3526" xr:uid="{BD83DE91-A7CD-4827-9724-02E2DC692EE6}"/>
    <cellStyle name="Normal 2 2 4 2 2" xfId="3568" xr:uid="{72DF8FE6-80E9-41BE-8730-9B2DB0182944}"/>
    <cellStyle name="Normal 2 2 4 2 3" xfId="3623" xr:uid="{1AA4D6EC-0DB4-4EA4-8E06-18F862ED7851}"/>
    <cellStyle name="Normal 2 2 4 3" xfId="273" xr:uid="{8F3304A0-936A-4537-AE77-0B42B198E24D}"/>
    <cellStyle name="Normal 2 2 4 3 2" xfId="3554" xr:uid="{A1A873BE-D8F1-4FD7-8EBF-6F8499A34617}"/>
    <cellStyle name="Normal 2 2 4 3 3" xfId="3597" xr:uid="{ACD48BA8-2480-4C94-84B6-DCA03CEF0508}"/>
    <cellStyle name="Normal 2 2 4 4" xfId="3539" xr:uid="{176B4EA1-0A93-423C-83ED-8B202229E596}"/>
    <cellStyle name="Normal 2 2 4 5" xfId="3582" xr:uid="{9D97E146-0502-4FEA-8B0F-4A06389E9DE7}"/>
    <cellStyle name="Normal 2 2 5" xfId="288" xr:uid="{52B62608-4945-46A2-B50E-BBE496A3B1A6}"/>
    <cellStyle name="Normal 2 2 5 2" xfId="3529" xr:uid="{7F52F18E-6A93-4817-9A40-3F5C8287DA47}"/>
    <cellStyle name="Normal 2 2 5 2 2" xfId="3572" xr:uid="{EA7FDB6E-8BA5-4B10-8F67-A86D6D2204A3}"/>
    <cellStyle name="Normal 2 2 5 2 3" xfId="3631" xr:uid="{CB5F5425-F9D8-42F6-8A6E-F450BFCE34AF}"/>
    <cellStyle name="Normal 2 2 5 3" xfId="282" xr:uid="{78B6F530-F8BE-4C29-9298-50DC6DB490A5}"/>
    <cellStyle name="Normal 2 2 5 3 2" xfId="3558" xr:uid="{E448740B-D52C-46F9-B400-A0FC21512521}"/>
    <cellStyle name="Normal 2 2 5 3 3" xfId="3605" xr:uid="{61C49B21-9EF7-4BE9-BCDD-231B2DF4F8EA}"/>
    <cellStyle name="Normal 2 2 5 4" xfId="3544" xr:uid="{B1B3641C-782E-4BC5-AD47-EC3923D4BFF0}"/>
    <cellStyle name="Normal 2 2 5 5" xfId="3586" xr:uid="{1FFD5741-BC11-4AC5-A4F3-17118A720A02}"/>
    <cellStyle name="Normal 2 2 6" xfId="274" xr:uid="{A809ED3D-2DE6-4797-A179-FF4F530B0CD1}"/>
    <cellStyle name="Normal 2 2 7" xfId="269" xr:uid="{792AED75-5167-4617-A341-466F29F9D04F}"/>
    <cellStyle name="Normal 2 2 7 2" xfId="3564" xr:uid="{45E19D7D-6AF3-4DF9-85D2-C74317A7AF01}"/>
    <cellStyle name="Normal 2 2 7 3" xfId="3618" xr:uid="{9DCADBDB-D4A5-4DDA-B9EA-193FD64F4D28}"/>
    <cellStyle name="Normal 2 2 8" xfId="275" xr:uid="{14958AF0-5623-461F-AEF5-64693267B9C4}"/>
    <cellStyle name="Normal 2 2 8 2" xfId="3550" xr:uid="{9B9A080D-82A6-4C00-9783-31F73EF28582}"/>
    <cellStyle name="Normal 2 2 8 3" xfId="3592" xr:uid="{A587F5D6-A81D-4C58-872E-E0D2B2A94AB9}"/>
    <cellStyle name="Normal 2 2 9" xfId="3535" xr:uid="{1D2682AA-CA46-4C8D-938E-E8726DC066A5}"/>
    <cellStyle name="Normal 2 20" xfId="256" xr:uid="{3ACEFC52-BC20-45B0-8A7B-A384B1B95378}"/>
    <cellStyle name="Normal 2 20 2" xfId="696" xr:uid="{20BA8818-BD72-4488-B973-E18FBD85263A}"/>
    <cellStyle name="Normal 2 20 2 2" xfId="2417" xr:uid="{793EAF5E-05E9-493B-852F-AA73D1181BB3}"/>
    <cellStyle name="Normal 2 20 2 2 2" xfId="6088" xr:uid="{39616E79-6F51-48BA-9B23-93562FA1A427}"/>
    <cellStyle name="Normal 2 20 2 3" xfId="4369" xr:uid="{57341AC7-1FAD-4C08-AB4F-C6BAA062E50D}"/>
    <cellStyle name="Normal 2 20 3" xfId="914" xr:uid="{0AFAA739-9F6A-42EC-AEEA-5CCB6C68C887}"/>
    <cellStyle name="Normal 2 20 3 2" xfId="2635" xr:uid="{993F905B-D386-4ABC-8D42-F9BCB99E3F57}"/>
    <cellStyle name="Normal 2 20 3 2 2" xfId="6306" xr:uid="{4408F0C0-CC4F-4A2F-97D3-3CB20B6AA19C}"/>
    <cellStyle name="Normal 2 20 3 3" xfId="4587" xr:uid="{BF495420-1F0A-4E65-B62C-8F077A913860}"/>
    <cellStyle name="Normal 2 20 4" xfId="1132" xr:uid="{99ED8EF2-D85A-450E-969A-1C36B1996873}"/>
    <cellStyle name="Normal 2 20 4 2" xfId="2853" xr:uid="{08877682-0E1C-4C0E-94CD-8FD8D3B4FF0B}"/>
    <cellStyle name="Normal 2 20 4 2 2" xfId="6524" xr:uid="{F1E3EBAD-9C7E-4B9E-9254-B8A43A8864B2}"/>
    <cellStyle name="Normal 2 20 4 3" xfId="4805" xr:uid="{1E2096E4-66F7-4C5A-AF04-E6FF330AE3B0}"/>
    <cellStyle name="Normal 2 20 5" xfId="1350" xr:uid="{A33C2719-82E5-4141-84BB-28055A36CD95}"/>
    <cellStyle name="Normal 2 20 5 2" xfId="3071" xr:uid="{6DCC0065-F82A-4A91-B5A8-EA9303F5DA5F}"/>
    <cellStyle name="Normal 2 20 5 2 2" xfId="6742" xr:uid="{E1FCDBBE-10F4-4050-A721-597BA1B01461}"/>
    <cellStyle name="Normal 2 20 5 3" xfId="5023" xr:uid="{F4404AA3-9D3D-4550-8D8E-19176867743C}"/>
    <cellStyle name="Normal 2 20 6" xfId="1568" xr:uid="{109DF882-418E-4B55-B5C4-B710FED804B1}"/>
    <cellStyle name="Normal 2 20 6 2" xfId="3289" xr:uid="{2F644B28-97CF-44CC-8D05-246648390D26}"/>
    <cellStyle name="Normal 2 20 6 2 2" xfId="6960" xr:uid="{36741C15-0245-44A1-9E40-FC985FFFB1F9}"/>
    <cellStyle name="Normal 2 20 6 3" xfId="5241" xr:uid="{8A249C52-D938-4FB3-91E8-575ADDC896AC}"/>
    <cellStyle name="Normal 2 20 7" xfId="1787" xr:uid="{56A97D59-0B77-4031-9366-EEDAE2A85E7A}"/>
    <cellStyle name="Normal 2 20 7 2" xfId="3508" xr:uid="{D78118DD-27FB-42C2-9526-26E26A939E1D}"/>
    <cellStyle name="Normal 2 20 7 2 2" xfId="7179" xr:uid="{900E964E-B00B-408B-8B4F-ECE46B9BC5A2}"/>
    <cellStyle name="Normal 2 20 7 3" xfId="5459" xr:uid="{4978D780-BB56-4835-B961-D90C47823C6C}"/>
    <cellStyle name="Normal 2 20 8" xfId="2199" xr:uid="{CB8911B8-8019-44A8-88E2-CFAAE151F026}"/>
    <cellStyle name="Normal 2 20 8 2" xfId="5870" xr:uid="{DD9D1391-4E33-4733-B49B-541BCB05A00C}"/>
    <cellStyle name="Normal 2 20 9" xfId="4163" xr:uid="{817FB91B-12C4-4E7E-B5A7-902A529135C3}"/>
    <cellStyle name="Normal 2 21" xfId="51" xr:uid="{00000000-0005-0000-0000-000001000000}"/>
    <cellStyle name="Normal 2 21 2" xfId="1994" xr:uid="{AF7A79B4-A2BD-4C10-9387-C2C070B334D1}"/>
    <cellStyle name="Normal 2 21 2 2" xfId="5665" xr:uid="{33689852-D6C4-4174-A062-2C8303A2D54B}"/>
    <cellStyle name="Normal 2 21 3" xfId="3970" xr:uid="{8209460E-37AB-4DBB-80CD-A041F3B5920D}"/>
    <cellStyle name="Normal 2 22" xfId="491" xr:uid="{5EFA3CC1-5CAC-4C1B-80CD-82A2F2230A24}"/>
    <cellStyle name="Normal 2 22 2" xfId="2212" xr:uid="{E3C078E8-6C34-421C-B863-DB3FE6EAD44D}"/>
    <cellStyle name="Normal 2 22 2 2" xfId="5883" xr:uid="{D42667AF-F8CB-42BA-996B-96544F490E25}"/>
    <cellStyle name="Normal 2 22 3" xfId="4176" xr:uid="{77960D18-0D70-4CC3-95BD-161A8F5D9047}"/>
    <cellStyle name="Normal 2 23" xfId="709" xr:uid="{2E587090-0F75-497E-95FC-4968BD2E009E}"/>
    <cellStyle name="Normal 2 23 2" xfId="2430" xr:uid="{61A56226-E024-460F-8643-2A83CD29AEB1}"/>
    <cellStyle name="Normal 2 23 2 2" xfId="6101" xr:uid="{9532BF03-7A82-4DFF-B1E2-62B9253B38A6}"/>
    <cellStyle name="Normal 2 23 3" xfId="4382" xr:uid="{8170DE20-046A-4C21-9ED0-E28A483470D9}"/>
    <cellStyle name="Normal 2 24" xfId="927" xr:uid="{07F822A3-FAFC-47F5-ABD7-F3EF2D611009}"/>
    <cellStyle name="Normal 2 24 2" xfId="2648" xr:uid="{137FCBC0-B697-4836-AA71-BEE236FECBE3}"/>
    <cellStyle name="Normal 2 24 2 2" xfId="6319" xr:uid="{CD21FF4F-F736-4E33-8DD0-5A9BB54523F4}"/>
    <cellStyle name="Normal 2 24 3" xfId="4600" xr:uid="{C98EECED-6D00-4376-BDA7-2A38E3454540}"/>
    <cellStyle name="Normal 2 25" xfId="1145" xr:uid="{119EDD0C-0EC9-40B6-8C28-523980F3B8C2}"/>
    <cellStyle name="Normal 2 25 2" xfId="2866" xr:uid="{D9611687-FC1C-4766-B94C-CE2505D62BD6}"/>
    <cellStyle name="Normal 2 25 2 2" xfId="6537" xr:uid="{E09EDF4A-F937-4F11-A1D9-6CC1FEBE2445}"/>
    <cellStyle name="Normal 2 25 3" xfId="4818" xr:uid="{9185064B-C03E-412A-A597-5C7292DEE77C}"/>
    <cellStyle name="Normal 2 26" xfId="1363" xr:uid="{B0928691-6A52-4AB6-AD49-AF48793BC587}"/>
    <cellStyle name="Normal 2 26 2" xfId="3084" xr:uid="{9CF90514-1164-468F-8C81-CCFD3F7B8555}"/>
    <cellStyle name="Normal 2 26 2 2" xfId="6755" xr:uid="{A2256EF4-6165-4577-9BAE-B38C7ADA1EB5}"/>
    <cellStyle name="Normal 2 26 3" xfId="5036" xr:uid="{13527856-E0FA-4A54-B069-370FA5D5EFB3}"/>
    <cellStyle name="Normal 2 27" xfId="1582" xr:uid="{AE33E83B-61D8-4157-BD1E-49EC6F68D93C}"/>
    <cellStyle name="Normal 2 27 2" xfId="3303" xr:uid="{364EFF82-FAE4-4D86-81E3-968CAC28EBD3}"/>
    <cellStyle name="Normal 2 27 2 2" xfId="6974" xr:uid="{A57B2EC3-FC45-4DF2-82AA-E88776A5E592}"/>
    <cellStyle name="Normal 2 27 3" xfId="5254" xr:uid="{EC6D5A89-A9F1-407D-B975-A8B7E1BD5330}"/>
    <cellStyle name="Normal 2 28" xfId="1802" xr:uid="{82D28BB5-FDC0-4D8C-8107-E414A159EC08}"/>
    <cellStyle name="Normal 2 28 2" xfId="5473" xr:uid="{1E6F441A-A77B-42E9-BD74-65984BAD848D}"/>
    <cellStyle name="Normal 2 29" xfId="3778" xr:uid="{EB8022D2-4121-4D01-8C61-30BA8138CF93}"/>
    <cellStyle name="Normal 2 3" xfId="54" xr:uid="{806491FD-3918-48F8-A8DD-0C3B2AF35112}"/>
    <cellStyle name="Normal 2 3 10" xfId="156" xr:uid="{B52D4637-5789-47AD-9D06-8338374F7F39}"/>
    <cellStyle name="Normal 2 3 10 10" xfId="3885" xr:uid="{FFC5889E-EFB5-4EAF-8581-C52B38856434}"/>
    <cellStyle name="Normal 2 3 10 2" xfId="402" xr:uid="{189A43A8-977C-40BB-8EC7-94C0CAE88551}"/>
    <cellStyle name="Normal 2 3 10 2 2" xfId="2101" xr:uid="{CAF0B776-F1BA-47DA-9CAB-7A52E394D39E}"/>
    <cellStyle name="Normal 2 3 10 2 2 2" xfId="5772" xr:uid="{11B85238-313A-46CE-8758-703FB3A8684C}"/>
    <cellStyle name="Normal 2 3 10 2 3" xfId="4065" xr:uid="{4987DB76-E43B-40EE-89FB-1062E13B84A2}"/>
    <cellStyle name="Normal 2 3 10 3" xfId="598" xr:uid="{0AAA27A4-85B4-4D83-A404-7EC2D81ED690}"/>
    <cellStyle name="Normal 2 3 10 3 2" xfId="2319" xr:uid="{E98CD4A9-4D0E-49DE-BAD5-C98E25EDD0DE}"/>
    <cellStyle name="Normal 2 3 10 3 2 2" xfId="5990" xr:uid="{D78A769D-6980-462B-9A1C-C7B32D963891}"/>
    <cellStyle name="Normal 2 3 10 3 3" xfId="4271" xr:uid="{E7B1328D-FCDE-4C99-B573-7A1F6D4EA067}"/>
    <cellStyle name="Normal 2 3 10 4" xfId="816" xr:uid="{E368FBA4-7AAF-48D0-92A4-E18F48BC2F63}"/>
    <cellStyle name="Normal 2 3 10 4 2" xfId="2537" xr:uid="{6D719808-D384-4EA2-9F20-A4B96E024AEB}"/>
    <cellStyle name="Normal 2 3 10 4 2 2" xfId="6208" xr:uid="{4C392599-94D3-4D82-8E35-62278CAE8366}"/>
    <cellStyle name="Normal 2 3 10 4 3" xfId="4489" xr:uid="{3728D28B-D55E-4316-8B6B-4935062349C0}"/>
    <cellStyle name="Normal 2 3 10 5" xfId="1034" xr:uid="{F71B465E-A0DD-4BC2-8060-D37E21349B3A}"/>
    <cellStyle name="Normal 2 3 10 5 2" xfId="2755" xr:uid="{D5294D57-BCEC-406D-B674-EE859141BC80}"/>
    <cellStyle name="Normal 2 3 10 5 2 2" xfId="6426" xr:uid="{24A003DA-AC6A-46C2-B066-D989C05877DA}"/>
    <cellStyle name="Normal 2 3 10 5 3" xfId="4707" xr:uid="{D833B151-E8ED-4F05-A024-9AFA551BC5AE}"/>
    <cellStyle name="Normal 2 3 10 6" xfId="1252" xr:uid="{862A401C-2C67-4049-987D-453C04A602B7}"/>
    <cellStyle name="Normal 2 3 10 6 2" xfId="2973" xr:uid="{37990FE1-F5C5-4BEF-92D0-4922C190165E}"/>
    <cellStyle name="Normal 2 3 10 6 2 2" xfId="6644" xr:uid="{11F6AE7E-E194-4FAB-BA1F-5408C450A501}"/>
    <cellStyle name="Normal 2 3 10 6 3" xfId="4925" xr:uid="{B4F398CC-B8B6-4863-B257-112294784CBE}"/>
    <cellStyle name="Normal 2 3 10 7" xfId="1470" xr:uid="{77639A33-5224-4DAA-A9A0-7E590E2EF4BE}"/>
    <cellStyle name="Normal 2 3 10 7 2" xfId="3191" xr:uid="{A5A9192F-7848-47F8-B39E-A0B2EB392811}"/>
    <cellStyle name="Normal 2 3 10 7 2 2" xfId="6862" xr:uid="{8EEBEE4A-2552-45C7-B680-22CC07A0E781}"/>
    <cellStyle name="Normal 2 3 10 7 3" xfId="5143" xr:uid="{0F334302-1BB0-4BBA-8C9B-6911EB2C4B8A}"/>
    <cellStyle name="Normal 2 3 10 8" xfId="1689" xr:uid="{F8D412D5-74C1-4B9A-9355-B0587DBB95AC}"/>
    <cellStyle name="Normal 2 3 10 8 2" xfId="3410" xr:uid="{F1648186-2D08-4BBD-9A3B-B9BE281CE4C4}"/>
    <cellStyle name="Normal 2 3 10 8 2 2" xfId="7081" xr:uid="{AF0B50E0-19C7-47AB-9FFE-F2982A4ED485}"/>
    <cellStyle name="Normal 2 3 10 8 3" xfId="5361" xr:uid="{E308AAE0-1B4F-40B8-A970-A6C0CECE5D93}"/>
    <cellStyle name="Normal 2 3 10 9" xfId="1909" xr:uid="{867782B8-B84F-4E76-83EF-F2FAD0D31805}"/>
    <cellStyle name="Normal 2 3 10 9 2" xfId="5580" xr:uid="{204C8856-FE87-4F4C-967D-DADB11702180}"/>
    <cellStyle name="Normal 2 3 11" xfId="169" xr:uid="{350A4C4A-F016-46FD-AD60-ED83C4F29195}"/>
    <cellStyle name="Normal 2 3 11 10" xfId="3898" xr:uid="{A81B944D-ED23-4375-922A-FF4B5CDE84DB}"/>
    <cellStyle name="Normal 2 3 11 2" xfId="415" xr:uid="{CA70B7B3-EC64-4196-97DD-9A19C176C59E}"/>
    <cellStyle name="Normal 2 3 11 2 2" xfId="2114" xr:uid="{22C9AE39-9277-447F-80D6-127ACDC43D06}"/>
    <cellStyle name="Normal 2 3 11 2 2 2" xfId="5785" xr:uid="{54DF6FDA-348C-4383-8B62-6F7E2320C2A5}"/>
    <cellStyle name="Normal 2 3 11 2 3" xfId="4078" xr:uid="{A6B022AC-2A11-4349-8D74-10F5DA2A380B}"/>
    <cellStyle name="Normal 2 3 11 3" xfId="611" xr:uid="{E3DB9510-9DEF-4F24-B173-35D9618FA4B8}"/>
    <cellStyle name="Normal 2 3 11 3 2" xfId="2332" xr:uid="{4D62538D-1FA9-4DE1-8035-C71D76661C91}"/>
    <cellStyle name="Normal 2 3 11 3 2 2" xfId="6003" xr:uid="{4747D28B-46BA-49EE-9DCD-034B59E0C8E2}"/>
    <cellStyle name="Normal 2 3 11 3 3" xfId="4284" xr:uid="{E1BDB8EC-8C87-4B5A-96A4-D37A8CBE2C4D}"/>
    <cellStyle name="Normal 2 3 11 4" xfId="829" xr:uid="{25633CFE-E141-4382-B7BE-62D99621A720}"/>
    <cellStyle name="Normal 2 3 11 4 2" xfId="2550" xr:uid="{A90FD81C-AE83-41BF-B503-40F2EC591FAE}"/>
    <cellStyle name="Normal 2 3 11 4 2 2" xfId="6221" xr:uid="{DC819B00-01EF-46C2-9DDD-9A74952982D4}"/>
    <cellStyle name="Normal 2 3 11 4 3" xfId="4502" xr:uid="{059C5066-2CF2-491D-AE56-9A5492870FAD}"/>
    <cellStyle name="Normal 2 3 11 5" xfId="1047" xr:uid="{407A5E95-B845-48A0-B1F2-DC84B30C5F44}"/>
    <cellStyle name="Normal 2 3 11 5 2" xfId="2768" xr:uid="{E85C0800-ED36-4ED7-B0B9-D4C7525A186F}"/>
    <cellStyle name="Normal 2 3 11 5 2 2" xfId="6439" xr:uid="{D41AAA78-6219-4196-A29E-BD69A9A87EBC}"/>
    <cellStyle name="Normal 2 3 11 5 3" xfId="4720" xr:uid="{79244293-D1BE-4260-A14D-0339176683C8}"/>
    <cellStyle name="Normal 2 3 11 6" xfId="1265" xr:uid="{9C291B2A-5BE9-48EB-9ABA-9592C0ACA7DB}"/>
    <cellStyle name="Normal 2 3 11 6 2" xfId="2986" xr:uid="{7F6577A1-49CC-4109-9310-BE14F1A10525}"/>
    <cellStyle name="Normal 2 3 11 6 2 2" xfId="6657" xr:uid="{47223EFB-9ECA-4DDD-99F2-600411004F62}"/>
    <cellStyle name="Normal 2 3 11 6 3" xfId="4938" xr:uid="{A3C87FD1-D1FA-4FAD-9A5F-DA76587BA964}"/>
    <cellStyle name="Normal 2 3 11 7" xfId="1483" xr:uid="{38BB58C9-1656-4A15-98CF-5D173E627B2D}"/>
    <cellStyle name="Normal 2 3 11 7 2" xfId="3204" xr:uid="{B7F367EA-BCD8-4509-8A45-A46A2C39D421}"/>
    <cellStyle name="Normal 2 3 11 7 2 2" xfId="6875" xr:uid="{689CF8AC-152E-4A2D-98E5-BB49F1D73F65}"/>
    <cellStyle name="Normal 2 3 11 7 3" xfId="5156" xr:uid="{4E014646-EDB7-4EAB-835F-B72A5BF0CB0F}"/>
    <cellStyle name="Normal 2 3 11 8" xfId="1702" xr:uid="{CF005B71-9698-4BCB-BF1D-E667E63F372D}"/>
    <cellStyle name="Normal 2 3 11 8 2" xfId="3423" xr:uid="{D8FE19C2-6FD9-4E44-A02F-D1CE0221B36A}"/>
    <cellStyle name="Normal 2 3 11 8 2 2" xfId="7094" xr:uid="{6496CFE0-A1B6-42D5-A34C-133AC2E230D6}"/>
    <cellStyle name="Normal 2 3 11 8 3" xfId="5374" xr:uid="{FC6EF390-464D-4C31-B2E8-AB7A1BCA1CC0}"/>
    <cellStyle name="Normal 2 3 11 9" xfId="1922" xr:uid="{FF2E94FA-A5D4-4543-B98C-7F90A7065F46}"/>
    <cellStyle name="Normal 2 3 11 9 2" xfId="5593" xr:uid="{FCDC99CB-7318-4F29-8BCA-5DAFD0E76158}"/>
    <cellStyle name="Normal 2 3 12" xfId="182" xr:uid="{8ECB29D2-C942-4BC7-8152-AC45B0DF09ED}"/>
    <cellStyle name="Normal 2 3 12 10" xfId="3911" xr:uid="{F13A5775-14CB-4C14-B321-2A6C78A26E37}"/>
    <cellStyle name="Normal 2 3 12 2" xfId="428" xr:uid="{D76D222F-605F-4189-AE01-8909077EC453}"/>
    <cellStyle name="Normal 2 3 12 2 2" xfId="2127" xr:uid="{A69FB9FE-1771-4B24-BFAC-3FD851206C51}"/>
    <cellStyle name="Normal 2 3 12 2 2 2" xfId="5798" xr:uid="{E8B5F9BB-AE16-4EFF-AADE-8F8D5522259A}"/>
    <cellStyle name="Normal 2 3 12 2 3" xfId="4091" xr:uid="{733F2DF6-6B07-4C8D-83B0-2F0B9F7713E1}"/>
    <cellStyle name="Normal 2 3 12 3" xfId="624" xr:uid="{49A108F1-99F8-4FAB-9616-C6BE576CEFD6}"/>
    <cellStyle name="Normal 2 3 12 3 2" xfId="2345" xr:uid="{ABEB9ADF-5EAF-4B77-BC3F-FA59DB4E46E6}"/>
    <cellStyle name="Normal 2 3 12 3 2 2" xfId="6016" xr:uid="{7E7193EA-EE84-45EB-8EC3-03D5CD55E42B}"/>
    <cellStyle name="Normal 2 3 12 3 3" xfId="4297" xr:uid="{028CA934-2512-45D8-8CD8-8BE588F2E286}"/>
    <cellStyle name="Normal 2 3 12 4" xfId="842" xr:uid="{4A9752AA-4FB2-4D7E-836D-469BA68B3A6E}"/>
    <cellStyle name="Normal 2 3 12 4 2" xfId="2563" xr:uid="{3FEB5CC9-AA94-41AD-AF17-49835B3EC331}"/>
    <cellStyle name="Normal 2 3 12 4 2 2" xfId="6234" xr:uid="{046F09F9-7299-47D8-8C56-6C62C30AA8F6}"/>
    <cellStyle name="Normal 2 3 12 4 3" xfId="4515" xr:uid="{50F69DD9-9330-4FEE-9BB4-F03C1ECCA1F8}"/>
    <cellStyle name="Normal 2 3 12 5" xfId="1060" xr:uid="{891E7077-A87F-4EA3-AE2A-F089DFAF4BE3}"/>
    <cellStyle name="Normal 2 3 12 5 2" xfId="2781" xr:uid="{BAF08103-39A6-4B19-B6F7-9E4A775108C9}"/>
    <cellStyle name="Normal 2 3 12 5 2 2" xfId="6452" xr:uid="{6290AC51-2A45-48A3-A4B5-A6F8EB945C66}"/>
    <cellStyle name="Normal 2 3 12 5 3" xfId="4733" xr:uid="{55EC4BC5-310D-441A-BAC9-0509854A773D}"/>
    <cellStyle name="Normal 2 3 12 6" xfId="1278" xr:uid="{9187BF6F-2BD0-48A4-99D6-642D7CDD40C1}"/>
    <cellStyle name="Normal 2 3 12 6 2" xfId="2999" xr:uid="{AE9EEA56-BDE8-44DE-945F-62EB3E44505F}"/>
    <cellStyle name="Normal 2 3 12 6 2 2" xfId="6670" xr:uid="{D3282250-D7B9-4D91-BB2F-846DC9C5B11A}"/>
    <cellStyle name="Normal 2 3 12 6 3" xfId="4951" xr:uid="{03B20417-7173-4A76-9B5B-4F82CBCB7612}"/>
    <cellStyle name="Normal 2 3 12 7" xfId="1496" xr:uid="{A16652F8-B785-4306-A8CA-E3B6038FD0DB}"/>
    <cellStyle name="Normal 2 3 12 7 2" xfId="3217" xr:uid="{E27D12D5-C78F-4756-BF4A-0BC8F5DC754E}"/>
    <cellStyle name="Normal 2 3 12 7 2 2" xfId="6888" xr:uid="{80DEC4E9-4CF3-4D5C-92A2-740B9E5FEC7E}"/>
    <cellStyle name="Normal 2 3 12 7 3" xfId="5169" xr:uid="{25CF7DC4-F673-4CAD-B34D-AEFBD45EDA80}"/>
    <cellStyle name="Normal 2 3 12 8" xfId="1715" xr:uid="{FEBA0FD5-E9DA-4AF5-A609-B1601B6294B0}"/>
    <cellStyle name="Normal 2 3 12 8 2" xfId="3436" xr:uid="{0124F4BF-7446-40C1-A0AA-5E2F36463043}"/>
    <cellStyle name="Normal 2 3 12 8 2 2" xfId="7107" xr:uid="{2BE0FDD6-BF5E-4F33-B0C5-CE0420CD390E}"/>
    <cellStyle name="Normal 2 3 12 8 3" xfId="5387" xr:uid="{D697F025-CF37-4538-9FCB-2EC0FA25F7CE}"/>
    <cellStyle name="Normal 2 3 12 9" xfId="1935" xr:uid="{FDE9DE23-A63C-4C88-948B-0F047A78FAE1}"/>
    <cellStyle name="Normal 2 3 12 9 2" xfId="5606" xr:uid="{4DF7A0C6-CA5E-437F-9AAE-00F13F43264C}"/>
    <cellStyle name="Normal 2 3 13" xfId="195" xr:uid="{F1574C15-CE1A-4E7E-8676-8D6B8923898A}"/>
    <cellStyle name="Normal 2 3 13 10" xfId="3924" xr:uid="{635AF739-30D4-4BDD-BC3A-1E274A545871}"/>
    <cellStyle name="Normal 2 3 13 2" xfId="441" xr:uid="{CB97374D-DF4F-4062-8662-A45AC9BFD272}"/>
    <cellStyle name="Normal 2 3 13 2 2" xfId="2140" xr:uid="{128AA5AE-0EE1-450B-AFCA-13B7AE8A17D3}"/>
    <cellStyle name="Normal 2 3 13 2 2 2" xfId="5811" xr:uid="{90E90CAE-7C65-4005-AFC0-DE211E407391}"/>
    <cellStyle name="Normal 2 3 13 2 3" xfId="4104" xr:uid="{110E2DFF-490E-491D-B012-932BBA42606F}"/>
    <cellStyle name="Normal 2 3 13 3" xfId="637" xr:uid="{98D1DE7E-9649-41EC-B2E9-8CAB3116E64C}"/>
    <cellStyle name="Normal 2 3 13 3 2" xfId="2358" xr:uid="{112A8D4E-F5FA-4FCE-9C6A-E08434322A5D}"/>
    <cellStyle name="Normal 2 3 13 3 2 2" xfId="6029" xr:uid="{6BEAE07C-DDEF-4887-9B7C-798F0C378069}"/>
    <cellStyle name="Normal 2 3 13 3 3" xfId="4310" xr:uid="{69F392A6-9DAF-45D4-9A6F-1BB16DC980FD}"/>
    <cellStyle name="Normal 2 3 13 4" xfId="855" xr:uid="{0C1C51F7-49AA-47C2-A226-87C1E9C9C4F1}"/>
    <cellStyle name="Normal 2 3 13 4 2" xfId="2576" xr:uid="{D0A6CF38-C4B0-4DD8-A1F8-ACB16AFCA2C7}"/>
    <cellStyle name="Normal 2 3 13 4 2 2" xfId="6247" xr:uid="{4BAB4D30-A933-404B-8740-54E2046E5F18}"/>
    <cellStyle name="Normal 2 3 13 4 3" xfId="4528" xr:uid="{BDF7EAA5-6846-44C5-9BA0-5DB57BF35E4E}"/>
    <cellStyle name="Normal 2 3 13 5" xfId="1073" xr:uid="{4E618DFC-2A4D-48F4-AAAD-A51950451908}"/>
    <cellStyle name="Normal 2 3 13 5 2" xfId="2794" xr:uid="{7A451173-8C56-49C5-B440-E36F075FC488}"/>
    <cellStyle name="Normal 2 3 13 5 2 2" xfId="6465" xr:uid="{CA3E618F-C5AF-4B2B-B091-E36B056CB962}"/>
    <cellStyle name="Normal 2 3 13 5 3" xfId="4746" xr:uid="{1A01139A-D044-4907-8C53-41E64F7AB905}"/>
    <cellStyle name="Normal 2 3 13 6" xfId="1291" xr:uid="{FDF75611-219D-4838-BB17-8A86C025616F}"/>
    <cellStyle name="Normal 2 3 13 6 2" xfId="3012" xr:uid="{42478178-5C4E-40D0-AB8D-681076F198CF}"/>
    <cellStyle name="Normal 2 3 13 6 2 2" xfId="6683" xr:uid="{CBCAADEB-F10B-4247-83C1-BC21FCCB001F}"/>
    <cellStyle name="Normal 2 3 13 6 3" xfId="4964" xr:uid="{60326158-AF70-419D-9E24-AA36F305E70B}"/>
    <cellStyle name="Normal 2 3 13 7" xfId="1509" xr:uid="{F0D22B1E-A4A7-4D10-8FD7-EB9D48E7F047}"/>
    <cellStyle name="Normal 2 3 13 7 2" xfId="3230" xr:uid="{0BFCCA22-34F1-4C23-9276-BAE29F14AB32}"/>
    <cellStyle name="Normal 2 3 13 7 2 2" xfId="6901" xr:uid="{6CFC96B1-4487-4800-A26D-8375C2AA528C}"/>
    <cellStyle name="Normal 2 3 13 7 3" xfId="5182" xr:uid="{303A0591-E918-46CC-B8E9-A584D45EC700}"/>
    <cellStyle name="Normal 2 3 13 8" xfId="1728" xr:uid="{6B48DB65-98E0-4901-9510-6BE6FD1E78AA}"/>
    <cellStyle name="Normal 2 3 13 8 2" xfId="3449" xr:uid="{618A6C8A-52B4-4898-8CDC-006E2A0A6407}"/>
    <cellStyle name="Normal 2 3 13 8 2 2" xfId="7120" xr:uid="{4732DD3A-1362-458C-84FE-B01010410C0E}"/>
    <cellStyle name="Normal 2 3 13 8 3" xfId="5400" xr:uid="{337C024A-0984-4EE7-A5DD-1CB09CBE3597}"/>
    <cellStyle name="Normal 2 3 13 9" xfId="1948" xr:uid="{02006166-C5BD-49BA-B076-96DA2F43677D}"/>
    <cellStyle name="Normal 2 3 13 9 2" xfId="5619" xr:uid="{A3A34C4E-7168-4497-8AE9-5F5C5C733CF2}"/>
    <cellStyle name="Normal 2 3 14" xfId="220" xr:uid="{5108066F-2AE2-49FB-8F93-FD038C970088}"/>
    <cellStyle name="Normal 2 3 14 10" xfId="3947" xr:uid="{FF7BD4AC-B217-4727-8FD2-2167A11F5FF2}"/>
    <cellStyle name="Normal 2 3 14 2" xfId="464" xr:uid="{60F9B745-6C3E-496D-9530-D967A9F1906F}"/>
    <cellStyle name="Normal 2 3 14 2 2" xfId="2163" xr:uid="{A31AD127-569A-4D06-8CB8-42486D283AB9}"/>
    <cellStyle name="Normal 2 3 14 2 2 2" xfId="5834" xr:uid="{DA8330E8-7E3E-47DB-AE56-0B82A490840F}"/>
    <cellStyle name="Normal 2 3 14 2 3" xfId="4127" xr:uid="{73B9DE1F-91CC-4A02-B4B3-27221BDCB15F}"/>
    <cellStyle name="Normal 2 3 14 3" xfId="660" xr:uid="{F8FA2D3F-1033-4AF5-8E8D-96DD9A8FF54F}"/>
    <cellStyle name="Normal 2 3 14 3 2" xfId="2381" xr:uid="{CC5A635B-9B23-4FF6-B899-37A88E6C0B39}"/>
    <cellStyle name="Normal 2 3 14 3 2 2" xfId="6052" xr:uid="{D627505C-62C0-4F9A-B10F-8D0B9D29334F}"/>
    <cellStyle name="Normal 2 3 14 3 3" xfId="4333" xr:uid="{DCFF9C62-8E6B-48BA-9159-B70FBCB3F905}"/>
    <cellStyle name="Normal 2 3 14 4" xfId="878" xr:uid="{296A11A1-47A7-4788-9233-277530A1CF9B}"/>
    <cellStyle name="Normal 2 3 14 4 2" xfId="2599" xr:uid="{BEDED237-CB6A-4BE4-AA22-02EFA561A91C}"/>
    <cellStyle name="Normal 2 3 14 4 2 2" xfId="6270" xr:uid="{02A371BA-460D-4958-BCB2-7FD34322ABFC}"/>
    <cellStyle name="Normal 2 3 14 4 3" xfId="4551" xr:uid="{52F270F2-5E11-40AF-86EE-4F872087A700}"/>
    <cellStyle name="Normal 2 3 14 5" xfId="1096" xr:uid="{1568C893-B45D-4C99-A9C9-DA20FB8FF392}"/>
    <cellStyle name="Normal 2 3 14 5 2" xfId="2817" xr:uid="{941A0D17-CEC3-4AC7-90F0-6A8F6AB79419}"/>
    <cellStyle name="Normal 2 3 14 5 2 2" xfId="6488" xr:uid="{1CBFD6CA-D7F7-4EA9-BFB8-DADB5D8A5A2B}"/>
    <cellStyle name="Normal 2 3 14 5 3" xfId="4769" xr:uid="{8A29C9C8-625E-4308-81DB-72B63C09D1F5}"/>
    <cellStyle name="Normal 2 3 14 6" xfId="1314" xr:uid="{55C7819D-EF4F-4D86-9958-9BE974A84EE3}"/>
    <cellStyle name="Normal 2 3 14 6 2" xfId="3035" xr:uid="{9557D334-CCFA-400A-A0A9-431EDA65D7E8}"/>
    <cellStyle name="Normal 2 3 14 6 2 2" xfId="6706" xr:uid="{791EA5B2-A906-47DA-853B-57F08CE94CCA}"/>
    <cellStyle name="Normal 2 3 14 6 3" xfId="4987" xr:uid="{1112B21F-A2AC-45BF-9DFF-FE2C767C5AAF}"/>
    <cellStyle name="Normal 2 3 14 7" xfId="1532" xr:uid="{26488276-9E8A-4800-B948-B71B21279A64}"/>
    <cellStyle name="Normal 2 3 14 7 2" xfId="3253" xr:uid="{F54545D0-12A3-4DA0-B687-00EEB6256E72}"/>
    <cellStyle name="Normal 2 3 14 7 2 2" xfId="6924" xr:uid="{2957E5FC-6E54-4DFD-8008-43D609EFD454}"/>
    <cellStyle name="Normal 2 3 14 7 3" xfId="5205" xr:uid="{B3E44A13-6ACF-4F51-B08B-7D92FF69828B}"/>
    <cellStyle name="Normal 2 3 14 8" xfId="1751" xr:uid="{B6C73A08-3511-4E5C-9D58-C95889F04CEC}"/>
    <cellStyle name="Normal 2 3 14 8 2" xfId="3472" xr:uid="{6CF181A1-0F55-4773-B42A-920F686D50B3}"/>
    <cellStyle name="Normal 2 3 14 8 2 2" xfId="7143" xr:uid="{471EB5AA-E55B-4523-9C6B-FC371923AECA}"/>
    <cellStyle name="Normal 2 3 14 8 3" xfId="5423" xr:uid="{0742DE36-55FD-4CA4-9191-83F5BED9FC64}"/>
    <cellStyle name="Normal 2 3 14 9" xfId="1971" xr:uid="{BF9DF0F9-E19F-4915-8DB4-331ADF003A12}"/>
    <cellStyle name="Normal 2 3 14 9 2" xfId="5642" xr:uid="{12BD469C-781B-4031-A8F8-79ED3C4FA763}"/>
    <cellStyle name="Normal 2 3 15" xfId="233" xr:uid="{112E10EA-8BDC-4D00-A056-0678FB5451C4}"/>
    <cellStyle name="Normal 2 3 15 10" xfId="3960" xr:uid="{8A1242F2-D52A-4CA8-B22D-C03F391092C2}"/>
    <cellStyle name="Normal 2 3 15 2" xfId="477" xr:uid="{C2C60482-7EBA-4BD9-B2FE-F7FCFE696892}"/>
    <cellStyle name="Normal 2 3 15 2 2" xfId="2176" xr:uid="{89378E3B-3E1F-4790-B979-28A7B21BC13C}"/>
    <cellStyle name="Normal 2 3 15 2 2 2" xfId="5847" xr:uid="{5214ED8F-ACC5-4B23-A81E-31CD664C58D3}"/>
    <cellStyle name="Normal 2 3 15 2 3" xfId="4140" xr:uid="{26063F62-4521-4BB3-BB8C-32E37227D1A4}"/>
    <cellStyle name="Normal 2 3 15 3" xfId="673" xr:uid="{7F655E32-25CF-4043-8CC2-4DB7E71AA956}"/>
    <cellStyle name="Normal 2 3 15 3 2" xfId="2394" xr:uid="{BD973B3B-F8C5-46F0-9BEF-467562242426}"/>
    <cellStyle name="Normal 2 3 15 3 2 2" xfId="6065" xr:uid="{A8C24EFA-8381-43FB-B9A8-8A9B5940DF48}"/>
    <cellStyle name="Normal 2 3 15 3 3" xfId="4346" xr:uid="{84ACED61-0DEF-4957-9A27-F142D58D4946}"/>
    <cellStyle name="Normal 2 3 15 4" xfId="891" xr:uid="{6E2FFD47-B885-40D1-A837-DF25D0E7E7F0}"/>
    <cellStyle name="Normal 2 3 15 4 2" xfId="2612" xr:uid="{156B44A8-A18C-4C43-A20C-E48776B27A01}"/>
    <cellStyle name="Normal 2 3 15 4 2 2" xfId="6283" xr:uid="{529233C6-7EA2-4BFF-9B7E-87942FD77C94}"/>
    <cellStyle name="Normal 2 3 15 4 3" xfId="4564" xr:uid="{3AC6DE6B-04EB-43A2-9103-0D681BB42962}"/>
    <cellStyle name="Normal 2 3 15 5" xfId="1109" xr:uid="{19F458EE-7E8A-427E-B360-42C6406F039D}"/>
    <cellStyle name="Normal 2 3 15 5 2" xfId="2830" xr:uid="{C7922742-FBA3-42F8-B387-47F7A2AC470A}"/>
    <cellStyle name="Normal 2 3 15 5 2 2" xfId="6501" xr:uid="{145A506A-854A-4632-BB8E-FB7251AA55CA}"/>
    <cellStyle name="Normal 2 3 15 5 3" xfId="4782" xr:uid="{B517DBA7-FE9D-4858-AFC1-A52F85A5AB3E}"/>
    <cellStyle name="Normal 2 3 15 6" xfId="1327" xr:uid="{B2CB463A-7750-4EBE-8248-A7453DEEB07D}"/>
    <cellStyle name="Normal 2 3 15 6 2" xfId="3048" xr:uid="{E3BC8181-3D00-4E9B-8C8E-AE9390FB41E4}"/>
    <cellStyle name="Normal 2 3 15 6 2 2" xfId="6719" xr:uid="{77F95C5E-40C8-4B30-8530-9CD029E4013A}"/>
    <cellStyle name="Normal 2 3 15 6 3" xfId="5000" xr:uid="{7F80EFAA-58BA-4D2D-AC75-69C8EE2D483F}"/>
    <cellStyle name="Normal 2 3 15 7" xfId="1545" xr:uid="{7AE70279-2FD8-4C7A-8ADC-17A2D0B3586D}"/>
    <cellStyle name="Normal 2 3 15 7 2" xfId="3266" xr:uid="{4E6BF390-D2CA-4B05-8C17-555AF84B8D97}"/>
    <cellStyle name="Normal 2 3 15 7 2 2" xfId="6937" xr:uid="{D56273AB-D156-429F-BBC0-D2F223485F4F}"/>
    <cellStyle name="Normal 2 3 15 7 3" xfId="5218" xr:uid="{689D3D08-E508-473B-BFC3-52091D25BB35}"/>
    <cellStyle name="Normal 2 3 15 8" xfId="1764" xr:uid="{3B05F482-40EA-480B-B144-C38F6AF7A005}"/>
    <cellStyle name="Normal 2 3 15 8 2" xfId="3485" xr:uid="{23902D8C-5945-429D-8732-04786B695894}"/>
    <cellStyle name="Normal 2 3 15 8 2 2" xfId="7156" xr:uid="{FFC77B52-EE12-4D7B-B322-FED874F79C3C}"/>
    <cellStyle name="Normal 2 3 15 8 3" xfId="5436" xr:uid="{EC643757-4EC0-4CC2-A083-7BE8FA0BAB87}"/>
    <cellStyle name="Normal 2 3 15 9" xfId="1984" xr:uid="{79AB24AD-D0D8-4AF8-8D5C-3C5EE891CE52}"/>
    <cellStyle name="Normal 2 3 15 9 2" xfId="5655" xr:uid="{AB4C72ED-8D85-40CF-BE79-454ED6172ACC}"/>
    <cellStyle name="Normal 2 3 16" xfId="246" xr:uid="{45502480-FBEB-412A-B297-E99E5FD70CD6}"/>
    <cellStyle name="Normal 2 3 16 2" xfId="686" xr:uid="{E7A8BEB8-7F28-4F58-9EB3-58F3EC6C1376}"/>
    <cellStyle name="Normal 2 3 16 2 2" xfId="2407" xr:uid="{D05B3B57-AF96-475B-B3F9-741312CAD0EA}"/>
    <cellStyle name="Normal 2 3 16 2 2 2" xfId="6078" xr:uid="{811C3F03-7DEA-48D9-A741-FDDF5F8BD91A}"/>
    <cellStyle name="Normal 2 3 16 2 3" xfId="4359" xr:uid="{E23EC50E-27FC-4B72-99EA-608D274F5FA6}"/>
    <cellStyle name="Normal 2 3 16 3" xfId="904" xr:uid="{E3FCD7CB-461E-4871-8770-E619264E8B86}"/>
    <cellStyle name="Normal 2 3 16 3 2" xfId="2625" xr:uid="{CF647A4A-68FA-4849-8327-82A40C5CE38B}"/>
    <cellStyle name="Normal 2 3 16 3 2 2" xfId="6296" xr:uid="{DADC9248-12C0-40E9-90A7-A7FBA25F2307}"/>
    <cellStyle name="Normal 2 3 16 3 3" xfId="4577" xr:uid="{2A021385-FF0C-4DC3-AF0A-995D54BEC75C}"/>
    <cellStyle name="Normal 2 3 16 4" xfId="1122" xr:uid="{B93D6785-B178-4273-87D7-6ED372CBF843}"/>
    <cellStyle name="Normal 2 3 16 4 2" xfId="2843" xr:uid="{35368285-98D0-4AA6-856B-35CA3ABD8B9F}"/>
    <cellStyle name="Normal 2 3 16 4 2 2" xfId="6514" xr:uid="{B2FD2413-2270-4587-B165-617C06358D3F}"/>
    <cellStyle name="Normal 2 3 16 4 3" xfId="4795" xr:uid="{38455C2B-ACA4-4407-8C82-368A557203F4}"/>
    <cellStyle name="Normal 2 3 16 5" xfId="1340" xr:uid="{E3177BDD-52BD-4B1F-B571-0CD723C85181}"/>
    <cellStyle name="Normal 2 3 16 5 2" xfId="3061" xr:uid="{4FC5D1D5-39EE-40B3-B782-52B4E99C5E16}"/>
    <cellStyle name="Normal 2 3 16 5 2 2" xfId="6732" xr:uid="{2264A763-C6FA-47EF-8101-62CBC7B7FD4E}"/>
    <cellStyle name="Normal 2 3 16 5 3" xfId="5013" xr:uid="{3E7AC3E5-25C4-454E-8B70-7D814086A1AD}"/>
    <cellStyle name="Normal 2 3 16 6" xfId="1558" xr:uid="{8AF0A056-0CAD-43EF-A554-AE10089492D8}"/>
    <cellStyle name="Normal 2 3 16 6 2" xfId="3279" xr:uid="{731B5765-AE37-4EEE-99E0-8B4565D96F35}"/>
    <cellStyle name="Normal 2 3 16 6 2 2" xfId="6950" xr:uid="{E0FD3AF2-943E-4C46-B95D-5A3F34254C52}"/>
    <cellStyle name="Normal 2 3 16 6 3" xfId="5231" xr:uid="{F8E2FC3F-661E-46A7-AD7B-616C58ED8B99}"/>
    <cellStyle name="Normal 2 3 16 7" xfId="1777" xr:uid="{8841F92B-5163-4CF4-B0FF-1345239B5B14}"/>
    <cellStyle name="Normal 2 3 16 7 2" xfId="3498" xr:uid="{69A242B9-6920-48CE-8501-A5E8E8E59830}"/>
    <cellStyle name="Normal 2 3 16 7 2 2" xfId="7169" xr:uid="{92A8D086-D437-4850-A571-3E0677E8308B}"/>
    <cellStyle name="Normal 2 3 16 7 3" xfId="5449" xr:uid="{DE1DC644-06BD-4EB8-9AC9-96F9A66C691E}"/>
    <cellStyle name="Normal 2 3 16 8" xfId="2189" xr:uid="{475BBE7E-2038-4D8C-BB90-C8D017B6A5F3}"/>
    <cellStyle name="Normal 2 3 16 8 2" xfId="5860" xr:uid="{F0FDC9E0-8F34-4AD1-ABCE-5C541F10D673}"/>
    <cellStyle name="Normal 2 3 16 9" xfId="4153" xr:uid="{603AB52D-4CE5-4BE4-B780-E516CB66AB26}"/>
    <cellStyle name="Normal 2 3 17" xfId="259" xr:uid="{477FA9D6-8C5D-464D-A183-FB6B281F180A}"/>
    <cellStyle name="Normal 2 3 17 2" xfId="699" xr:uid="{5D60E11E-D8DC-4FB9-B0BD-0B94774EFF63}"/>
    <cellStyle name="Normal 2 3 17 2 2" xfId="2420" xr:uid="{3881FD04-CDED-4367-8806-9BCCBAA17160}"/>
    <cellStyle name="Normal 2 3 17 2 2 2" xfId="6091" xr:uid="{ED62E312-CEA2-495C-AA2A-38A59989D7F3}"/>
    <cellStyle name="Normal 2 3 17 2 3" xfId="4372" xr:uid="{5EB0501E-F605-4B06-8679-DEB8B2383BEF}"/>
    <cellStyle name="Normal 2 3 17 3" xfId="917" xr:uid="{C8E10744-0E0F-4131-A328-CD71E0D8BB3E}"/>
    <cellStyle name="Normal 2 3 17 3 2" xfId="2638" xr:uid="{B5D6F09F-0D08-4B95-9947-047D21343380}"/>
    <cellStyle name="Normal 2 3 17 3 2 2" xfId="6309" xr:uid="{833FD692-B901-47AC-B8BF-F246B11E5D1E}"/>
    <cellStyle name="Normal 2 3 17 3 3" xfId="4590" xr:uid="{EF941E4C-2A37-4CE9-AA79-32AD9E72EC39}"/>
    <cellStyle name="Normal 2 3 17 4" xfId="1135" xr:uid="{7CFB0AD1-FDC6-4499-BEA6-4C843D0E254A}"/>
    <cellStyle name="Normal 2 3 17 4 2" xfId="2856" xr:uid="{53FC3B51-665A-4DE0-9A44-E29BFE955AD6}"/>
    <cellStyle name="Normal 2 3 17 4 2 2" xfId="6527" xr:uid="{7FB51069-BE4C-4762-BC28-929C7E1CD5C9}"/>
    <cellStyle name="Normal 2 3 17 4 3" xfId="4808" xr:uid="{3554416F-27F7-4D43-BD02-08C382A818EF}"/>
    <cellStyle name="Normal 2 3 17 5" xfId="1353" xr:uid="{0B542400-3405-4E3E-85D0-7552FBB80564}"/>
    <cellStyle name="Normal 2 3 17 5 2" xfId="3074" xr:uid="{3B432DF2-1A50-4A14-A0C4-5B5ED06D5A6C}"/>
    <cellStyle name="Normal 2 3 17 5 2 2" xfId="6745" xr:uid="{407A8D89-0546-4975-9730-7CD4D9D6059A}"/>
    <cellStyle name="Normal 2 3 17 5 3" xfId="5026" xr:uid="{E7107041-25E1-4A28-AB74-E20C0AD38923}"/>
    <cellStyle name="Normal 2 3 17 6" xfId="1571" xr:uid="{B4149D71-3255-44EE-8BC4-245808740EA5}"/>
    <cellStyle name="Normal 2 3 17 6 2" xfId="3292" xr:uid="{855B3ED8-2CFA-445F-B0AF-12FF46066CDF}"/>
    <cellStyle name="Normal 2 3 17 6 2 2" xfId="6963" xr:uid="{EA706ECF-B207-4E57-8D68-56A317BD81E0}"/>
    <cellStyle name="Normal 2 3 17 6 3" xfId="5244" xr:uid="{6077C436-94F2-41EF-A5DB-5332BEF35FCA}"/>
    <cellStyle name="Normal 2 3 17 7" xfId="1790" xr:uid="{F4291862-E5B1-49D8-B6C0-E282215437CD}"/>
    <cellStyle name="Normal 2 3 17 7 2" xfId="3511" xr:uid="{47680AB1-D9FD-4929-968F-C079E5595E18}"/>
    <cellStyle name="Normal 2 3 17 7 2 2" xfId="7182" xr:uid="{E3AA02A3-6C38-482E-BA1E-0DB1320381FE}"/>
    <cellStyle name="Normal 2 3 17 7 3" xfId="5462" xr:uid="{4FFDC9C0-640A-471B-B4F0-3666D6F0DAF9}"/>
    <cellStyle name="Normal 2 3 17 8" xfId="2202" xr:uid="{E598FBB5-CDD5-4AB2-AD13-FE20F06A4E36}"/>
    <cellStyle name="Normal 2 3 17 8 2" xfId="5873" xr:uid="{0C27BE81-E778-48CD-894E-888FAB70D3DE}"/>
    <cellStyle name="Normal 2 3 17 9" xfId="4166" xr:uid="{CB9AD651-5D31-4CC7-9071-12B03AED2AAD}"/>
    <cellStyle name="Normal 2 3 18" xfId="299" xr:uid="{C5F19540-7F20-4D30-A55C-55C56588E603}"/>
    <cellStyle name="Normal 2 3 18 2" xfId="1997" xr:uid="{3989AD0B-485E-4766-8C22-ED890613F84B}"/>
    <cellStyle name="Normal 2 3 18 2 2" xfId="5668" xr:uid="{8F8688D6-F3C1-43A4-BFA8-C7F29FA9B21A}"/>
    <cellStyle name="Normal 2 3 18 3" xfId="3973" xr:uid="{4A035E29-2100-4A97-ABC1-074E43AEB511}"/>
    <cellStyle name="Normal 2 3 19" xfId="494" xr:uid="{94ECA61A-FCA3-4B5A-B720-0C87415EC523}"/>
    <cellStyle name="Normal 2 3 19 2" xfId="2215" xr:uid="{07251FED-52EA-47F6-AF1A-85FC367D0E4E}"/>
    <cellStyle name="Normal 2 3 19 2 2" xfId="5886" xr:uid="{322B9332-AB2A-4541-B3DF-A3D5F1861A87}"/>
    <cellStyle name="Normal 2 3 19 3" xfId="4179" xr:uid="{E6757098-110C-4819-AC7E-EB6B8308DD14}"/>
    <cellStyle name="Normal 2 3 2" xfId="58" xr:uid="{DC7C1D54-A0C5-411F-9414-41146ACDB7AE}"/>
    <cellStyle name="Normal 2 3 2 10" xfId="175" xr:uid="{D216BB3A-EDBD-4A85-ADCB-793F8F2A6A87}"/>
    <cellStyle name="Normal 2 3 2 10 10" xfId="3904" xr:uid="{3A65B0EA-8D48-4B17-86FC-E7944AC42E09}"/>
    <cellStyle name="Normal 2 3 2 10 2" xfId="421" xr:uid="{73240FA4-9259-46F2-B187-7E2757F22FEB}"/>
    <cellStyle name="Normal 2 3 2 10 2 2" xfId="2120" xr:uid="{FDACAA39-B710-4E0A-B735-E3BB22B81B82}"/>
    <cellStyle name="Normal 2 3 2 10 2 2 2" xfId="5791" xr:uid="{A6AA3106-9D0D-4A41-AC2A-E8DD16ABEFA7}"/>
    <cellStyle name="Normal 2 3 2 10 2 3" xfId="4084" xr:uid="{7F4E63B7-1ACB-40D9-A82A-654D6D4F24E8}"/>
    <cellStyle name="Normal 2 3 2 10 3" xfId="617" xr:uid="{C0B17640-C381-412C-B5CC-E03CE5708153}"/>
    <cellStyle name="Normal 2 3 2 10 3 2" xfId="2338" xr:uid="{C230AD6D-BCF7-4029-B0BB-18D86B12953A}"/>
    <cellStyle name="Normal 2 3 2 10 3 2 2" xfId="6009" xr:uid="{0F6B3084-6360-42D8-B9C8-048B08F046FE}"/>
    <cellStyle name="Normal 2 3 2 10 3 3" xfId="4290" xr:uid="{C764FEC8-A1DA-4921-ABAA-7546FCFD1E20}"/>
    <cellStyle name="Normal 2 3 2 10 4" xfId="835" xr:uid="{6D08EF2A-15F7-46BC-A76B-9B2BE452D252}"/>
    <cellStyle name="Normal 2 3 2 10 4 2" xfId="2556" xr:uid="{08C934FF-C4E8-4AFD-AFD9-699D5F403E61}"/>
    <cellStyle name="Normal 2 3 2 10 4 2 2" xfId="6227" xr:uid="{BC4AFB8D-3108-4BDC-A64B-856A22DB141E}"/>
    <cellStyle name="Normal 2 3 2 10 4 3" xfId="4508" xr:uid="{9A5624B0-9BA5-4B4E-A3AC-8318C44E3C06}"/>
    <cellStyle name="Normal 2 3 2 10 5" xfId="1053" xr:uid="{563898E3-D322-458A-924B-CE588EE5E3D0}"/>
    <cellStyle name="Normal 2 3 2 10 5 2" xfId="2774" xr:uid="{5CBE10A0-EFE0-4CB4-9F5A-4C5D903116C4}"/>
    <cellStyle name="Normal 2 3 2 10 5 2 2" xfId="6445" xr:uid="{2CC1AC36-D277-4E8B-A033-50EB4C44F23B}"/>
    <cellStyle name="Normal 2 3 2 10 5 3" xfId="4726" xr:uid="{0A33CAE8-EFE0-4738-AE4F-A132E132EE9D}"/>
    <cellStyle name="Normal 2 3 2 10 6" xfId="1271" xr:uid="{10101E72-E3C3-4513-A8A2-BB9FAAB04D58}"/>
    <cellStyle name="Normal 2 3 2 10 6 2" xfId="2992" xr:uid="{D86F584A-8690-4AB3-9386-1693285F167F}"/>
    <cellStyle name="Normal 2 3 2 10 6 2 2" xfId="6663" xr:uid="{7777AE34-1545-4045-9F6B-5A95CC1579B4}"/>
    <cellStyle name="Normal 2 3 2 10 6 3" xfId="4944" xr:uid="{95BB5ABA-6DEF-4016-A0C1-864675504BD0}"/>
    <cellStyle name="Normal 2 3 2 10 7" xfId="1489" xr:uid="{42F01719-1288-48A7-B3A6-2C69C1C6F0DF}"/>
    <cellStyle name="Normal 2 3 2 10 7 2" xfId="3210" xr:uid="{F34C87F4-A699-402C-95BE-F307DE0A3A82}"/>
    <cellStyle name="Normal 2 3 2 10 7 2 2" xfId="6881" xr:uid="{014A05BC-8419-4B3C-A5D9-4D75E768F8D3}"/>
    <cellStyle name="Normal 2 3 2 10 7 3" xfId="5162" xr:uid="{26ADF703-1982-4E69-BA56-4E5DA08B7C2D}"/>
    <cellStyle name="Normal 2 3 2 10 8" xfId="1708" xr:uid="{39305F50-69A0-4AC0-85E8-AB50D4AA47F6}"/>
    <cellStyle name="Normal 2 3 2 10 8 2" xfId="3429" xr:uid="{9F1431F9-3959-4296-B368-5369180577A1}"/>
    <cellStyle name="Normal 2 3 2 10 8 2 2" xfId="7100" xr:uid="{A2F54E3B-A198-4C33-8E9C-0FDB5120ACBC}"/>
    <cellStyle name="Normal 2 3 2 10 8 3" xfId="5380" xr:uid="{539B9E42-9AF6-4ECC-9B74-4BC6B96C2565}"/>
    <cellStyle name="Normal 2 3 2 10 9" xfId="1928" xr:uid="{7C0A9CB7-9526-4249-9EA8-0AEA323133FE}"/>
    <cellStyle name="Normal 2 3 2 10 9 2" xfId="5599" xr:uid="{B714DD3D-3AFF-4166-AE5D-66587CE85D9A}"/>
    <cellStyle name="Normal 2 3 2 11" xfId="188" xr:uid="{215524D3-F7B8-4162-A79A-E4AE658F7224}"/>
    <cellStyle name="Normal 2 3 2 11 10" xfId="3917" xr:uid="{2614CBBE-952F-4C39-9F2E-92D3D1B39B6E}"/>
    <cellStyle name="Normal 2 3 2 11 2" xfId="434" xr:uid="{B769CEA7-9BFC-4EA0-BF3F-E90F5304FE66}"/>
    <cellStyle name="Normal 2 3 2 11 2 2" xfId="2133" xr:uid="{202841AD-B4F0-460F-8F74-C10F3EFAFDB1}"/>
    <cellStyle name="Normal 2 3 2 11 2 2 2" xfId="5804" xr:uid="{0028FB8A-443C-4D53-A8E2-B4164B024D34}"/>
    <cellStyle name="Normal 2 3 2 11 2 3" xfId="4097" xr:uid="{6F5A3EA0-8ABD-4776-9426-5B968B9AE5E0}"/>
    <cellStyle name="Normal 2 3 2 11 3" xfId="630" xr:uid="{02E2BB25-A82D-46D1-AF85-DEB2E018382A}"/>
    <cellStyle name="Normal 2 3 2 11 3 2" xfId="2351" xr:uid="{2B16A10D-5EE9-4E81-90DB-65421BE81F1F}"/>
    <cellStyle name="Normal 2 3 2 11 3 2 2" xfId="6022" xr:uid="{51B3C892-AD62-4F45-94C1-0FCE12FE255B}"/>
    <cellStyle name="Normal 2 3 2 11 3 3" xfId="4303" xr:uid="{EB8CF2DA-CB27-40E3-B8EA-C326DDDFB248}"/>
    <cellStyle name="Normal 2 3 2 11 4" xfId="848" xr:uid="{6B8958F6-3DFB-4A47-82E7-6E9C8F5E99F7}"/>
    <cellStyle name="Normal 2 3 2 11 4 2" xfId="2569" xr:uid="{F7AEF4C0-E926-48AD-941A-23BB6DEABB4C}"/>
    <cellStyle name="Normal 2 3 2 11 4 2 2" xfId="6240" xr:uid="{C22936FB-5EB1-482D-B81E-7EE373B1CDCE}"/>
    <cellStyle name="Normal 2 3 2 11 4 3" xfId="4521" xr:uid="{FF9A05E3-02FD-43D9-81D1-546FB12AF8E2}"/>
    <cellStyle name="Normal 2 3 2 11 5" xfId="1066" xr:uid="{73C65521-C876-4D57-8B64-A89D6FDBD4C2}"/>
    <cellStyle name="Normal 2 3 2 11 5 2" xfId="2787" xr:uid="{0131936C-64DC-4DE4-A04E-3712F8D78FB6}"/>
    <cellStyle name="Normal 2 3 2 11 5 2 2" xfId="6458" xr:uid="{B5800EAF-0D0B-4155-9F24-F501BB479ECC}"/>
    <cellStyle name="Normal 2 3 2 11 5 3" xfId="4739" xr:uid="{CFD29C04-B8F2-484A-9618-8CE80406CD0F}"/>
    <cellStyle name="Normal 2 3 2 11 6" xfId="1284" xr:uid="{D5C3A028-15F6-4954-9CE9-651362BE1A1B}"/>
    <cellStyle name="Normal 2 3 2 11 6 2" xfId="3005" xr:uid="{80EDCD66-FCAE-4946-BE57-01A098543A4F}"/>
    <cellStyle name="Normal 2 3 2 11 6 2 2" xfId="6676" xr:uid="{3375ED52-0CC1-4FF9-B750-7C5CCA86A22F}"/>
    <cellStyle name="Normal 2 3 2 11 6 3" xfId="4957" xr:uid="{70477E63-7958-4599-AD70-7B51FBA9627C}"/>
    <cellStyle name="Normal 2 3 2 11 7" xfId="1502" xr:uid="{04517F49-26B2-4014-AB99-049F14DE5881}"/>
    <cellStyle name="Normal 2 3 2 11 7 2" xfId="3223" xr:uid="{C1E43995-713D-4824-9E49-58D57D525F79}"/>
    <cellStyle name="Normal 2 3 2 11 7 2 2" xfId="6894" xr:uid="{143F4DF8-D1AB-4DCE-8AC8-C5A54FED5CFD}"/>
    <cellStyle name="Normal 2 3 2 11 7 3" xfId="5175" xr:uid="{60C135DA-D2D8-49B8-9FF4-6B6624353D5D}"/>
    <cellStyle name="Normal 2 3 2 11 8" xfId="1721" xr:uid="{7D331040-03F1-4377-8A04-F2D578723F7C}"/>
    <cellStyle name="Normal 2 3 2 11 8 2" xfId="3442" xr:uid="{390BBD24-0CD3-441E-B202-91C1192613BB}"/>
    <cellStyle name="Normal 2 3 2 11 8 2 2" xfId="7113" xr:uid="{AA6B6EF3-145B-42C0-931B-7A6042AC0919}"/>
    <cellStyle name="Normal 2 3 2 11 8 3" xfId="5393" xr:uid="{D47FDD20-E279-4121-ACC5-07D0F17CA569}"/>
    <cellStyle name="Normal 2 3 2 11 9" xfId="1941" xr:uid="{54555DE1-1297-4CCC-B140-C490AE58B604}"/>
    <cellStyle name="Normal 2 3 2 11 9 2" xfId="5612" xr:uid="{CEA5FC90-38A5-4699-8F34-E5B9F62C2829}"/>
    <cellStyle name="Normal 2 3 2 12" xfId="201" xr:uid="{A9193D66-3944-4FE6-AD15-B21E20DE5D1A}"/>
    <cellStyle name="Normal 2 3 2 12 10" xfId="3930" xr:uid="{EB8FB8E1-0F56-483F-B214-8017CC472456}"/>
    <cellStyle name="Normal 2 3 2 12 2" xfId="447" xr:uid="{DB2AFB01-E975-48FD-886E-E9599AD56610}"/>
    <cellStyle name="Normal 2 3 2 12 2 2" xfId="2146" xr:uid="{03C242CC-2178-4042-AEB5-C9164CE1BB56}"/>
    <cellStyle name="Normal 2 3 2 12 2 2 2" xfId="5817" xr:uid="{CAF2495B-F9C1-4C3E-96F6-4FC99B29755E}"/>
    <cellStyle name="Normal 2 3 2 12 2 3" xfId="4110" xr:uid="{9B28A34A-9A3B-4E7A-BD9A-5C306DD9F9F9}"/>
    <cellStyle name="Normal 2 3 2 12 3" xfId="643" xr:uid="{4C24436D-CCBF-43B1-ADFF-512585AE1BD9}"/>
    <cellStyle name="Normal 2 3 2 12 3 2" xfId="2364" xr:uid="{B4E7F527-BFD4-4CD3-8A1C-4E9ADF2462CD}"/>
    <cellStyle name="Normal 2 3 2 12 3 2 2" xfId="6035" xr:uid="{55F3E71E-54A0-4914-86BA-09735ECECEFB}"/>
    <cellStyle name="Normal 2 3 2 12 3 3" xfId="4316" xr:uid="{BFCC4A0F-2727-474D-8684-AB8E021CEFB2}"/>
    <cellStyle name="Normal 2 3 2 12 4" xfId="861" xr:uid="{82D65EB2-EAB7-4A57-AED1-5131FC0B4793}"/>
    <cellStyle name="Normal 2 3 2 12 4 2" xfId="2582" xr:uid="{99E4A843-08E4-403F-88B1-A7C0C54F3611}"/>
    <cellStyle name="Normal 2 3 2 12 4 2 2" xfId="6253" xr:uid="{D86F3FC9-E7FD-435F-837C-2FE1A01B8709}"/>
    <cellStyle name="Normal 2 3 2 12 4 3" xfId="4534" xr:uid="{BB9A4F10-E0C9-401E-AAB4-75CEC8B43E9C}"/>
    <cellStyle name="Normal 2 3 2 12 5" xfId="1079" xr:uid="{D043FD40-984B-4483-BCD4-D58846B71310}"/>
    <cellStyle name="Normal 2 3 2 12 5 2" xfId="2800" xr:uid="{1043D29E-8FDB-4B90-B03B-F4E384A738C5}"/>
    <cellStyle name="Normal 2 3 2 12 5 2 2" xfId="6471" xr:uid="{E8F5CD0E-1229-4300-A95D-957D0A4A956E}"/>
    <cellStyle name="Normal 2 3 2 12 5 3" xfId="4752" xr:uid="{554C44F6-FD3E-4907-A33E-BCEAE1FD328A}"/>
    <cellStyle name="Normal 2 3 2 12 6" xfId="1297" xr:uid="{1D8137E6-C80F-4800-BF2C-CAF2564869A4}"/>
    <cellStyle name="Normal 2 3 2 12 6 2" xfId="3018" xr:uid="{385D117B-1357-48B3-BE01-92D86BF3129A}"/>
    <cellStyle name="Normal 2 3 2 12 6 2 2" xfId="6689" xr:uid="{D87D40DA-F2FB-4547-BA4F-E23224E5439C}"/>
    <cellStyle name="Normal 2 3 2 12 6 3" xfId="4970" xr:uid="{5A15D59F-7DBF-4516-9E15-F56A57AFBCB9}"/>
    <cellStyle name="Normal 2 3 2 12 7" xfId="1515" xr:uid="{5F5B21B1-7763-496E-A658-85E34FB0B3D8}"/>
    <cellStyle name="Normal 2 3 2 12 7 2" xfId="3236" xr:uid="{B4CCE52D-7E5E-4379-B671-DCE55AB491FE}"/>
    <cellStyle name="Normal 2 3 2 12 7 2 2" xfId="6907" xr:uid="{0825CA01-245A-4F7D-A905-68B0B44B1859}"/>
    <cellStyle name="Normal 2 3 2 12 7 3" xfId="5188" xr:uid="{F736DF81-F91F-4B73-84E0-6C77DABAD4AA}"/>
    <cellStyle name="Normal 2 3 2 12 8" xfId="1734" xr:uid="{D0FF6BF1-6743-4BF8-B1F0-98742FBC4F41}"/>
    <cellStyle name="Normal 2 3 2 12 8 2" xfId="3455" xr:uid="{A53A42C3-A3DD-4C69-A3CE-DDE6E18A6062}"/>
    <cellStyle name="Normal 2 3 2 12 8 2 2" xfId="7126" xr:uid="{6F97B19A-053E-4F81-8990-743ECFED4775}"/>
    <cellStyle name="Normal 2 3 2 12 8 3" xfId="5406" xr:uid="{AEBC45E3-033D-4BA9-91C0-41B9F2F330F8}"/>
    <cellStyle name="Normal 2 3 2 12 9" xfId="1954" xr:uid="{46B2F25D-C987-4B88-9181-B2B050E8C0BB}"/>
    <cellStyle name="Normal 2 3 2 12 9 2" xfId="5625" xr:uid="{DE33159F-9642-4157-BB77-800FE7324FD4}"/>
    <cellStyle name="Normal 2 3 2 13" xfId="226" xr:uid="{3BD92E7F-AC05-4520-82C5-0830A63E68C5}"/>
    <cellStyle name="Normal 2 3 2 13 10" xfId="3953" xr:uid="{675BD816-56C4-43C0-9063-501F0C371F81}"/>
    <cellStyle name="Normal 2 3 2 13 2" xfId="470" xr:uid="{B4D267C3-B883-4AFF-AE39-FD1FE6205378}"/>
    <cellStyle name="Normal 2 3 2 13 2 2" xfId="2169" xr:uid="{5FC9451C-9E47-49F4-98F1-5E66BDFC8093}"/>
    <cellStyle name="Normal 2 3 2 13 2 2 2" xfId="5840" xr:uid="{B041A9A3-0A78-4DF0-8537-852A483DA76D}"/>
    <cellStyle name="Normal 2 3 2 13 2 3" xfId="4133" xr:uid="{26E5AF6A-0E44-4731-AD42-8A2FE80DC7BA}"/>
    <cellStyle name="Normal 2 3 2 13 3" xfId="666" xr:uid="{77107217-2CC7-455E-871F-097B20E6FAB5}"/>
    <cellStyle name="Normal 2 3 2 13 3 2" xfId="2387" xr:uid="{17F23FD2-3EDF-4CED-8137-386D44E38E90}"/>
    <cellStyle name="Normal 2 3 2 13 3 2 2" xfId="6058" xr:uid="{86247704-2893-4955-84E3-3639E3B1A5F8}"/>
    <cellStyle name="Normal 2 3 2 13 3 3" xfId="4339" xr:uid="{2B36D1EA-D992-413E-B1E4-0D8D67759D7D}"/>
    <cellStyle name="Normal 2 3 2 13 4" xfId="884" xr:uid="{6F6C6285-375C-4ABD-81B1-F7D9EEACB8DE}"/>
    <cellStyle name="Normal 2 3 2 13 4 2" xfId="2605" xr:uid="{0A4D8D24-AA65-4CBB-B550-F05359FB96E4}"/>
    <cellStyle name="Normal 2 3 2 13 4 2 2" xfId="6276" xr:uid="{C72C641C-8491-438C-8E4F-BBD0812BEBA0}"/>
    <cellStyle name="Normal 2 3 2 13 4 3" xfId="4557" xr:uid="{5196A564-310A-43B6-87CE-DCAD5D37E989}"/>
    <cellStyle name="Normal 2 3 2 13 5" xfId="1102" xr:uid="{CBE912BD-4442-4AF9-993C-60CD841EDE68}"/>
    <cellStyle name="Normal 2 3 2 13 5 2" xfId="2823" xr:uid="{85F0C3FC-8D8E-490B-9663-5D7CE09B56E1}"/>
    <cellStyle name="Normal 2 3 2 13 5 2 2" xfId="6494" xr:uid="{CD39E13C-1B2A-4437-B031-620F90F9C1B6}"/>
    <cellStyle name="Normal 2 3 2 13 5 3" xfId="4775" xr:uid="{DD2B68CE-6963-4EED-B13F-51D414990666}"/>
    <cellStyle name="Normal 2 3 2 13 6" xfId="1320" xr:uid="{77F51CF4-3973-48D0-8EB7-919FE2CD0DAE}"/>
    <cellStyle name="Normal 2 3 2 13 6 2" xfId="3041" xr:uid="{C3B29247-52FA-4743-B17E-8438238B19CF}"/>
    <cellStyle name="Normal 2 3 2 13 6 2 2" xfId="6712" xr:uid="{D1F53602-3BB4-4271-A44A-9F55BF39B5B8}"/>
    <cellStyle name="Normal 2 3 2 13 6 3" xfId="4993" xr:uid="{3BE24579-6DF5-48FA-810F-5253AB89D815}"/>
    <cellStyle name="Normal 2 3 2 13 7" xfId="1538" xr:uid="{F2770D42-2DEC-4E38-B753-92363875FF98}"/>
    <cellStyle name="Normal 2 3 2 13 7 2" xfId="3259" xr:uid="{A02D4CBE-2EBC-4AA9-A566-F0F778DEF5A6}"/>
    <cellStyle name="Normal 2 3 2 13 7 2 2" xfId="6930" xr:uid="{6E3B73E6-9D6C-4A7B-8E1E-8A875B52EE1D}"/>
    <cellStyle name="Normal 2 3 2 13 7 3" xfId="5211" xr:uid="{22DDB9DF-32E3-4948-B38B-0FCE6C3F22A7}"/>
    <cellStyle name="Normal 2 3 2 13 8" xfId="1757" xr:uid="{05F2BA43-BBF6-4896-ABFA-DF69878C8CEA}"/>
    <cellStyle name="Normal 2 3 2 13 8 2" xfId="3478" xr:uid="{6F0F88FF-5E35-4999-A81B-55DB20273E56}"/>
    <cellStyle name="Normal 2 3 2 13 8 2 2" xfId="7149" xr:uid="{707E7D6E-EC57-48B6-96ED-78091FF92865}"/>
    <cellStyle name="Normal 2 3 2 13 8 3" xfId="5429" xr:uid="{59FE90D3-2531-4E67-820F-0D1C7F9F8194}"/>
    <cellStyle name="Normal 2 3 2 13 9" xfId="1977" xr:uid="{BE0D2935-D56F-4B23-85BA-1BF50BBE4BF0}"/>
    <cellStyle name="Normal 2 3 2 13 9 2" xfId="5648" xr:uid="{B46EBF36-FEB8-4343-9CDA-17F9B8207167}"/>
    <cellStyle name="Normal 2 3 2 14" xfId="239" xr:uid="{099B2B52-6405-4B55-A8CD-442BA56CE351}"/>
    <cellStyle name="Normal 2 3 2 14 10" xfId="3966" xr:uid="{39C0291D-1D4F-4FB4-9524-F5B27C4F9FB9}"/>
    <cellStyle name="Normal 2 3 2 14 2" xfId="483" xr:uid="{E89347A2-94FA-4D83-963B-CA3D0A35F0EE}"/>
    <cellStyle name="Normal 2 3 2 14 2 2" xfId="2182" xr:uid="{3E7F1153-C83F-48FA-AC4C-17F9AB85138B}"/>
    <cellStyle name="Normal 2 3 2 14 2 2 2" xfId="5853" xr:uid="{62EF4F70-B34D-4367-B7EF-381436EE7783}"/>
    <cellStyle name="Normal 2 3 2 14 2 3" xfId="4146" xr:uid="{A3F57D17-7E71-488E-A0DA-831904CAA7E6}"/>
    <cellStyle name="Normal 2 3 2 14 3" xfId="679" xr:uid="{9B26FEA7-7C51-4018-9A70-6F8CEFD22687}"/>
    <cellStyle name="Normal 2 3 2 14 3 2" xfId="2400" xr:uid="{DCC8F5F8-A88D-45A6-8FC5-521856281CD4}"/>
    <cellStyle name="Normal 2 3 2 14 3 2 2" xfId="6071" xr:uid="{3A40F1F4-041D-4E5B-BB31-0940DE24CFD8}"/>
    <cellStyle name="Normal 2 3 2 14 3 3" xfId="4352" xr:uid="{F1E2F345-A1E7-45DF-BD07-17D94A83E844}"/>
    <cellStyle name="Normal 2 3 2 14 4" xfId="897" xr:uid="{2F709B3F-D502-4C5F-9345-96620340DA5D}"/>
    <cellStyle name="Normal 2 3 2 14 4 2" xfId="2618" xr:uid="{22438CCF-E0CE-4AD2-8390-383E75BD2158}"/>
    <cellStyle name="Normal 2 3 2 14 4 2 2" xfId="6289" xr:uid="{5618330B-6FD6-4543-A2A3-92A843276E6E}"/>
    <cellStyle name="Normal 2 3 2 14 4 3" xfId="4570" xr:uid="{70477A9F-3C81-4F82-B169-4F5A5E04D0C9}"/>
    <cellStyle name="Normal 2 3 2 14 5" xfId="1115" xr:uid="{695E7887-6A48-4E37-A367-8DBBB7155CEC}"/>
    <cellStyle name="Normal 2 3 2 14 5 2" xfId="2836" xr:uid="{D29CF0E6-7ACA-4641-B982-6AB6FA64A038}"/>
    <cellStyle name="Normal 2 3 2 14 5 2 2" xfId="6507" xr:uid="{8497AF68-F48D-4489-A880-9BFEAFA2205A}"/>
    <cellStyle name="Normal 2 3 2 14 5 3" xfId="4788" xr:uid="{F84952A2-7043-478A-B340-B4F945FCC651}"/>
    <cellStyle name="Normal 2 3 2 14 6" xfId="1333" xr:uid="{67862A92-A23D-4CD3-AB91-1AA7A79B3161}"/>
    <cellStyle name="Normal 2 3 2 14 6 2" xfId="3054" xr:uid="{F342961F-03E9-4132-96A5-DE680E07EAE3}"/>
    <cellStyle name="Normal 2 3 2 14 6 2 2" xfId="6725" xr:uid="{50BE1D6A-E4E1-4C32-A6CF-766FDC091AD6}"/>
    <cellStyle name="Normal 2 3 2 14 6 3" xfId="5006" xr:uid="{80C49EF7-32D2-47B8-AC4D-7079176D44A1}"/>
    <cellStyle name="Normal 2 3 2 14 7" xfId="1551" xr:uid="{98312315-6260-4F58-ABC9-535A94C2AD45}"/>
    <cellStyle name="Normal 2 3 2 14 7 2" xfId="3272" xr:uid="{DB0788DE-B0EC-40E5-BADB-63457FB46A9B}"/>
    <cellStyle name="Normal 2 3 2 14 7 2 2" xfId="6943" xr:uid="{0DE59F43-4CC0-442F-8852-475C037D6B6B}"/>
    <cellStyle name="Normal 2 3 2 14 7 3" xfId="5224" xr:uid="{AACE37B7-F0B9-4A10-BD8B-F176A11823EC}"/>
    <cellStyle name="Normal 2 3 2 14 8" xfId="1770" xr:uid="{00FF926C-7D7E-43AD-ACA3-A505FAD83B3F}"/>
    <cellStyle name="Normal 2 3 2 14 8 2" xfId="3491" xr:uid="{E4EB3D8E-203F-4037-B6F7-467A1B62B708}"/>
    <cellStyle name="Normal 2 3 2 14 8 2 2" xfId="7162" xr:uid="{1D6679F1-B8EA-4066-8132-79DE72B7686A}"/>
    <cellStyle name="Normal 2 3 2 14 8 3" xfId="5442" xr:uid="{FC7178C3-C833-468E-BD4E-E732BE79825E}"/>
    <cellStyle name="Normal 2 3 2 14 9" xfId="1990" xr:uid="{B6F5A1BE-8E38-4057-9953-9161BED5DAF5}"/>
    <cellStyle name="Normal 2 3 2 14 9 2" xfId="5661" xr:uid="{C34C0DD2-3C6A-4DBD-B1CC-255DFF73163C}"/>
    <cellStyle name="Normal 2 3 2 15" xfId="252" xr:uid="{F64CC529-6B4A-44B6-B64E-35F5C17159F4}"/>
    <cellStyle name="Normal 2 3 2 15 2" xfId="692" xr:uid="{55B26A0D-7DC3-4A4D-B2A1-8BEFB9AB5721}"/>
    <cellStyle name="Normal 2 3 2 15 2 2" xfId="2413" xr:uid="{413E7910-6C0C-43C2-ABB9-0C4917254CDB}"/>
    <cellStyle name="Normal 2 3 2 15 2 2 2" xfId="6084" xr:uid="{03F81A10-BEE4-4CFB-A829-86D599642C2A}"/>
    <cellStyle name="Normal 2 3 2 15 2 3" xfId="4365" xr:uid="{3467B374-7A0A-4ABE-8D55-456266DD6B60}"/>
    <cellStyle name="Normal 2 3 2 15 3" xfId="910" xr:uid="{C18A4CE1-55A3-4D43-BFE4-7D0DD5B00B94}"/>
    <cellStyle name="Normal 2 3 2 15 3 2" xfId="2631" xr:uid="{0DB213A4-6C99-4AF5-A14F-3F264B0558AB}"/>
    <cellStyle name="Normal 2 3 2 15 3 2 2" xfId="6302" xr:uid="{0A417512-2C83-45CF-9D70-D24FA138E950}"/>
    <cellStyle name="Normal 2 3 2 15 3 3" xfId="4583" xr:uid="{322F73B7-11CB-481C-B80B-73EFC9DDD9B0}"/>
    <cellStyle name="Normal 2 3 2 15 4" xfId="1128" xr:uid="{781A0A78-428B-47C2-AF84-5DC796A71572}"/>
    <cellStyle name="Normal 2 3 2 15 4 2" xfId="2849" xr:uid="{646E41C9-1420-400A-929B-3E3FA5C2C0F7}"/>
    <cellStyle name="Normal 2 3 2 15 4 2 2" xfId="6520" xr:uid="{C4A10468-6699-4F83-8E9E-DB4B5E8D4AC3}"/>
    <cellStyle name="Normal 2 3 2 15 4 3" xfId="4801" xr:uid="{1E9A6043-6A7D-4E33-A978-EEA65AA4C299}"/>
    <cellStyle name="Normal 2 3 2 15 5" xfId="1346" xr:uid="{43208CE7-C8C9-4E9D-A6C4-6EB2CB442EBD}"/>
    <cellStyle name="Normal 2 3 2 15 5 2" xfId="3067" xr:uid="{A0F9C77A-CA7D-4026-9882-EC6392B8D426}"/>
    <cellStyle name="Normal 2 3 2 15 5 2 2" xfId="6738" xr:uid="{CA5DD71A-8E48-4962-BCF5-315A6307C285}"/>
    <cellStyle name="Normal 2 3 2 15 5 3" xfId="5019" xr:uid="{9876C43A-ADAA-4BB1-A26F-FA7D236FBA40}"/>
    <cellStyle name="Normal 2 3 2 15 6" xfId="1564" xr:uid="{56962E85-021E-4A11-B664-3B78D8460BD1}"/>
    <cellStyle name="Normal 2 3 2 15 6 2" xfId="3285" xr:uid="{D4CF4F04-E719-4904-B641-22EF3B4238C5}"/>
    <cellStyle name="Normal 2 3 2 15 6 2 2" xfId="6956" xr:uid="{0802A946-0A48-4305-9897-64A092E4D9EF}"/>
    <cellStyle name="Normal 2 3 2 15 6 3" xfId="5237" xr:uid="{D1D2C9CE-6985-4635-ACF2-2A4E24884F4C}"/>
    <cellStyle name="Normal 2 3 2 15 7" xfId="1783" xr:uid="{8DE05047-B1A7-4A28-9409-098B82A55EDB}"/>
    <cellStyle name="Normal 2 3 2 15 7 2" xfId="3504" xr:uid="{00107C3B-2187-4177-AB4B-1B04FE655B25}"/>
    <cellStyle name="Normal 2 3 2 15 7 2 2" xfId="7175" xr:uid="{563141C2-3FFE-440D-AE74-88AA05067F36}"/>
    <cellStyle name="Normal 2 3 2 15 7 3" xfId="5455" xr:uid="{2B424FC6-C1CE-45ED-A616-2703FB7272DF}"/>
    <cellStyle name="Normal 2 3 2 15 8" xfId="2195" xr:uid="{41518AC5-826D-4FEF-A171-CF836364B4E0}"/>
    <cellStyle name="Normal 2 3 2 15 8 2" xfId="5866" xr:uid="{2A08A98A-B94B-48D4-9F08-98D61473A80F}"/>
    <cellStyle name="Normal 2 3 2 15 9" xfId="4159" xr:uid="{F7EB736F-2AF4-4481-9542-0D6C01A4708F}"/>
    <cellStyle name="Normal 2 3 2 16" xfId="265" xr:uid="{E4C3843F-BF95-4006-92FA-BBA83EF08DF2}"/>
    <cellStyle name="Normal 2 3 2 16 2" xfId="705" xr:uid="{8C58A4EF-CC5D-4D4D-B9F5-E29C62140F85}"/>
    <cellStyle name="Normal 2 3 2 16 2 2" xfId="2426" xr:uid="{ED907593-8910-4ABB-89A9-CD365B775CA0}"/>
    <cellStyle name="Normal 2 3 2 16 2 2 2" xfId="6097" xr:uid="{9DE659E6-0664-414F-BE4F-75AF7D80A81E}"/>
    <cellStyle name="Normal 2 3 2 16 2 3" xfId="4378" xr:uid="{AA8EE915-CD60-4F47-8A9D-C976884E5030}"/>
    <cellStyle name="Normal 2 3 2 16 3" xfId="923" xr:uid="{9B59F0BB-B382-4D98-A455-DC7AF3E2F097}"/>
    <cellStyle name="Normal 2 3 2 16 3 2" xfId="2644" xr:uid="{C5BBCD4D-2A1C-4E6D-A973-B2714B0AABC7}"/>
    <cellStyle name="Normal 2 3 2 16 3 2 2" xfId="6315" xr:uid="{7CF13822-F6A2-43CD-83E7-54FAFBF12731}"/>
    <cellStyle name="Normal 2 3 2 16 3 3" xfId="4596" xr:uid="{576BEFC7-E33F-4370-98E0-D69A09F68FB2}"/>
    <cellStyle name="Normal 2 3 2 16 4" xfId="1141" xr:uid="{8E41A75A-17FD-4693-B287-1CD2EB26B30E}"/>
    <cellStyle name="Normal 2 3 2 16 4 2" xfId="2862" xr:uid="{C9E30363-FCCB-492D-82BE-F4A37F5CD86A}"/>
    <cellStyle name="Normal 2 3 2 16 4 2 2" xfId="6533" xr:uid="{DD9F0123-7A5D-4117-B8BC-1B464E75237E}"/>
    <cellStyle name="Normal 2 3 2 16 4 3" xfId="4814" xr:uid="{CEC3662F-D72A-424B-AE6F-497CA82DC7FD}"/>
    <cellStyle name="Normal 2 3 2 16 5" xfId="1359" xr:uid="{23DA3C1F-9C86-4BC6-A7CE-9809784116E3}"/>
    <cellStyle name="Normal 2 3 2 16 5 2" xfId="3080" xr:uid="{672C5076-57E0-40D8-B8D1-56D37229A0D3}"/>
    <cellStyle name="Normal 2 3 2 16 5 2 2" xfId="6751" xr:uid="{146C5758-5B69-4039-B28B-BFA60AEE4D13}"/>
    <cellStyle name="Normal 2 3 2 16 5 3" xfId="5032" xr:uid="{7C468A26-A23A-4FF6-8DC1-0F2C374B961D}"/>
    <cellStyle name="Normal 2 3 2 16 6" xfId="1577" xr:uid="{859B68AF-0F8A-4602-AFE1-C1B8F2E0B5B9}"/>
    <cellStyle name="Normal 2 3 2 16 6 2" xfId="3298" xr:uid="{3E517079-8BF5-4058-856D-057E242B528F}"/>
    <cellStyle name="Normal 2 3 2 16 6 2 2" xfId="6969" xr:uid="{C8269A07-3840-4C7F-A88E-C919B5107140}"/>
    <cellStyle name="Normal 2 3 2 16 6 3" xfId="5250" xr:uid="{88FDA572-5516-47DE-81E5-D08B388F0A31}"/>
    <cellStyle name="Normal 2 3 2 16 7" xfId="1796" xr:uid="{61C6C91E-1523-4F46-9C46-6086CB799305}"/>
    <cellStyle name="Normal 2 3 2 16 7 2" xfId="3517" xr:uid="{AD610907-5785-4F25-B0DE-418D0904600C}"/>
    <cellStyle name="Normal 2 3 2 16 7 2 2" xfId="7188" xr:uid="{1BA3F076-AA39-414B-B8F9-DA157CD4F695}"/>
    <cellStyle name="Normal 2 3 2 16 7 3" xfId="5468" xr:uid="{457A5443-19B0-4636-83CC-42A4D28976FC}"/>
    <cellStyle name="Normal 2 3 2 16 8" xfId="2208" xr:uid="{16C71419-3AF7-44CE-A211-6DEA341562BF}"/>
    <cellStyle name="Normal 2 3 2 16 8 2" xfId="5879" xr:uid="{812537AE-29AD-44F6-96ED-F9B19E591401}"/>
    <cellStyle name="Normal 2 3 2 16 9" xfId="4172" xr:uid="{0CF36324-4C06-4F7E-A255-1DCD7FA0EE42}"/>
    <cellStyle name="Normal 2 3 2 17" xfId="305" xr:uid="{8095A3F3-E74F-42CF-8AB0-16A5A828B806}"/>
    <cellStyle name="Normal 2 3 2 17 2" xfId="2003" xr:uid="{E5A70A1E-C5B0-4778-ADFF-DC6DAD18AFBA}"/>
    <cellStyle name="Normal 2 3 2 17 2 2" xfId="5674" xr:uid="{F0B1DC46-1CFC-4047-8B57-B2F5072859C2}"/>
    <cellStyle name="Normal 2 3 2 17 3" xfId="3979" xr:uid="{6D06E4D5-E0C1-4464-98F3-B9F0338C3D18}"/>
    <cellStyle name="Normal 2 3 2 18" xfId="500" xr:uid="{4FCA175A-DD81-4A5A-8973-E57F1F8005DD}"/>
    <cellStyle name="Normal 2 3 2 18 2" xfId="2221" xr:uid="{3A613D55-73E6-4A6A-A4F5-4179C5A3223C}"/>
    <cellStyle name="Normal 2 3 2 18 2 2" xfId="5892" xr:uid="{41D57C4B-0395-442E-953E-F72EFB6781E0}"/>
    <cellStyle name="Normal 2 3 2 18 3" xfId="4185" xr:uid="{E97E5024-55D3-4800-80B8-20948A4DA116}"/>
    <cellStyle name="Normal 2 3 2 19" xfId="718" xr:uid="{88DDE1BD-156A-4526-A0A6-3DD212F47EE4}"/>
    <cellStyle name="Normal 2 3 2 19 2" xfId="2439" xr:uid="{2788659A-0319-45E6-A7D2-C8A7F1F8D6A3}"/>
    <cellStyle name="Normal 2 3 2 19 2 2" xfId="6110" xr:uid="{CB029598-3D82-4D30-BCD5-3D1E2824F433}"/>
    <cellStyle name="Normal 2 3 2 19 3" xfId="4391" xr:uid="{0D00C2CA-86F8-4011-BEB1-C9A164CB6FBA}"/>
    <cellStyle name="Normal 2 3 2 2" xfId="71" xr:uid="{99EC01FA-528C-4998-9923-64D8C230051B}"/>
    <cellStyle name="Normal 2 3 2 2 10" xfId="3800" xr:uid="{C7FCE0B2-0E7E-4212-8C9B-5AD5517A4C2D}"/>
    <cellStyle name="Normal 2 3 2 2 2" xfId="317" xr:uid="{781159D2-6153-4248-A703-19EBDB3C1E03}"/>
    <cellStyle name="Normal 2 3 2 2 2 2" xfId="2016" xr:uid="{AE09DF69-5912-4B35-8BBD-5FD4A5F4D37F}"/>
    <cellStyle name="Normal 2 3 2 2 2 2 2" xfId="5687" xr:uid="{8DF51C6E-22E3-43A1-AFDC-BB663ECDDF96}"/>
    <cellStyle name="Normal 2 3 2 2 2 3" xfId="3628" xr:uid="{87A6AF4B-CBB2-4B4E-AE41-7FEEF4A37DE6}"/>
    <cellStyle name="Normal 2 3 2 2 3" xfId="513" xr:uid="{6AF4450C-9E9D-4D5C-907B-71978AF3B5AC}"/>
    <cellStyle name="Normal 2 3 2 2 3 2" xfId="2234" xr:uid="{B21D1AB7-5D0A-4A95-8EF3-BD939557DD8A}"/>
    <cellStyle name="Normal 2 3 2 2 3 2 2" xfId="5905" xr:uid="{E922B599-CFBC-4D17-A07F-F0179595B3B6}"/>
    <cellStyle name="Normal 2 3 2 2 3 3" xfId="3602" xr:uid="{1DED8131-8C5C-4034-AB93-4A50224F26E4}"/>
    <cellStyle name="Normal 2 3 2 2 4" xfId="731" xr:uid="{619C7FFE-F7C2-4F50-A3F9-0B7FA8DAF73E}"/>
    <cellStyle name="Normal 2 3 2 2 4 2" xfId="2452" xr:uid="{36769CDD-B016-4E5F-A268-75D1C6299A02}"/>
    <cellStyle name="Normal 2 3 2 2 4 2 2" xfId="6123" xr:uid="{B4329260-6D05-4468-8CF1-89AEC27FBC39}"/>
    <cellStyle name="Normal 2 3 2 2 4 3" xfId="4404" xr:uid="{BE68B8C1-0E61-4A64-9EBB-7C28E1058C77}"/>
    <cellStyle name="Normal 2 3 2 2 5" xfId="949" xr:uid="{EA0EEEDD-86D0-4E74-BFEE-8C42B19C6BBD}"/>
    <cellStyle name="Normal 2 3 2 2 5 2" xfId="2670" xr:uid="{3C3CB0CC-FFB1-456A-B013-976D1E4BE4E9}"/>
    <cellStyle name="Normal 2 3 2 2 5 2 2" xfId="6341" xr:uid="{59CCD1BE-EAC8-4A78-A861-2EA652EFC962}"/>
    <cellStyle name="Normal 2 3 2 2 5 3" xfId="4622" xr:uid="{E0A56762-C98C-44AD-9028-E3604E23122E}"/>
    <cellStyle name="Normal 2 3 2 2 6" xfId="1167" xr:uid="{3F37DF2F-9188-4457-AE51-963A260AC723}"/>
    <cellStyle name="Normal 2 3 2 2 6 2" xfId="2888" xr:uid="{012177EC-5DB7-43D1-9460-3CB06AF1EC92}"/>
    <cellStyle name="Normal 2 3 2 2 6 2 2" xfId="6559" xr:uid="{9B8DDD64-84D0-4D2C-B002-4906BEF831F9}"/>
    <cellStyle name="Normal 2 3 2 2 6 3" xfId="4840" xr:uid="{3EB1919C-9A65-42F8-93E2-828103E9F409}"/>
    <cellStyle name="Normal 2 3 2 2 7" xfId="1385" xr:uid="{2DC82DBE-4EAA-4990-A9D1-C30989BCDA79}"/>
    <cellStyle name="Normal 2 3 2 2 7 2" xfId="3106" xr:uid="{87E3A8DD-20F2-456E-99C6-CFEEF3D61B65}"/>
    <cellStyle name="Normal 2 3 2 2 7 2 2" xfId="6777" xr:uid="{C9ED96BC-05A2-4CFE-A87B-28B3138175F5}"/>
    <cellStyle name="Normal 2 3 2 2 7 3" xfId="5058" xr:uid="{CC887A37-80DD-4A33-9A6D-35F62207AE72}"/>
    <cellStyle name="Normal 2 3 2 2 8" xfId="1604" xr:uid="{C5B82823-996B-4C30-84C7-5A5D1C96346C}"/>
    <cellStyle name="Normal 2 3 2 2 8 2" xfId="3325" xr:uid="{C42FEE80-960D-4D95-81DD-C529893AC324}"/>
    <cellStyle name="Normal 2 3 2 2 8 2 2" xfId="6996" xr:uid="{9569F04F-8105-47AF-9214-7C08AC04FBE5}"/>
    <cellStyle name="Normal 2 3 2 2 8 3" xfId="5276" xr:uid="{5D9991BD-1EFA-4272-82C4-309AA5484313}"/>
    <cellStyle name="Normal 2 3 2 2 9" xfId="1824" xr:uid="{A5EA2EE3-ECE7-4B4B-939B-B8ADA0F88580}"/>
    <cellStyle name="Normal 2 3 2 2 9 2" xfId="5495" xr:uid="{7022F62E-EB0F-4832-BFDC-083A7A81B81E}"/>
    <cellStyle name="Normal 2 3 2 20" xfId="936" xr:uid="{2769D9CA-EDEF-42AD-9698-77E933EBC723}"/>
    <cellStyle name="Normal 2 3 2 20 2" xfId="2657" xr:uid="{2D930EC0-109F-4415-A77A-F41CE95C3C76}"/>
    <cellStyle name="Normal 2 3 2 20 2 2" xfId="6328" xr:uid="{46B2E401-2315-4A38-93C5-466E65EAAF84}"/>
    <cellStyle name="Normal 2 3 2 20 3" xfId="4609" xr:uid="{6BE317D1-1A7A-4AD1-916F-49FC5914BF35}"/>
    <cellStyle name="Normal 2 3 2 21" xfId="1154" xr:uid="{BE94A168-BC1E-4F0A-BAC5-E4809D689A12}"/>
    <cellStyle name="Normal 2 3 2 21 2" xfId="2875" xr:uid="{E012F612-9070-42C9-BE54-A57BB509FFAB}"/>
    <cellStyle name="Normal 2 3 2 21 2 2" xfId="6546" xr:uid="{1B199D4A-9EE6-47E9-AE54-012707C3BBF0}"/>
    <cellStyle name="Normal 2 3 2 21 3" xfId="4827" xr:uid="{2259AE88-F04B-40B3-85E5-40B2B9F11F4D}"/>
    <cellStyle name="Normal 2 3 2 22" xfId="1372" xr:uid="{D97D1AB7-625E-412E-B010-E85AB7327B9B}"/>
    <cellStyle name="Normal 2 3 2 22 2" xfId="3093" xr:uid="{EB450DB3-01B6-47D9-8DDB-6E1DC6D6817A}"/>
    <cellStyle name="Normal 2 3 2 22 2 2" xfId="6764" xr:uid="{FD9FA8D3-AA44-4602-8E79-C9CD12A7FDB3}"/>
    <cellStyle name="Normal 2 3 2 22 3" xfId="5045" xr:uid="{43931F74-8B25-4026-ACCD-88FD0394C181}"/>
    <cellStyle name="Normal 2 3 2 23" xfId="1591" xr:uid="{716B3B65-B7BA-49D2-8898-A7BC47E9E4DE}"/>
    <cellStyle name="Normal 2 3 2 23 2" xfId="3312" xr:uid="{5FBFF282-A128-4FB9-883B-2627328D74FA}"/>
    <cellStyle name="Normal 2 3 2 23 2 2" xfId="6983" xr:uid="{2365FFAA-96DE-4914-9FED-0462F672EDA8}"/>
    <cellStyle name="Normal 2 3 2 23 3" xfId="5263" xr:uid="{61D84E8A-43D3-435D-8326-C4EEA4D33984}"/>
    <cellStyle name="Normal 2 3 2 24" xfId="1811" xr:uid="{E0C488B5-CBFC-4D4C-859F-8B1C9561352F}"/>
    <cellStyle name="Normal 2 3 2 24 2" xfId="5482" xr:uid="{1E6B95B6-8D90-450F-84EE-65056839700A}"/>
    <cellStyle name="Normal 2 3 2 25" xfId="3787" xr:uid="{D1FA3599-FE55-4F3B-B63D-7A3CAEC905BD}"/>
    <cellStyle name="Normal 2 3 2 3" xfId="84" xr:uid="{FE7CB265-988B-4717-A3AC-554F37B365F6}"/>
    <cellStyle name="Normal 2 3 2 3 10" xfId="3813" xr:uid="{349F9AA3-83FD-4891-BAAF-7901C7232EA1}"/>
    <cellStyle name="Normal 2 3 2 3 2" xfId="330" xr:uid="{49A0B7FC-D715-4574-904D-E201AE8888CD}"/>
    <cellStyle name="Normal 2 3 2 3 2 2" xfId="2029" xr:uid="{ABF25C48-9F28-46BA-B33B-1E6C0C8BA326}"/>
    <cellStyle name="Normal 2 3 2 3 2 2 2" xfId="5700" xr:uid="{7906502E-B03D-4F41-B059-826B9612EEF4}"/>
    <cellStyle name="Normal 2 3 2 3 2 3" xfId="3636" xr:uid="{3298AAFE-556E-4BA3-9C3B-19CFC886E9C6}"/>
    <cellStyle name="Normal 2 3 2 3 3" xfId="526" xr:uid="{CEA6ABDA-2739-4077-848F-8F1EF6FD32BE}"/>
    <cellStyle name="Normal 2 3 2 3 3 2" xfId="2247" xr:uid="{32A04B3F-830F-4F8E-8B91-5AEEB1506B44}"/>
    <cellStyle name="Normal 2 3 2 3 3 2 2" xfId="5918" xr:uid="{EA5355EC-AE9E-4D4D-812D-D50DE7A2F326}"/>
    <cellStyle name="Normal 2 3 2 3 3 3" xfId="3610" xr:uid="{0D946899-09DD-4BBB-AA76-E68CB5E5EF26}"/>
    <cellStyle name="Normal 2 3 2 3 4" xfId="744" xr:uid="{954BB141-3B4E-4590-862A-285A0A011577}"/>
    <cellStyle name="Normal 2 3 2 3 4 2" xfId="2465" xr:uid="{7CAB8677-ED7D-48BB-947A-68C281CDECF8}"/>
    <cellStyle name="Normal 2 3 2 3 4 2 2" xfId="6136" xr:uid="{664CDAF0-2981-457A-BD65-9EEBC6035A24}"/>
    <cellStyle name="Normal 2 3 2 3 4 3" xfId="4417" xr:uid="{482A0E03-33E3-4F26-BB8B-92D1CEFF9BE5}"/>
    <cellStyle name="Normal 2 3 2 3 5" xfId="962" xr:uid="{D688E06E-FAA3-40E7-8A77-38377AEF4410}"/>
    <cellStyle name="Normal 2 3 2 3 5 2" xfId="2683" xr:uid="{01CB7DA5-7BA7-4DCE-A037-F34C84CC5C7E}"/>
    <cellStyle name="Normal 2 3 2 3 5 2 2" xfId="6354" xr:uid="{11988258-A4E2-463D-BCF9-22BEC52E3679}"/>
    <cellStyle name="Normal 2 3 2 3 5 3" xfId="4635" xr:uid="{7DDA7FB4-898A-40D8-93EA-7E267294863D}"/>
    <cellStyle name="Normal 2 3 2 3 6" xfId="1180" xr:uid="{9D1AD709-D3FA-467C-A063-E896BD9A7701}"/>
    <cellStyle name="Normal 2 3 2 3 6 2" xfId="2901" xr:uid="{B39E1F1F-308E-4945-87AD-8CAF8B630AA3}"/>
    <cellStyle name="Normal 2 3 2 3 6 2 2" xfId="6572" xr:uid="{6DEB086F-FDA1-4F00-986B-92E24C137E22}"/>
    <cellStyle name="Normal 2 3 2 3 6 3" xfId="4853" xr:uid="{C76F7015-3B12-4838-A5FA-F41ACF8BDF4E}"/>
    <cellStyle name="Normal 2 3 2 3 7" xfId="1398" xr:uid="{BAF3A5A1-DD2C-491E-823D-07932480EDE1}"/>
    <cellStyle name="Normal 2 3 2 3 7 2" xfId="3119" xr:uid="{02366CEB-BD05-420A-A354-CBA56D2B1BBD}"/>
    <cellStyle name="Normal 2 3 2 3 7 2 2" xfId="6790" xr:uid="{F7B61A0C-63D3-4917-85D6-36C478B8C752}"/>
    <cellStyle name="Normal 2 3 2 3 7 3" xfId="5071" xr:uid="{63C670E3-00BA-48FF-9C26-00CE9F4E0967}"/>
    <cellStyle name="Normal 2 3 2 3 8" xfId="1617" xr:uid="{6EF4E56F-35EA-4746-9ACA-4FB281203E10}"/>
    <cellStyle name="Normal 2 3 2 3 8 2" xfId="3338" xr:uid="{04F9D800-36DC-460A-B67F-9FBAB4F6F221}"/>
    <cellStyle name="Normal 2 3 2 3 8 2 2" xfId="7009" xr:uid="{0E6A004F-A367-4BB0-A516-77F94DEC7C2B}"/>
    <cellStyle name="Normal 2 3 2 3 8 3" xfId="5289" xr:uid="{94617313-A9E1-4C49-A325-3C654A0FC667}"/>
    <cellStyle name="Normal 2 3 2 3 9" xfId="1837" xr:uid="{FF10EC56-B8D3-476E-8041-B9B9D6BDB9BE}"/>
    <cellStyle name="Normal 2 3 2 3 9 2" xfId="5508" xr:uid="{DE36BAFB-D9CE-422D-8C50-E9643760BE95}"/>
    <cellStyle name="Normal 2 3 2 4" xfId="97" xr:uid="{B4C581D5-26AF-4992-865C-EE157637AB49}"/>
    <cellStyle name="Normal 2 3 2 4 10" xfId="3826" xr:uid="{DBC72A72-8BB4-4F09-A2BD-50DD33DC77E7}"/>
    <cellStyle name="Normal 2 3 2 4 2" xfId="343" xr:uid="{91564592-1A7C-4764-BC2F-B49B2611C50E}"/>
    <cellStyle name="Normal 2 3 2 4 2 2" xfId="2042" xr:uid="{E3FEB5C3-B2D8-421E-95E2-916B4A0341FD}"/>
    <cellStyle name="Normal 2 3 2 4 2 2 2" xfId="5713" xr:uid="{92E9167F-F862-4F61-81D5-06B52868C07A}"/>
    <cellStyle name="Normal 2 3 2 4 2 3" xfId="4006" xr:uid="{89FC0B1F-3627-4352-AC56-DB21C26F3F7D}"/>
    <cellStyle name="Normal 2 3 2 4 3" xfId="539" xr:uid="{9E8EB8DF-D2E6-4C28-94E2-BA2AA13B381B}"/>
    <cellStyle name="Normal 2 3 2 4 3 2" xfId="2260" xr:uid="{2859E4F9-E391-4626-8662-2F96FAEF9266}"/>
    <cellStyle name="Normal 2 3 2 4 3 2 2" xfId="5931" xr:uid="{C19C8BC5-4272-497A-8656-B776AE3E9F33}"/>
    <cellStyle name="Normal 2 3 2 4 3 3" xfId="4212" xr:uid="{DC665F74-2673-468B-BD29-9A249F7C2DEB}"/>
    <cellStyle name="Normal 2 3 2 4 4" xfId="757" xr:uid="{E15E3D4C-9A26-4211-B002-03C1FE199F4E}"/>
    <cellStyle name="Normal 2 3 2 4 4 2" xfId="2478" xr:uid="{B3FC65C3-F172-487B-814C-3C645E0854FF}"/>
    <cellStyle name="Normal 2 3 2 4 4 2 2" xfId="6149" xr:uid="{A1AE6253-DB18-495A-B075-6C612875EA35}"/>
    <cellStyle name="Normal 2 3 2 4 4 3" xfId="4430" xr:uid="{A67C080B-AF95-416B-82F0-FA5A3EC8A24B}"/>
    <cellStyle name="Normal 2 3 2 4 5" xfId="975" xr:uid="{4623C200-EE32-4FB2-B7E8-89D682EC8061}"/>
    <cellStyle name="Normal 2 3 2 4 5 2" xfId="2696" xr:uid="{FDCC02C3-8A6F-4B7C-991C-B99846662FD6}"/>
    <cellStyle name="Normal 2 3 2 4 5 2 2" xfId="6367" xr:uid="{FB5B85E5-108A-410D-9EBF-05EBF82F36C2}"/>
    <cellStyle name="Normal 2 3 2 4 5 3" xfId="4648" xr:uid="{20B527F8-CD0C-4AF5-ABB6-CB00CB77E495}"/>
    <cellStyle name="Normal 2 3 2 4 6" xfId="1193" xr:uid="{3DA2951E-62CA-4AC3-99D6-A771FBA106CF}"/>
    <cellStyle name="Normal 2 3 2 4 6 2" xfId="2914" xr:uid="{749264CC-0892-416E-8646-7E79F5AAF543}"/>
    <cellStyle name="Normal 2 3 2 4 6 2 2" xfId="6585" xr:uid="{46BFF94B-24B2-4361-8F91-0CE5745FCC09}"/>
    <cellStyle name="Normal 2 3 2 4 6 3" xfId="4866" xr:uid="{4BEF93F0-4109-4615-9D0F-EC9F4EF10A37}"/>
    <cellStyle name="Normal 2 3 2 4 7" xfId="1411" xr:uid="{E81608A0-9538-4113-B313-013CAFFECEE0}"/>
    <cellStyle name="Normal 2 3 2 4 7 2" xfId="3132" xr:uid="{463FFAB3-9779-4616-AC73-F8BC2909EAB3}"/>
    <cellStyle name="Normal 2 3 2 4 7 2 2" xfId="6803" xr:uid="{966F4890-9049-4519-B6EF-988621D19387}"/>
    <cellStyle name="Normal 2 3 2 4 7 3" xfId="5084" xr:uid="{54C48BE7-20E7-4803-8455-AACBABC9CC6B}"/>
    <cellStyle name="Normal 2 3 2 4 8" xfId="1630" xr:uid="{27ECB32A-96B8-46FF-8506-8DA7AD8E1313}"/>
    <cellStyle name="Normal 2 3 2 4 8 2" xfId="3351" xr:uid="{A5D8E775-6A37-4E9A-B5B1-0E6625A9850B}"/>
    <cellStyle name="Normal 2 3 2 4 8 2 2" xfId="7022" xr:uid="{DBCF345B-7A65-4908-945E-6182C6C848EC}"/>
    <cellStyle name="Normal 2 3 2 4 8 3" xfId="5302" xr:uid="{5DD1BF4F-6E07-4E0E-9820-8BDCFD401A0F}"/>
    <cellStyle name="Normal 2 3 2 4 9" xfId="1850" xr:uid="{67AB2B58-A3D8-4B4B-8CFA-A9585DABA0BE}"/>
    <cellStyle name="Normal 2 3 2 4 9 2" xfId="5521" xr:uid="{B736C004-2881-415E-9DB0-CD0729E73753}"/>
    <cellStyle name="Normal 2 3 2 5" xfId="110" xr:uid="{B24934BB-2335-4C98-9817-F7189A36CBD4}"/>
    <cellStyle name="Normal 2 3 2 5 10" xfId="3839" xr:uid="{1B5880B7-5564-4DFF-A664-AC99382539C8}"/>
    <cellStyle name="Normal 2 3 2 5 2" xfId="356" xr:uid="{AB9EEF7D-93E8-4B79-BE2A-523B3CB61F70}"/>
    <cellStyle name="Normal 2 3 2 5 2 2" xfId="2055" xr:uid="{0F40AC71-4CDA-4323-9848-0B7C2A526198}"/>
    <cellStyle name="Normal 2 3 2 5 2 2 2" xfId="5726" xr:uid="{AD28399B-2DCA-4E38-94FA-E21A0DA76245}"/>
    <cellStyle name="Normal 2 3 2 5 2 3" xfId="4019" xr:uid="{FE4C1D86-724F-44CA-89B3-A93CA43A6936}"/>
    <cellStyle name="Normal 2 3 2 5 3" xfId="552" xr:uid="{CF1559BF-9E9E-480F-9CDE-FD339409380F}"/>
    <cellStyle name="Normal 2 3 2 5 3 2" xfId="2273" xr:uid="{E8E62DE8-9AE4-4B22-805E-DC73017632B5}"/>
    <cellStyle name="Normal 2 3 2 5 3 2 2" xfId="5944" xr:uid="{4CED1014-E85E-44A3-97E1-5F037803D468}"/>
    <cellStyle name="Normal 2 3 2 5 3 3" xfId="4225" xr:uid="{97918C74-010E-40F5-A43A-1EDF1AEB2EB3}"/>
    <cellStyle name="Normal 2 3 2 5 4" xfId="770" xr:uid="{2FCEB236-F317-45C6-AB2D-7BC0FA1F279C}"/>
    <cellStyle name="Normal 2 3 2 5 4 2" xfId="2491" xr:uid="{1B93E236-4680-419D-9F0F-288742640438}"/>
    <cellStyle name="Normal 2 3 2 5 4 2 2" xfId="6162" xr:uid="{0F2EC3CE-847F-46CA-89B4-56AF7BE9B030}"/>
    <cellStyle name="Normal 2 3 2 5 4 3" xfId="4443" xr:uid="{534A2B49-CF3F-4D8A-992F-3E43CAAD4C9C}"/>
    <cellStyle name="Normal 2 3 2 5 5" xfId="988" xr:uid="{8BF29674-765A-4AD1-B182-96056AD87DDD}"/>
    <cellStyle name="Normal 2 3 2 5 5 2" xfId="2709" xr:uid="{5FFB31B4-24CA-4034-A80D-43DF17728AB3}"/>
    <cellStyle name="Normal 2 3 2 5 5 2 2" xfId="6380" xr:uid="{271DCA9E-0480-4EB0-B394-3E4B6D994821}"/>
    <cellStyle name="Normal 2 3 2 5 5 3" xfId="4661" xr:uid="{610FB7DA-1616-4D6E-B1E4-7CB030E01A2C}"/>
    <cellStyle name="Normal 2 3 2 5 6" xfId="1206" xr:uid="{EB26462C-021A-4781-AC40-1E15FDA4538A}"/>
    <cellStyle name="Normal 2 3 2 5 6 2" xfId="2927" xr:uid="{78B4ACF3-920B-4A6F-9210-8CF1F3ED9566}"/>
    <cellStyle name="Normal 2 3 2 5 6 2 2" xfId="6598" xr:uid="{02E3BCFA-7265-412C-BDAA-2F9131F2D720}"/>
    <cellStyle name="Normal 2 3 2 5 6 3" xfId="4879" xr:uid="{BA7A58C7-D3F8-4C40-A17C-1CF3DDF02534}"/>
    <cellStyle name="Normal 2 3 2 5 7" xfId="1424" xr:uid="{F1438213-1213-4C36-BE7D-CA1F4F755262}"/>
    <cellStyle name="Normal 2 3 2 5 7 2" xfId="3145" xr:uid="{BBD4FFB2-B124-47EA-8AC5-0AF69F6CAE25}"/>
    <cellStyle name="Normal 2 3 2 5 7 2 2" xfId="6816" xr:uid="{92015A0D-FE90-41C2-88AC-AE4FCA196E84}"/>
    <cellStyle name="Normal 2 3 2 5 7 3" xfId="5097" xr:uid="{7AE1BC89-8669-4119-8AB9-D13FF4D35EF1}"/>
    <cellStyle name="Normal 2 3 2 5 8" xfId="1643" xr:uid="{60F65417-94E9-4693-BFEE-9FCA9A36C31A}"/>
    <cellStyle name="Normal 2 3 2 5 8 2" xfId="3364" xr:uid="{23721A20-419B-42BF-B818-DC7068FF97E6}"/>
    <cellStyle name="Normal 2 3 2 5 8 2 2" xfId="7035" xr:uid="{801038BC-4047-40F3-940A-3058A41F1CE4}"/>
    <cellStyle name="Normal 2 3 2 5 8 3" xfId="5315" xr:uid="{D5F9C101-D14D-413D-A442-337A445D71E3}"/>
    <cellStyle name="Normal 2 3 2 5 9" xfId="1863" xr:uid="{FD194A7C-3819-4B13-B51B-C28160369BAC}"/>
    <cellStyle name="Normal 2 3 2 5 9 2" xfId="5534" xr:uid="{7146DC99-5A10-4852-A948-78937367328F}"/>
    <cellStyle name="Normal 2 3 2 6" xfId="123" xr:uid="{E4DFF366-DBF8-4D3E-A344-2F429A1CD960}"/>
    <cellStyle name="Normal 2 3 2 6 10" xfId="3852" xr:uid="{A9D5625F-965A-47C4-B30A-C6972E4D9285}"/>
    <cellStyle name="Normal 2 3 2 6 2" xfId="369" xr:uid="{E13CBF9F-371B-465B-A005-F56B221D2E38}"/>
    <cellStyle name="Normal 2 3 2 6 2 2" xfId="2068" xr:uid="{5971F248-284C-4213-8CA8-79A2568C0990}"/>
    <cellStyle name="Normal 2 3 2 6 2 2 2" xfId="5739" xr:uid="{3A7EB739-6FC8-4D6B-87CF-79968A400AA4}"/>
    <cellStyle name="Normal 2 3 2 6 2 3" xfId="4032" xr:uid="{9236C8C4-89BB-44CA-B126-CAE9932386C6}"/>
    <cellStyle name="Normal 2 3 2 6 3" xfId="565" xr:uid="{B3D4C159-0E69-4051-806C-BAA355AF9D61}"/>
    <cellStyle name="Normal 2 3 2 6 3 2" xfId="2286" xr:uid="{03C193DD-2475-4448-BE53-3BBF436D23F4}"/>
    <cellStyle name="Normal 2 3 2 6 3 2 2" xfId="5957" xr:uid="{6BEF987A-794F-4C0E-81A5-6E1C9F547EE6}"/>
    <cellStyle name="Normal 2 3 2 6 3 3" xfId="4238" xr:uid="{33CDEE56-9387-498D-886A-55A5EC1285D1}"/>
    <cellStyle name="Normal 2 3 2 6 4" xfId="783" xr:uid="{727B9F49-BC0A-46AA-B664-0BA7EB5BAD2C}"/>
    <cellStyle name="Normal 2 3 2 6 4 2" xfId="2504" xr:uid="{988AECF4-28FB-4BEC-AB98-2FCA70B00D5F}"/>
    <cellStyle name="Normal 2 3 2 6 4 2 2" xfId="6175" xr:uid="{4B448F66-F386-4C84-95E7-1CC5E5D518E4}"/>
    <cellStyle name="Normal 2 3 2 6 4 3" xfId="4456" xr:uid="{012FD561-2475-49E6-A63E-73CF341C0ABA}"/>
    <cellStyle name="Normal 2 3 2 6 5" xfId="1001" xr:uid="{1BDBF4BC-0A4A-4FBF-8712-F278212D218E}"/>
    <cellStyle name="Normal 2 3 2 6 5 2" xfId="2722" xr:uid="{45ADA0B9-7AD5-443D-A2A7-6F37CD147F3A}"/>
    <cellStyle name="Normal 2 3 2 6 5 2 2" xfId="6393" xr:uid="{11687A92-D9C9-4E72-AC8B-36ECB0B416BA}"/>
    <cellStyle name="Normal 2 3 2 6 5 3" xfId="4674" xr:uid="{3648B7F9-967B-4685-BC89-E1F066D2FE50}"/>
    <cellStyle name="Normal 2 3 2 6 6" xfId="1219" xr:uid="{9D0B5400-66F7-4DA2-9D9F-CCA54F115FA8}"/>
    <cellStyle name="Normal 2 3 2 6 6 2" xfId="2940" xr:uid="{7EFE511C-0938-4DD7-961E-406D8BB996DB}"/>
    <cellStyle name="Normal 2 3 2 6 6 2 2" xfId="6611" xr:uid="{1C71B44E-731D-4BEC-902D-BBA8A10FBB33}"/>
    <cellStyle name="Normal 2 3 2 6 6 3" xfId="4892" xr:uid="{0EE48D5F-1EE2-4353-99CE-9A1E6E231937}"/>
    <cellStyle name="Normal 2 3 2 6 7" xfId="1437" xr:uid="{0B910914-0346-46BD-B6F9-E16B70DDB3D6}"/>
    <cellStyle name="Normal 2 3 2 6 7 2" xfId="3158" xr:uid="{6F170514-EE4D-4F56-A5A9-FAA5289CC503}"/>
    <cellStyle name="Normal 2 3 2 6 7 2 2" xfId="6829" xr:uid="{A3CA91B5-2C4F-49BD-901D-B0CB36B198F3}"/>
    <cellStyle name="Normal 2 3 2 6 7 3" xfId="5110" xr:uid="{085E1B97-F58C-48DF-8729-2C67AEF21B3A}"/>
    <cellStyle name="Normal 2 3 2 6 8" xfId="1656" xr:uid="{8F07B053-3C3F-4838-BB7F-1770D7EBA7AD}"/>
    <cellStyle name="Normal 2 3 2 6 8 2" xfId="3377" xr:uid="{16D2FF7C-8B24-4DC3-B8E8-31155D2E41CE}"/>
    <cellStyle name="Normal 2 3 2 6 8 2 2" xfId="7048" xr:uid="{A64E0457-26B2-4390-A150-6D9877F61A28}"/>
    <cellStyle name="Normal 2 3 2 6 8 3" xfId="5328" xr:uid="{FD4DDD96-48DD-4DE4-8010-66D21005D125}"/>
    <cellStyle name="Normal 2 3 2 6 9" xfId="1876" xr:uid="{B8776875-80DF-4ABF-AB6C-7F333EA09ECE}"/>
    <cellStyle name="Normal 2 3 2 6 9 2" xfId="5547" xr:uid="{153274BE-E5A5-4447-A37D-A660D92098A3}"/>
    <cellStyle name="Normal 2 3 2 7" xfId="136" xr:uid="{57210B4C-214F-4CAF-9C18-AAFC4F4523C6}"/>
    <cellStyle name="Normal 2 3 2 7 10" xfId="3865" xr:uid="{5088E39D-D537-4449-BC04-5F157F3D6333}"/>
    <cellStyle name="Normal 2 3 2 7 2" xfId="382" xr:uid="{C380E64E-7FF6-4C2F-90F0-BC2B520FB35D}"/>
    <cellStyle name="Normal 2 3 2 7 2 2" xfId="2081" xr:uid="{C199DFF8-23F2-4447-82FE-5CDF1AFB4659}"/>
    <cellStyle name="Normal 2 3 2 7 2 2 2" xfId="5752" xr:uid="{7780965E-8C73-470F-ACD9-73BB9EEAA87B}"/>
    <cellStyle name="Normal 2 3 2 7 2 3" xfId="4045" xr:uid="{D88BA974-9300-478E-B820-0D1AEE1F5836}"/>
    <cellStyle name="Normal 2 3 2 7 3" xfId="578" xr:uid="{32633CF2-697E-4E79-876D-477F4C2FB389}"/>
    <cellStyle name="Normal 2 3 2 7 3 2" xfId="2299" xr:uid="{A98662C4-6B6B-426E-B855-8BC7B745115C}"/>
    <cellStyle name="Normal 2 3 2 7 3 2 2" xfId="5970" xr:uid="{5DD194C3-7D91-4FD3-A7F6-7D6F88BB58C6}"/>
    <cellStyle name="Normal 2 3 2 7 3 3" xfId="4251" xr:uid="{3F5AEF43-9465-425F-85A8-E598A36A7595}"/>
    <cellStyle name="Normal 2 3 2 7 4" xfId="796" xr:uid="{3A7E1CD2-0933-4BBB-B4A5-95F0DAB30AC5}"/>
    <cellStyle name="Normal 2 3 2 7 4 2" xfId="2517" xr:uid="{1B7778D5-46E5-4C3D-B069-64ECEFE06D0B}"/>
    <cellStyle name="Normal 2 3 2 7 4 2 2" xfId="6188" xr:uid="{62D3E36A-19AE-452C-843C-C2DACB4991A8}"/>
    <cellStyle name="Normal 2 3 2 7 4 3" xfId="4469" xr:uid="{4700436B-1D76-4E66-8DF0-3177F3002602}"/>
    <cellStyle name="Normal 2 3 2 7 5" xfId="1014" xr:uid="{07568872-595D-4905-8626-57B494C4571F}"/>
    <cellStyle name="Normal 2 3 2 7 5 2" xfId="2735" xr:uid="{5452626F-5CCF-4515-BF51-F15CE0F97A3E}"/>
    <cellStyle name="Normal 2 3 2 7 5 2 2" xfId="6406" xr:uid="{29859FED-1EDA-4841-84ED-D629AEA22A2F}"/>
    <cellStyle name="Normal 2 3 2 7 5 3" xfId="4687" xr:uid="{DD12139C-76A3-440B-897A-CE9DE65748A8}"/>
    <cellStyle name="Normal 2 3 2 7 6" xfId="1232" xr:uid="{3E8407BD-5E40-4E63-A57E-5A5023B0AE5F}"/>
    <cellStyle name="Normal 2 3 2 7 6 2" xfId="2953" xr:uid="{8406F00C-5F29-40D4-9502-6107FBDBB544}"/>
    <cellStyle name="Normal 2 3 2 7 6 2 2" xfId="6624" xr:uid="{878253E3-94B8-4EB5-B0C2-6C74C5F17D3F}"/>
    <cellStyle name="Normal 2 3 2 7 6 3" xfId="4905" xr:uid="{45E32F0A-B2D2-4653-BD43-19169CB7B358}"/>
    <cellStyle name="Normal 2 3 2 7 7" xfId="1450" xr:uid="{39CE2153-2275-4E1B-96CD-616373496712}"/>
    <cellStyle name="Normal 2 3 2 7 7 2" xfId="3171" xr:uid="{87359EF7-0B2F-4622-9579-AC4B9A6A9338}"/>
    <cellStyle name="Normal 2 3 2 7 7 2 2" xfId="6842" xr:uid="{F75C2006-F1B9-4BD0-9525-93363D7A6883}"/>
    <cellStyle name="Normal 2 3 2 7 7 3" xfId="5123" xr:uid="{F9C5E2CF-09C6-4F38-ADC3-BFBC38C29CA3}"/>
    <cellStyle name="Normal 2 3 2 7 8" xfId="1669" xr:uid="{235721A7-60C3-469F-8119-381B3702A20C}"/>
    <cellStyle name="Normal 2 3 2 7 8 2" xfId="3390" xr:uid="{C6F90738-8A2F-483A-AFFA-B563365C0C77}"/>
    <cellStyle name="Normal 2 3 2 7 8 2 2" xfId="7061" xr:uid="{C75F3041-E9CC-4F95-AE4C-02E5C63481A3}"/>
    <cellStyle name="Normal 2 3 2 7 8 3" xfId="5341" xr:uid="{DB6FDE91-0690-4A56-9727-FF7DCB1EBE72}"/>
    <cellStyle name="Normal 2 3 2 7 9" xfId="1889" xr:uid="{581C8981-0BFD-4DE7-9003-41C1C0A4F561}"/>
    <cellStyle name="Normal 2 3 2 7 9 2" xfId="5560" xr:uid="{6E7431BE-5C1E-41E4-B190-5D9ADDD724A1}"/>
    <cellStyle name="Normal 2 3 2 8" xfId="149" xr:uid="{A28A8754-1ADD-4B72-8F53-115BD8C827B4}"/>
    <cellStyle name="Normal 2 3 2 8 10" xfId="3878" xr:uid="{C235AA18-9562-449D-A0DA-162E03A62DFC}"/>
    <cellStyle name="Normal 2 3 2 8 2" xfId="395" xr:uid="{60D0614B-4549-4519-B6DE-70DD20FE99D4}"/>
    <cellStyle name="Normal 2 3 2 8 2 2" xfId="2094" xr:uid="{D0090F06-0701-4B05-B1A1-FAA87C18800A}"/>
    <cellStyle name="Normal 2 3 2 8 2 2 2" xfId="5765" xr:uid="{0A9BEAFC-F535-4106-AEA6-432AB52EF2E8}"/>
    <cellStyle name="Normal 2 3 2 8 2 3" xfId="4058" xr:uid="{1D4E403B-E904-448C-8E9D-652E00DF4523}"/>
    <cellStyle name="Normal 2 3 2 8 3" xfId="591" xr:uid="{0B788F77-CC9C-4E26-BA3B-0757EDF5DF25}"/>
    <cellStyle name="Normal 2 3 2 8 3 2" xfId="2312" xr:uid="{217718A8-D0F7-49C8-8D1A-920897DBFDA7}"/>
    <cellStyle name="Normal 2 3 2 8 3 2 2" xfId="5983" xr:uid="{F8C3AB3B-7BC5-4DD8-A41B-86B562588F2E}"/>
    <cellStyle name="Normal 2 3 2 8 3 3" xfId="4264" xr:uid="{ACC5F7E7-352B-4B3B-BD44-CCA908227C42}"/>
    <cellStyle name="Normal 2 3 2 8 4" xfId="809" xr:uid="{7DDEA2AB-E60D-4DAE-B063-3850EECCFAF7}"/>
    <cellStyle name="Normal 2 3 2 8 4 2" xfId="2530" xr:uid="{2C103C6A-E0C4-4769-80C3-C80DB99A7091}"/>
    <cellStyle name="Normal 2 3 2 8 4 2 2" xfId="6201" xr:uid="{402F7F5A-EA75-4EE5-9DCB-03AECC1B19F7}"/>
    <cellStyle name="Normal 2 3 2 8 4 3" xfId="4482" xr:uid="{20188625-00C5-4AE1-A748-842DE5064F3D}"/>
    <cellStyle name="Normal 2 3 2 8 5" xfId="1027" xr:uid="{5DE0A087-4B3A-481D-8DB9-50F820F9888A}"/>
    <cellStyle name="Normal 2 3 2 8 5 2" xfId="2748" xr:uid="{373CD095-A2FA-4C6E-9460-6DF0935A8061}"/>
    <cellStyle name="Normal 2 3 2 8 5 2 2" xfId="6419" xr:uid="{343333BA-2B35-4A15-A9E7-1D8586D087D4}"/>
    <cellStyle name="Normal 2 3 2 8 5 3" xfId="4700" xr:uid="{6734262A-4784-4BCC-8B65-65A407F0CF71}"/>
    <cellStyle name="Normal 2 3 2 8 6" xfId="1245" xr:uid="{9453AC58-D489-46A0-8A67-5A25888044E9}"/>
    <cellStyle name="Normal 2 3 2 8 6 2" xfId="2966" xr:uid="{89C32C42-6370-4CF3-B513-861627C4E42B}"/>
    <cellStyle name="Normal 2 3 2 8 6 2 2" xfId="6637" xr:uid="{68272E40-3278-4A3A-9F96-76DE4AD4A008}"/>
    <cellStyle name="Normal 2 3 2 8 6 3" xfId="4918" xr:uid="{5A2887F7-7B72-43AF-968B-1A5298FB51C8}"/>
    <cellStyle name="Normal 2 3 2 8 7" xfId="1463" xr:uid="{8A1668D7-A1AB-467B-B607-7BDD59594A0B}"/>
    <cellStyle name="Normal 2 3 2 8 7 2" xfId="3184" xr:uid="{6F11E2C1-7B31-4EF5-8943-9F0393512679}"/>
    <cellStyle name="Normal 2 3 2 8 7 2 2" xfId="6855" xr:uid="{923BA649-2AF3-4D93-806E-60519830E2FA}"/>
    <cellStyle name="Normal 2 3 2 8 7 3" xfId="5136" xr:uid="{72D8A247-2837-441C-9CB7-155757C199DB}"/>
    <cellStyle name="Normal 2 3 2 8 8" xfId="1682" xr:uid="{847068C8-3E9E-429F-9314-66679A05D959}"/>
    <cellStyle name="Normal 2 3 2 8 8 2" xfId="3403" xr:uid="{3689F639-88A9-4DA0-8918-CF6E0E2BAC8E}"/>
    <cellStyle name="Normal 2 3 2 8 8 2 2" xfId="7074" xr:uid="{7F5F73DE-91C1-4B97-857E-0DA79386E969}"/>
    <cellStyle name="Normal 2 3 2 8 8 3" xfId="5354" xr:uid="{EA6F7628-F5EE-49FD-BC15-AE2E3AD13C24}"/>
    <cellStyle name="Normal 2 3 2 8 9" xfId="1902" xr:uid="{8C2CA3E5-9D37-4580-9D73-148096CC29FF}"/>
    <cellStyle name="Normal 2 3 2 8 9 2" xfId="5573" xr:uid="{4AE2D3FD-7A3D-477B-A754-C0A23A9DCF0A}"/>
    <cellStyle name="Normal 2 3 2 9" xfId="162" xr:uid="{D587849D-68D7-437E-9EDB-5DCD8B00F617}"/>
    <cellStyle name="Normal 2 3 2 9 10" xfId="3891" xr:uid="{89F6F140-95CE-404E-ACA5-837288AD983B}"/>
    <cellStyle name="Normal 2 3 2 9 2" xfId="408" xr:uid="{1332C229-AD3B-41C3-B2CD-0A0FD12E2D21}"/>
    <cellStyle name="Normal 2 3 2 9 2 2" xfId="2107" xr:uid="{628855A2-ACA7-4A03-AB10-9E5FFF5CE0D4}"/>
    <cellStyle name="Normal 2 3 2 9 2 2 2" xfId="5778" xr:uid="{CDE118F3-41B6-426F-903D-1F9170E3D5B7}"/>
    <cellStyle name="Normal 2 3 2 9 2 3" xfId="4071" xr:uid="{277234C7-16CD-4713-AC0F-2B35E95DDF4B}"/>
    <cellStyle name="Normal 2 3 2 9 3" xfId="604" xr:uid="{2224CDB7-BDD8-40E6-93FD-DAEA93101222}"/>
    <cellStyle name="Normal 2 3 2 9 3 2" xfId="2325" xr:uid="{C04794CF-C144-45F7-8C7C-9E7A48B3FE37}"/>
    <cellStyle name="Normal 2 3 2 9 3 2 2" xfId="5996" xr:uid="{7CDF5342-4233-404A-93D8-62A251B34181}"/>
    <cellStyle name="Normal 2 3 2 9 3 3" xfId="4277" xr:uid="{028A0FEC-A732-4357-B473-48CC44B319D7}"/>
    <cellStyle name="Normal 2 3 2 9 4" xfId="822" xr:uid="{26ED46AF-B831-4B7E-8D34-4ECE85E70A8A}"/>
    <cellStyle name="Normal 2 3 2 9 4 2" xfId="2543" xr:uid="{C7540E73-F1F0-40DB-BD4E-9DE1E065E32D}"/>
    <cellStyle name="Normal 2 3 2 9 4 2 2" xfId="6214" xr:uid="{69AB9597-1A18-4A04-A168-FC397C9065C1}"/>
    <cellStyle name="Normal 2 3 2 9 4 3" xfId="4495" xr:uid="{6C4B972E-0A7C-4D02-9FC5-A9D18A06C75E}"/>
    <cellStyle name="Normal 2 3 2 9 5" xfId="1040" xr:uid="{F69FE6CB-18C0-435B-8161-950FE1E18B62}"/>
    <cellStyle name="Normal 2 3 2 9 5 2" xfId="2761" xr:uid="{E01F612D-3ADC-44BB-A5BC-453D61ACB84B}"/>
    <cellStyle name="Normal 2 3 2 9 5 2 2" xfId="6432" xr:uid="{374078B6-97F0-4EC3-A0A3-EEDDFCD0A8BE}"/>
    <cellStyle name="Normal 2 3 2 9 5 3" xfId="4713" xr:uid="{B8A7F0CE-FC6B-4476-A8C9-F64063BF4D6D}"/>
    <cellStyle name="Normal 2 3 2 9 6" xfId="1258" xr:uid="{70028B81-D525-46C1-99DD-C9133A7B69A3}"/>
    <cellStyle name="Normal 2 3 2 9 6 2" xfId="2979" xr:uid="{31DA4CC9-ADCB-4330-97AA-F81E35669946}"/>
    <cellStyle name="Normal 2 3 2 9 6 2 2" xfId="6650" xr:uid="{68FD6FEE-E9E6-4119-AC77-38673E891A3D}"/>
    <cellStyle name="Normal 2 3 2 9 6 3" xfId="4931" xr:uid="{E15D858E-3FAA-4B2B-8EB6-120270020000}"/>
    <cellStyle name="Normal 2 3 2 9 7" xfId="1476" xr:uid="{1937999A-1275-4AD8-AFC1-E1F237C33C5F}"/>
    <cellStyle name="Normal 2 3 2 9 7 2" xfId="3197" xr:uid="{2233CBFA-6BAA-406C-ADDA-CC43018129F4}"/>
    <cellStyle name="Normal 2 3 2 9 7 2 2" xfId="6868" xr:uid="{F656D42C-41E1-4F77-838B-1AA4AA5CCF26}"/>
    <cellStyle name="Normal 2 3 2 9 7 3" xfId="5149" xr:uid="{AFB0E3C7-20E8-45D9-AB95-DEC7509C75C6}"/>
    <cellStyle name="Normal 2 3 2 9 8" xfId="1695" xr:uid="{3A99D43B-23E5-44BB-A802-D2F0736B9496}"/>
    <cellStyle name="Normal 2 3 2 9 8 2" xfId="3416" xr:uid="{FA1E855B-4D0A-41B2-895F-F4F11BBC430C}"/>
    <cellStyle name="Normal 2 3 2 9 8 2 2" xfId="7087" xr:uid="{FCE52DD7-84A7-42BB-B09A-6DCA61EBCDCA}"/>
    <cellStyle name="Normal 2 3 2 9 8 3" xfId="5367" xr:uid="{AAFBB2D3-86D0-41A1-976F-17FF78B8D872}"/>
    <cellStyle name="Normal 2 3 2 9 9" xfId="1915" xr:uid="{1595B993-4935-4F8C-AA55-4C91E495210B}"/>
    <cellStyle name="Normal 2 3 2 9 9 2" xfId="5586" xr:uid="{CE3F5EB3-42BE-4119-B8DB-619BE758CC61}"/>
    <cellStyle name="Normal 2 3 20" xfId="712" xr:uid="{7E054891-CF53-465C-BEE0-AA661B004F18}"/>
    <cellStyle name="Normal 2 3 20 2" xfId="2433" xr:uid="{F67161F8-13DA-4E86-B9EB-1E377EE41429}"/>
    <cellStyle name="Normal 2 3 20 2 2" xfId="6104" xr:uid="{112B4656-3392-4184-9AD5-D8C514F25A7C}"/>
    <cellStyle name="Normal 2 3 20 3" xfId="4385" xr:uid="{53F431A6-CE26-42A2-B480-45F661C1F72F}"/>
    <cellStyle name="Normal 2 3 21" xfId="930" xr:uid="{B77F43CB-4D8E-4CE5-A8C2-792658B8F8FE}"/>
    <cellStyle name="Normal 2 3 21 2" xfId="2651" xr:uid="{189B50E4-DBFD-40D7-9D06-20BFF6433206}"/>
    <cellStyle name="Normal 2 3 21 2 2" xfId="6322" xr:uid="{70C9CA19-9606-40E2-AAAA-FFE6190D6D22}"/>
    <cellStyle name="Normal 2 3 21 3" xfId="4603" xr:uid="{5C57E3A5-C4B7-4E4E-8603-6D86C413DE0A}"/>
    <cellStyle name="Normal 2 3 22" xfId="1148" xr:uid="{B001F525-2F79-4C6B-AF5D-15C9C7A9F67F}"/>
    <cellStyle name="Normal 2 3 22 2" xfId="2869" xr:uid="{051B2D21-7C51-410C-BA5F-F369589D1504}"/>
    <cellStyle name="Normal 2 3 22 2 2" xfId="6540" xr:uid="{47756395-6F8E-432C-B80D-0219F7795C5F}"/>
    <cellStyle name="Normal 2 3 22 3" xfId="4821" xr:uid="{FBE1E6E7-7F5F-4B74-A18D-8FF8D4C720D5}"/>
    <cellStyle name="Normal 2 3 23" xfId="1366" xr:uid="{DB9890D9-7764-4175-B8FC-16D9ABA44DC5}"/>
    <cellStyle name="Normal 2 3 23 2" xfId="3087" xr:uid="{198C7A81-75B1-42B4-8D91-7222D989AE79}"/>
    <cellStyle name="Normal 2 3 23 2 2" xfId="6758" xr:uid="{D61BB064-F1FF-48C8-88D0-5747F1226A48}"/>
    <cellStyle name="Normal 2 3 23 3" xfId="5039" xr:uid="{81C32672-320E-45D7-BCB5-4A6A4E924F9B}"/>
    <cellStyle name="Normal 2 3 24" xfId="1585" xr:uid="{29980AF3-C299-44A8-986B-66CCC2CCC7B5}"/>
    <cellStyle name="Normal 2 3 24 2" xfId="3306" xr:uid="{75828DBF-14B7-4623-97C7-4DF7BA9D19BF}"/>
    <cellStyle name="Normal 2 3 24 2 2" xfId="6977" xr:uid="{4F8B8952-5881-457C-92CB-5F6A8E31C503}"/>
    <cellStyle name="Normal 2 3 24 3" xfId="5257" xr:uid="{183AA1CD-D9C9-4B28-9666-FDD65723927F}"/>
    <cellStyle name="Normal 2 3 25" xfId="1805" xr:uid="{FCB94F84-B3D2-4C4E-A2E7-FDAC5183B75C}"/>
    <cellStyle name="Normal 2 3 25 2" xfId="5476" xr:uid="{931A73AC-8E7F-4160-96F7-930F39AD4314}"/>
    <cellStyle name="Normal 2 3 26" xfId="3781" xr:uid="{E45C4446-0983-4DE1-B2B9-CDC28A89100F}"/>
    <cellStyle name="Normal 2 3 3" xfId="65" xr:uid="{E4486435-42E0-42E7-BF99-EF2AA07E26CD}"/>
    <cellStyle name="Normal 2 3 3 10" xfId="3794" xr:uid="{B190B293-B938-4D1B-A5CA-0A9EF4738B85}"/>
    <cellStyle name="Normal 2 3 3 2" xfId="311" xr:uid="{F3BD20A4-56B6-4E2D-9460-DB12EA0AD5DC}"/>
    <cellStyle name="Normal 2 3 3 2 2" xfId="2010" xr:uid="{37175E04-85E0-4A1F-9DDD-5484AC731973}"/>
    <cellStyle name="Normal 2 3 3 2 2 2" xfId="5681" xr:uid="{D2704A9E-B641-4CFF-8A6D-AC508C0CAE55}"/>
    <cellStyle name="Normal 2 3 3 2 3" xfId="3624" xr:uid="{266FC78D-B788-467E-8A50-C941096448CB}"/>
    <cellStyle name="Normal 2 3 3 3" xfId="507" xr:uid="{D27C9873-E63B-4F4E-AEFA-028A0ACBF8B6}"/>
    <cellStyle name="Normal 2 3 3 3 2" xfId="2228" xr:uid="{C028D594-AC6F-414A-AA87-FCDB4AF61F5D}"/>
    <cellStyle name="Normal 2 3 3 3 2 2" xfId="5899" xr:uid="{59EF892F-140C-4C21-B14E-7BACC7F69439}"/>
    <cellStyle name="Normal 2 3 3 3 3" xfId="3598" xr:uid="{7BD7C317-03F0-40A1-8FF1-7484A2DDF016}"/>
    <cellStyle name="Normal 2 3 3 4" xfId="725" xr:uid="{E6EE34DB-A4FF-4341-BF27-8E655FE7A8F9}"/>
    <cellStyle name="Normal 2 3 3 4 2" xfId="2446" xr:uid="{50F324B5-E42A-4EE9-BD04-F2484FFAA053}"/>
    <cellStyle name="Normal 2 3 3 4 2 2" xfId="6117" xr:uid="{C92FA14F-1BF8-49D5-9AFE-1C99E7A0AAB3}"/>
    <cellStyle name="Normal 2 3 3 4 3" xfId="4398" xr:uid="{65FF9EBA-8883-417C-AA8E-8F6B8594F305}"/>
    <cellStyle name="Normal 2 3 3 5" xfId="943" xr:uid="{BF39B213-DE7A-42C0-8D60-4B64370577F9}"/>
    <cellStyle name="Normal 2 3 3 5 2" xfId="2664" xr:uid="{24300942-B1B3-4CF1-BEE0-136861CABAE6}"/>
    <cellStyle name="Normal 2 3 3 5 2 2" xfId="6335" xr:uid="{43CF48FA-0FFC-415E-AC40-EFEE4B99DD9F}"/>
    <cellStyle name="Normal 2 3 3 5 3" xfId="4616" xr:uid="{DEE7217F-AF5E-48E5-816B-1CFEB259B963}"/>
    <cellStyle name="Normal 2 3 3 6" xfId="1161" xr:uid="{C4A09F73-3AA3-4AB8-AB97-E99A44DD402D}"/>
    <cellStyle name="Normal 2 3 3 6 2" xfId="2882" xr:uid="{964EEEEC-0A22-45A7-B8DE-C9A76C013860}"/>
    <cellStyle name="Normal 2 3 3 6 2 2" xfId="6553" xr:uid="{271BC8A7-8FCD-4305-8EAE-5D18C3844C8A}"/>
    <cellStyle name="Normal 2 3 3 6 3" xfId="4834" xr:uid="{C8D14607-7E87-4683-9DA6-A9ED25163649}"/>
    <cellStyle name="Normal 2 3 3 7" xfId="1379" xr:uid="{A3FF539A-C962-46D9-BA94-57AAC26411FF}"/>
    <cellStyle name="Normal 2 3 3 7 2" xfId="3100" xr:uid="{0CA481B5-2E9A-4558-917D-EDF205EF14E5}"/>
    <cellStyle name="Normal 2 3 3 7 2 2" xfId="6771" xr:uid="{C7ED85E1-F4E3-48DD-8A42-44EA001C402C}"/>
    <cellStyle name="Normal 2 3 3 7 3" xfId="5052" xr:uid="{E1794946-DB04-4AA7-A4D4-3829BFC38416}"/>
    <cellStyle name="Normal 2 3 3 8" xfId="1598" xr:uid="{23ACC9F7-9753-4CEF-B151-8F8780434AA1}"/>
    <cellStyle name="Normal 2 3 3 8 2" xfId="3319" xr:uid="{73198001-0891-46EC-B4F1-086536FB6342}"/>
    <cellStyle name="Normal 2 3 3 8 2 2" xfId="6990" xr:uid="{35716089-412C-4DC5-9148-C2348B20DE6B}"/>
    <cellStyle name="Normal 2 3 3 8 3" xfId="5270" xr:uid="{2797D5EA-3C69-41B5-B356-E201E191BD4B}"/>
    <cellStyle name="Normal 2 3 3 9" xfId="1818" xr:uid="{D6FF5A6D-A4BA-4D7A-925C-D352EB6C4725}"/>
    <cellStyle name="Normal 2 3 3 9 2" xfId="5489" xr:uid="{D7E15670-22A1-42D3-B697-EF69ADD209BD}"/>
    <cellStyle name="Normal 2 3 4" xfId="78" xr:uid="{2D272195-28E8-496C-B910-D349C0B441F5}"/>
    <cellStyle name="Normal 2 3 4 10" xfId="3807" xr:uid="{59AC8759-D525-42AE-9581-8DDFC1ECCE13}"/>
    <cellStyle name="Normal 2 3 4 2" xfId="324" xr:uid="{35127ED0-E455-4458-A8D8-E3E810570FDE}"/>
    <cellStyle name="Normal 2 3 4 2 2" xfId="2023" xr:uid="{E427C67C-9576-4D6C-A94F-9ED8EA58F66A}"/>
    <cellStyle name="Normal 2 3 4 2 2 2" xfId="5694" xr:uid="{6DF71043-8A90-4D10-A87E-1CD6A3B3D85D}"/>
    <cellStyle name="Normal 2 3 4 2 3" xfId="3632" xr:uid="{8FEDF163-7985-43F2-B397-108AFD95DACE}"/>
    <cellStyle name="Normal 2 3 4 3" xfId="520" xr:uid="{FDC38C35-458E-446B-BB56-E420CB734395}"/>
    <cellStyle name="Normal 2 3 4 3 2" xfId="2241" xr:uid="{E93D349E-8E45-4016-9E71-14CB176BF7FC}"/>
    <cellStyle name="Normal 2 3 4 3 2 2" xfId="5912" xr:uid="{A358B5D3-F506-4EE6-9230-4A4C6A31C624}"/>
    <cellStyle name="Normal 2 3 4 3 3" xfId="3606" xr:uid="{56A59DB0-2C58-47B6-A4D8-C9EB507CB8AC}"/>
    <cellStyle name="Normal 2 3 4 4" xfId="738" xr:uid="{51A1CB22-855B-448A-B3C1-B2488EAC6680}"/>
    <cellStyle name="Normal 2 3 4 4 2" xfId="2459" xr:uid="{E1DD5AB0-D3BD-4ADF-B50B-BA9844AD3FA0}"/>
    <cellStyle name="Normal 2 3 4 4 2 2" xfId="6130" xr:uid="{11C7BF96-8468-4307-B3D0-852384617025}"/>
    <cellStyle name="Normal 2 3 4 4 3" xfId="4411" xr:uid="{711740AC-B845-4B88-B521-9C47C5EDA13F}"/>
    <cellStyle name="Normal 2 3 4 5" xfId="956" xr:uid="{F407F1BC-1015-4C3B-A436-E1E3D69DAFC9}"/>
    <cellStyle name="Normal 2 3 4 5 2" xfId="2677" xr:uid="{26FE5CD2-558B-4835-B485-7B6F3E16E696}"/>
    <cellStyle name="Normal 2 3 4 5 2 2" xfId="6348" xr:uid="{01BF5C8B-11C1-4207-98AE-AD031D3342FF}"/>
    <cellStyle name="Normal 2 3 4 5 3" xfId="4629" xr:uid="{3D5750B8-C04C-4B40-9B67-49C8649F42CE}"/>
    <cellStyle name="Normal 2 3 4 6" xfId="1174" xr:uid="{D49D86F7-1712-4D47-A8B2-CC1F411D5F25}"/>
    <cellStyle name="Normal 2 3 4 6 2" xfId="2895" xr:uid="{CE827797-4B3F-41D8-95EE-FA2F69189304}"/>
    <cellStyle name="Normal 2 3 4 6 2 2" xfId="6566" xr:uid="{E29A76FE-B63D-4B57-ABD9-4827544D4ECA}"/>
    <cellStyle name="Normal 2 3 4 6 3" xfId="4847" xr:uid="{EF4866B1-0E27-4BB9-8B42-B13ABD931458}"/>
    <cellStyle name="Normal 2 3 4 7" xfId="1392" xr:uid="{05FEF400-1BF7-4C76-98A5-039870DAC981}"/>
    <cellStyle name="Normal 2 3 4 7 2" xfId="3113" xr:uid="{2550403C-4613-4B60-B765-5143EA8C0F71}"/>
    <cellStyle name="Normal 2 3 4 7 2 2" xfId="6784" xr:uid="{31D2E5F0-4454-45A2-84C8-04CD4ACA3C78}"/>
    <cellStyle name="Normal 2 3 4 7 3" xfId="5065" xr:uid="{C9750E0E-642A-4115-A128-01E5CC11B90A}"/>
    <cellStyle name="Normal 2 3 4 8" xfId="1611" xr:uid="{D8459D97-68CC-4651-8C7B-75FEE7A28427}"/>
    <cellStyle name="Normal 2 3 4 8 2" xfId="3332" xr:uid="{9DF85327-C98E-40B3-B106-9C7E025D0011}"/>
    <cellStyle name="Normal 2 3 4 8 2 2" xfId="7003" xr:uid="{E39BDEED-5489-43ED-85A5-64BCC19DF767}"/>
    <cellStyle name="Normal 2 3 4 8 3" xfId="5283" xr:uid="{5CF19AEB-537F-4DBF-B71D-CD4A377C336A}"/>
    <cellStyle name="Normal 2 3 4 9" xfId="1831" xr:uid="{4AB04C67-06D0-461E-BCF5-2505FB726C93}"/>
    <cellStyle name="Normal 2 3 4 9 2" xfId="5502" xr:uid="{BB172686-FAE4-4B1B-A56A-51DAAD8A26DC}"/>
    <cellStyle name="Normal 2 3 5" xfId="91" xr:uid="{418FCEB2-41AE-47E8-A81C-1A7B0E379DDF}"/>
    <cellStyle name="Normal 2 3 5 10" xfId="3820" xr:uid="{64F6C114-7C1B-418F-B144-5C5675FC5C26}"/>
    <cellStyle name="Normal 2 3 5 2" xfId="337" xr:uid="{B1B90198-2658-473E-962B-9C1C41B0D2DD}"/>
    <cellStyle name="Normal 2 3 5 2 2" xfId="2036" xr:uid="{A6272597-D06C-493F-8745-29AD427EACD5}"/>
    <cellStyle name="Normal 2 3 5 2 2 2" xfId="5707" xr:uid="{6051F48A-2B90-43A5-8E69-88D82858EA1B}"/>
    <cellStyle name="Normal 2 3 5 2 3" xfId="3642" xr:uid="{3A2585CA-0F3F-495F-B290-097777D19DED}"/>
    <cellStyle name="Normal 2 3 5 3" xfId="533" xr:uid="{23255441-2216-462A-8C6A-FEBFFD2CE079}"/>
    <cellStyle name="Normal 2 3 5 3 2" xfId="2254" xr:uid="{1A3F0694-634A-4C56-B369-CBBBD0A2CC8C}"/>
    <cellStyle name="Normal 2 3 5 3 2 2" xfId="5925" xr:uid="{D6CC56E0-542E-44E4-8A7F-ABAF60AAB3AA}"/>
    <cellStyle name="Normal 2 3 5 3 3" xfId="3616" xr:uid="{BF12C669-4135-4453-AE2A-C0C2F11577F0}"/>
    <cellStyle name="Normal 2 3 5 4" xfId="751" xr:uid="{49A47A61-6B42-49D3-AF2F-3A5270FD80C2}"/>
    <cellStyle name="Normal 2 3 5 4 2" xfId="2472" xr:uid="{B9635F9C-BA5A-4A06-A31D-809092CD3611}"/>
    <cellStyle name="Normal 2 3 5 4 2 2" xfId="6143" xr:uid="{22C04E90-A060-4805-8B7A-1CA1327936BA}"/>
    <cellStyle name="Normal 2 3 5 4 3" xfId="4424" xr:uid="{5D8F14EE-D388-417B-9FE7-64B3A2E3437F}"/>
    <cellStyle name="Normal 2 3 5 5" xfId="969" xr:uid="{3C562D38-D942-4318-82F5-49F162E7BF84}"/>
    <cellStyle name="Normal 2 3 5 5 2" xfId="2690" xr:uid="{01D272B7-0C2C-4075-896B-EDEC9EA028E1}"/>
    <cellStyle name="Normal 2 3 5 5 2 2" xfId="6361" xr:uid="{F5016072-C383-48D9-AF2E-4981B13C3413}"/>
    <cellStyle name="Normal 2 3 5 5 3" xfId="4642" xr:uid="{6F6998AC-866F-4582-898C-13C6D9807CFE}"/>
    <cellStyle name="Normal 2 3 5 6" xfId="1187" xr:uid="{820E7545-EE3F-4AC2-A55E-051C8CC05F67}"/>
    <cellStyle name="Normal 2 3 5 6 2" xfId="2908" xr:uid="{03DE9535-C7FA-486B-9ABE-2F81342BCF13}"/>
    <cellStyle name="Normal 2 3 5 6 2 2" xfId="6579" xr:uid="{B30407B0-7DAA-40F7-A87C-535F869F9F1B}"/>
    <cellStyle name="Normal 2 3 5 6 3" xfId="4860" xr:uid="{0D7755D3-E2A2-4449-A8A0-C4577D911816}"/>
    <cellStyle name="Normal 2 3 5 7" xfId="1405" xr:uid="{A91BACAC-2238-4EDD-96B9-589AEAC089A5}"/>
    <cellStyle name="Normal 2 3 5 7 2" xfId="3126" xr:uid="{3680644B-F1B1-4F90-82A0-7ADA67FAA590}"/>
    <cellStyle name="Normal 2 3 5 7 2 2" xfId="6797" xr:uid="{256E937F-E851-4039-8F09-8B1A2914D306}"/>
    <cellStyle name="Normal 2 3 5 7 3" xfId="5078" xr:uid="{82E49802-888F-4274-A49B-6F2080C8D65A}"/>
    <cellStyle name="Normal 2 3 5 8" xfId="1624" xr:uid="{14E047E2-6DB7-45FE-B741-FB7F6F5C994D}"/>
    <cellStyle name="Normal 2 3 5 8 2" xfId="3345" xr:uid="{E945C4FB-B910-4C26-A51C-66AAFD4BB158}"/>
    <cellStyle name="Normal 2 3 5 8 2 2" xfId="7016" xr:uid="{033CE125-A8A5-4AD9-939F-CFB35A4BE78B}"/>
    <cellStyle name="Normal 2 3 5 8 3" xfId="5296" xr:uid="{90F7F701-A83F-47A2-B702-050ED402181E}"/>
    <cellStyle name="Normal 2 3 5 9" xfId="1844" xr:uid="{29F67A84-3335-4FB5-AC3A-BB88CB7C7444}"/>
    <cellStyle name="Normal 2 3 5 9 2" xfId="5515" xr:uid="{736E1584-BC8C-45D7-9C5E-8794C653BA13}"/>
    <cellStyle name="Normal 2 3 6" xfId="104" xr:uid="{4A5274BB-01E6-494B-BA16-CBF5F0F0A04C}"/>
    <cellStyle name="Normal 2 3 6 10" xfId="3833" xr:uid="{6A40DD14-7311-4A1C-AF68-3827A1B67830}"/>
    <cellStyle name="Normal 2 3 6 2" xfId="350" xr:uid="{6F0C50A1-485C-487E-9872-2F4A33C2BE73}"/>
    <cellStyle name="Normal 2 3 6 2 2" xfId="2049" xr:uid="{C1EE188A-826E-4EEA-A227-DC749AD15E66}"/>
    <cellStyle name="Normal 2 3 6 2 2 2" xfId="5720" xr:uid="{1906C196-57F9-4F22-9DDB-23FFBC211B8A}"/>
    <cellStyle name="Normal 2 3 6 2 3" xfId="4013" xr:uid="{349721B6-6390-4FA6-B910-EE211A433DC5}"/>
    <cellStyle name="Normal 2 3 6 3" xfId="546" xr:uid="{ADF5E104-74A2-43AE-9590-1E45FAAB3F3B}"/>
    <cellStyle name="Normal 2 3 6 3 2" xfId="2267" xr:uid="{3F288E92-100D-422B-AFAA-2FC939C5A4CA}"/>
    <cellStyle name="Normal 2 3 6 3 2 2" xfId="5938" xr:uid="{B0687F82-4F0B-4630-A4AE-BAE0C49A4153}"/>
    <cellStyle name="Normal 2 3 6 3 3" xfId="4219" xr:uid="{E45A51B3-E515-46CE-97F8-3C1095ACEF49}"/>
    <cellStyle name="Normal 2 3 6 4" xfId="764" xr:uid="{31A19EDA-86EB-4BD8-B293-79F19B33E7FA}"/>
    <cellStyle name="Normal 2 3 6 4 2" xfId="2485" xr:uid="{D72E7166-02E0-498B-BB4C-8503716667C9}"/>
    <cellStyle name="Normal 2 3 6 4 2 2" xfId="6156" xr:uid="{40BBDA52-70C4-420A-AC29-0B4486CE9864}"/>
    <cellStyle name="Normal 2 3 6 4 3" xfId="4437" xr:uid="{5EEB1D70-9A50-4BEF-8698-FB80546EF0D7}"/>
    <cellStyle name="Normal 2 3 6 5" xfId="982" xr:uid="{C4D1257E-AE0D-4B2D-B485-9FA734E1C580}"/>
    <cellStyle name="Normal 2 3 6 5 2" xfId="2703" xr:uid="{B9E232AD-A683-4676-9CAF-EFCD260EBBFA}"/>
    <cellStyle name="Normal 2 3 6 5 2 2" xfId="6374" xr:uid="{1A3E57B8-B5C5-44A9-93CC-24B1737B3555}"/>
    <cellStyle name="Normal 2 3 6 5 3" xfId="4655" xr:uid="{6C9BD3E8-F8C7-4F7E-A2C8-5CF806F6A466}"/>
    <cellStyle name="Normal 2 3 6 6" xfId="1200" xr:uid="{779AB906-2A07-417F-956F-F4F79F7D29E2}"/>
    <cellStyle name="Normal 2 3 6 6 2" xfId="2921" xr:uid="{9CEB6CBE-4586-4768-80C1-B442CA0425CC}"/>
    <cellStyle name="Normal 2 3 6 6 2 2" xfId="6592" xr:uid="{8F22D961-8980-4A61-B36E-977483F094E0}"/>
    <cellStyle name="Normal 2 3 6 6 3" xfId="4873" xr:uid="{070266F9-B49B-411B-A07D-37BF5C3A3071}"/>
    <cellStyle name="Normal 2 3 6 7" xfId="1418" xr:uid="{ECCA1169-7035-4DAC-902E-1EAF334A9152}"/>
    <cellStyle name="Normal 2 3 6 7 2" xfId="3139" xr:uid="{53D753E9-AFE7-48E2-82D2-36A9B44650D5}"/>
    <cellStyle name="Normal 2 3 6 7 2 2" xfId="6810" xr:uid="{75CAE4E6-6B23-4B08-A101-5E1AB5F59400}"/>
    <cellStyle name="Normal 2 3 6 7 3" xfId="5091" xr:uid="{870489CC-2E20-421F-A4C2-85A1CB8CDCB5}"/>
    <cellStyle name="Normal 2 3 6 8" xfId="1637" xr:uid="{C161354C-BB85-4857-89FC-3C8410E59534}"/>
    <cellStyle name="Normal 2 3 6 8 2" xfId="3358" xr:uid="{8EDFEED3-E469-4FB4-99B1-31E6C1987D76}"/>
    <cellStyle name="Normal 2 3 6 8 2 2" xfId="7029" xr:uid="{3867FF20-17DE-43BB-9FC8-5182E67148CF}"/>
    <cellStyle name="Normal 2 3 6 8 3" xfId="5309" xr:uid="{2BE789BD-C749-4991-8E6E-27D42A3AA6C8}"/>
    <cellStyle name="Normal 2 3 6 9" xfId="1857" xr:uid="{C0B62528-AC6A-4160-9CFB-60CA154F020E}"/>
    <cellStyle name="Normal 2 3 6 9 2" xfId="5528" xr:uid="{481C08FA-A02E-483E-9C8C-50B5B478F441}"/>
    <cellStyle name="Normal 2 3 7" xfId="117" xr:uid="{D3FB2510-9F2F-4423-AF27-938AA5F37F22}"/>
    <cellStyle name="Normal 2 3 7 10" xfId="3846" xr:uid="{D441FE1E-AECE-4DEB-807B-F1D98C98C9A0}"/>
    <cellStyle name="Normal 2 3 7 2" xfId="363" xr:uid="{B41A8B47-7F6D-4F6C-B0F4-E1AAE9A846FF}"/>
    <cellStyle name="Normal 2 3 7 2 2" xfId="2062" xr:uid="{892E0D8A-F785-4E79-87B0-A5CFAE69461A}"/>
    <cellStyle name="Normal 2 3 7 2 2 2" xfId="5733" xr:uid="{3FFB566D-CE46-4382-B769-1324643278A6}"/>
    <cellStyle name="Normal 2 3 7 2 3" xfId="4026" xr:uid="{25AA88E0-5419-4746-B1B4-0F467EB6D0CE}"/>
    <cellStyle name="Normal 2 3 7 3" xfId="559" xr:uid="{C8D6F372-E533-43D3-8FAD-4096A01F2914}"/>
    <cellStyle name="Normal 2 3 7 3 2" xfId="2280" xr:uid="{6FA936BD-71E7-44B0-B167-9D4FB29D7665}"/>
    <cellStyle name="Normal 2 3 7 3 2 2" xfId="5951" xr:uid="{EAF776A5-A58B-4FD1-8B00-4C9E19735741}"/>
    <cellStyle name="Normal 2 3 7 3 3" xfId="4232" xr:uid="{AE6E93CB-F6B5-4A94-99DB-44BC72E434F7}"/>
    <cellStyle name="Normal 2 3 7 4" xfId="777" xr:uid="{1EDE6F48-A432-42D0-9FA5-375883B429CE}"/>
    <cellStyle name="Normal 2 3 7 4 2" xfId="2498" xr:uid="{37A0F899-802B-4212-8EF2-96600C327050}"/>
    <cellStyle name="Normal 2 3 7 4 2 2" xfId="6169" xr:uid="{190CD827-97D1-4A52-ABDC-585B209925D5}"/>
    <cellStyle name="Normal 2 3 7 4 3" xfId="4450" xr:uid="{B291CD3D-E21C-4C19-9CE1-275F00B09961}"/>
    <cellStyle name="Normal 2 3 7 5" xfId="995" xr:uid="{8FF6C750-B5A1-4C65-B420-25A7186E9618}"/>
    <cellStyle name="Normal 2 3 7 5 2" xfId="2716" xr:uid="{B48287DB-DC68-49E7-A0C0-AC66350A94BF}"/>
    <cellStyle name="Normal 2 3 7 5 2 2" xfId="6387" xr:uid="{465C690D-48F6-4CE0-8563-9CEA670F628D}"/>
    <cellStyle name="Normal 2 3 7 5 3" xfId="4668" xr:uid="{F16A9751-72C0-4D0A-8C4B-9F9ABE73B795}"/>
    <cellStyle name="Normal 2 3 7 6" xfId="1213" xr:uid="{96B46B73-6A20-4C61-B0EC-CFD68576F8EF}"/>
    <cellStyle name="Normal 2 3 7 6 2" xfId="2934" xr:uid="{5ED9809C-3AAC-43A3-8514-55B69C128DC3}"/>
    <cellStyle name="Normal 2 3 7 6 2 2" xfId="6605" xr:uid="{2977240B-98B3-40AA-B625-C90C7A460B1B}"/>
    <cellStyle name="Normal 2 3 7 6 3" xfId="4886" xr:uid="{CF8D39AE-C828-45DC-87FB-322CC694A0BE}"/>
    <cellStyle name="Normal 2 3 7 7" xfId="1431" xr:uid="{1533CA22-04C2-44A9-A4EC-F5C1DE66BF4B}"/>
    <cellStyle name="Normal 2 3 7 7 2" xfId="3152" xr:uid="{9318AA7C-958F-4ADE-A3BB-C123925C4C44}"/>
    <cellStyle name="Normal 2 3 7 7 2 2" xfId="6823" xr:uid="{71779AC5-18C7-4D29-8D52-EE223B369027}"/>
    <cellStyle name="Normal 2 3 7 7 3" xfId="5104" xr:uid="{4A9E623D-01BE-4C61-8CC3-BB0A0947ECAF}"/>
    <cellStyle name="Normal 2 3 7 8" xfId="1650" xr:uid="{F3565502-8730-48C7-B509-7AF14D167777}"/>
    <cellStyle name="Normal 2 3 7 8 2" xfId="3371" xr:uid="{5EC3F3A6-B6A4-4B0F-BE6D-9595E3518DD7}"/>
    <cellStyle name="Normal 2 3 7 8 2 2" xfId="7042" xr:uid="{28920D5D-D931-4AAF-90CC-39C851C58B19}"/>
    <cellStyle name="Normal 2 3 7 8 3" xfId="5322" xr:uid="{0D9D952C-0C64-4039-9AA7-053AFB128C7B}"/>
    <cellStyle name="Normal 2 3 7 9" xfId="1870" xr:uid="{240A2671-EDA5-484C-86F6-C4326497C90E}"/>
    <cellStyle name="Normal 2 3 7 9 2" xfId="5541" xr:uid="{9586C933-B836-42FE-9269-3300F3C5573F}"/>
    <cellStyle name="Normal 2 3 8" xfId="130" xr:uid="{7F6DCF91-8B48-497C-AB96-3A0F3FB97409}"/>
    <cellStyle name="Normal 2 3 8 10" xfId="3859" xr:uid="{0B6ED43A-797A-443F-83FE-3BCF4C51587C}"/>
    <cellStyle name="Normal 2 3 8 2" xfId="376" xr:uid="{16EB2197-9C8F-44E2-BA1A-D0598070B45A}"/>
    <cellStyle name="Normal 2 3 8 2 2" xfId="2075" xr:uid="{6A65E329-2930-4F1F-9896-3D5348F1BC12}"/>
    <cellStyle name="Normal 2 3 8 2 2 2" xfId="5746" xr:uid="{88465079-DFC7-459D-8472-6BA3383D0046}"/>
    <cellStyle name="Normal 2 3 8 2 3" xfId="4039" xr:uid="{B122EEEF-9293-4144-A33C-9906853B6873}"/>
    <cellStyle name="Normal 2 3 8 3" xfId="572" xr:uid="{02DC69E9-3781-4BFC-9F9F-3EBE9888C704}"/>
    <cellStyle name="Normal 2 3 8 3 2" xfId="2293" xr:uid="{44850B1F-7DC2-49CD-87EB-A2EC7C646678}"/>
    <cellStyle name="Normal 2 3 8 3 2 2" xfId="5964" xr:uid="{100B644E-3C28-44CB-BAD8-25AA0AAB89DD}"/>
    <cellStyle name="Normal 2 3 8 3 3" xfId="4245" xr:uid="{2D4DEB42-2DAF-4509-A153-3E6E6A46486F}"/>
    <cellStyle name="Normal 2 3 8 4" xfId="790" xr:uid="{DD2C635D-FBC5-4FE3-A6DA-1CDCFF229D36}"/>
    <cellStyle name="Normal 2 3 8 4 2" xfId="2511" xr:uid="{A46EE73A-8456-4B29-A9F0-DFE51AE2FEC1}"/>
    <cellStyle name="Normal 2 3 8 4 2 2" xfId="6182" xr:uid="{C1EAC7C4-63E9-4488-B0B0-73192CC8C01C}"/>
    <cellStyle name="Normal 2 3 8 4 3" xfId="4463" xr:uid="{F57362E4-96E1-4327-B0E0-F041A9F61CD0}"/>
    <cellStyle name="Normal 2 3 8 5" xfId="1008" xr:uid="{A08B46AE-FD62-4BC7-AE1C-77E40532CCD0}"/>
    <cellStyle name="Normal 2 3 8 5 2" xfId="2729" xr:uid="{B6E12049-62E0-4BF2-AA0B-64A50E344D97}"/>
    <cellStyle name="Normal 2 3 8 5 2 2" xfId="6400" xr:uid="{CA16CB3A-4E18-4A90-9006-BD037A247E49}"/>
    <cellStyle name="Normal 2 3 8 5 3" xfId="4681" xr:uid="{AFC0209B-D216-4585-987E-8ABD4E7AD300}"/>
    <cellStyle name="Normal 2 3 8 6" xfId="1226" xr:uid="{B75284F9-D172-42B0-9271-5224225FA778}"/>
    <cellStyle name="Normal 2 3 8 6 2" xfId="2947" xr:uid="{DFFF9B2B-85C2-4682-A7B6-B063A9323601}"/>
    <cellStyle name="Normal 2 3 8 6 2 2" xfId="6618" xr:uid="{BBB670B7-AC9F-4FD0-9AAC-538D407EAB1D}"/>
    <cellStyle name="Normal 2 3 8 6 3" xfId="4899" xr:uid="{9584D9C6-8CDF-4F29-B3BE-4E02B7E2EC51}"/>
    <cellStyle name="Normal 2 3 8 7" xfId="1444" xr:uid="{70FF8FA7-084B-42FE-BDA9-7BB8C284CFCD}"/>
    <cellStyle name="Normal 2 3 8 7 2" xfId="3165" xr:uid="{0DC4599A-0C02-42A9-8A77-07715974D96F}"/>
    <cellStyle name="Normal 2 3 8 7 2 2" xfId="6836" xr:uid="{CE23CBA8-A709-4F62-8138-D88DED0459AE}"/>
    <cellStyle name="Normal 2 3 8 7 3" xfId="5117" xr:uid="{A31A86A2-E8BB-488C-9FE8-5CAB9024BC0A}"/>
    <cellStyle name="Normal 2 3 8 8" xfId="1663" xr:uid="{F5C851C8-EF49-44AD-A610-905095F2A383}"/>
    <cellStyle name="Normal 2 3 8 8 2" xfId="3384" xr:uid="{A86D19FE-A58C-481E-A10C-7473F18EFB2E}"/>
    <cellStyle name="Normal 2 3 8 8 2 2" xfId="7055" xr:uid="{1394FAB2-BA08-4FF0-AE5C-A4586BD5C65F}"/>
    <cellStyle name="Normal 2 3 8 8 3" xfId="5335" xr:uid="{FD24ED82-2AB3-4CAC-B017-BCAB2311FE48}"/>
    <cellStyle name="Normal 2 3 8 9" xfId="1883" xr:uid="{D6FB8D25-46E2-4494-BE28-EACDF3D41315}"/>
    <cellStyle name="Normal 2 3 8 9 2" xfId="5554" xr:uid="{7D5C9423-9202-48B3-82AE-D19FE9EF0B87}"/>
    <cellStyle name="Normal 2 3 9" xfId="143" xr:uid="{D09D405B-06B6-4622-943E-16FE8284CAD8}"/>
    <cellStyle name="Normal 2 3 9 10" xfId="3872" xr:uid="{6CECEF09-B507-4A1C-912B-1E8943668C6A}"/>
    <cellStyle name="Normal 2 3 9 2" xfId="389" xr:uid="{3E66E293-0570-460A-9486-306E9BDD15F5}"/>
    <cellStyle name="Normal 2 3 9 2 2" xfId="2088" xr:uid="{8C2D22B5-1C81-4933-B3AE-0159271A4598}"/>
    <cellStyle name="Normal 2 3 9 2 2 2" xfId="5759" xr:uid="{C0DA822F-ED7A-4405-981D-9D97182A066C}"/>
    <cellStyle name="Normal 2 3 9 2 3" xfId="4052" xr:uid="{3BDFB119-B57C-42B4-8BD6-2FBD07EC3CC3}"/>
    <cellStyle name="Normal 2 3 9 3" xfId="585" xr:uid="{2EE1E4DF-883D-4F3A-B5DD-D9D123315E65}"/>
    <cellStyle name="Normal 2 3 9 3 2" xfId="2306" xr:uid="{824370F8-81BF-42A4-A3E4-03738480317F}"/>
    <cellStyle name="Normal 2 3 9 3 2 2" xfId="5977" xr:uid="{472F4C33-C7AB-4FBC-A090-B61200DA34ED}"/>
    <cellStyle name="Normal 2 3 9 3 3" xfId="4258" xr:uid="{3752B412-9881-4509-B605-3C78B1720E36}"/>
    <cellStyle name="Normal 2 3 9 4" xfId="803" xr:uid="{D237D5FD-C37D-47F8-835F-E0F685986AC1}"/>
    <cellStyle name="Normal 2 3 9 4 2" xfId="2524" xr:uid="{96091E6F-FF1D-43FA-A26B-A2331FECCAD1}"/>
    <cellStyle name="Normal 2 3 9 4 2 2" xfId="6195" xr:uid="{B88717D3-42D3-4DE9-93D2-4AC98A4B519C}"/>
    <cellStyle name="Normal 2 3 9 4 3" xfId="4476" xr:uid="{7ACE71B6-844C-4780-A108-83AFD1293164}"/>
    <cellStyle name="Normal 2 3 9 5" xfId="1021" xr:uid="{EF17D726-7AAB-438A-98D3-EFBA1337F854}"/>
    <cellStyle name="Normal 2 3 9 5 2" xfId="2742" xr:uid="{00FF235F-542F-4212-ADD2-339DD706FF04}"/>
    <cellStyle name="Normal 2 3 9 5 2 2" xfId="6413" xr:uid="{21A49B63-B2C6-4803-9EC5-90CD7687C3D2}"/>
    <cellStyle name="Normal 2 3 9 5 3" xfId="4694" xr:uid="{8A57E2B6-2BD1-426F-B87C-7261D0C9ACB0}"/>
    <cellStyle name="Normal 2 3 9 6" xfId="1239" xr:uid="{67987EDC-9CFE-4A95-BB6A-6FB53CD881E6}"/>
    <cellStyle name="Normal 2 3 9 6 2" xfId="2960" xr:uid="{507A86A0-889B-4333-A6F1-C813AA034FCC}"/>
    <cellStyle name="Normal 2 3 9 6 2 2" xfId="6631" xr:uid="{2DE0AD26-AAC4-4899-9CA8-E732AE41A1B9}"/>
    <cellStyle name="Normal 2 3 9 6 3" xfId="4912" xr:uid="{397D7EB7-2310-4233-94B2-AFE865A977C7}"/>
    <cellStyle name="Normal 2 3 9 7" xfId="1457" xr:uid="{02B1EA8C-D0F0-4E14-A4CE-C8FD439A92FA}"/>
    <cellStyle name="Normal 2 3 9 7 2" xfId="3178" xr:uid="{9E9C218C-96F5-41C2-9030-8FC7C99E17B3}"/>
    <cellStyle name="Normal 2 3 9 7 2 2" xfId="6849" xr:uid="{F98C546A-C058-4E5A-BEB2-F639B7AD1FAF}"/>
    <cellStyle name="Normal 2 3 9 7 3" xfId="5130" xr:uid="{12302F2E-1A00-46FE-B5ED-4EBFA5C20AB4}"/>
    <cellStyle name="Normal 2 3 9 8" xfId="1676" xr:uid="{66BACCD6-72F4-4EF7-A61A-9AC5A1459A26}"/>
    <cellStyle name="Normal 2 3 9 8 2" xfId="3397" xr:uid="{6BE306A9-E921-401C-8A0B-B7C3B7B29966}"/>
    <cellStyle name="Normal 2 3 9 8 2 2" xfId="7068" xr:uid="{0DB8F636-3408-4E8C-AABD-CE5615615429}"/>
    <cellStyle name="Normal 2 3 9 8 3" xfId="5348" xr:uid="{C6784FCB-3872-413D-8A02-59297D332EC5}"/>
    <cellStyle name="Normal 2 3 9 9" xfId="1896" xr:uid="{2F0B38A9-7172-4155-A10D-5DE6F91A3DB8}"/>
    <cellStyle name="Normal 2 3 9 9 2" xfId="5567" xr:uid="{53B6DF10-6AC6-460E-8FF0-037EF15D29A3}"/>
    <cellStyle name="Normal 2 4" xfId="56" xr:uid="{2F80AE93-1ECB-49B7-808A-A21D080EFEC9}"/>
    <cellStyle name="Normal 2 4 10" xfId="172" xr:uid="{618A3126-B554-4D69-BCEE-BBBCF13C7315}"/>
    <cellStyle name="Normal 2 4 10 10" xfId="3901" xr:uid="{5DF3A236-8454-43C8-A876-B153943C95F1}"/>
    <cellStyle name="Normal 2 4 10 2" xfId="418" xr:uid="{F017127A-9676-4C64-BA09-A38BCD873CD5}"/>
    <cellStyle name="Normal 2 4 10 2 2" xfId="2117" xr:uid="{AD1F3464-8A3A-4D95-9626-96C655D32695}"/>
    <cellStyle name="Normal 2 4 10 2 2 2" xfId="5788" xr:uid="{029C4C53-F20D-4933-BFBC-C7FD5DF4E603}"/>
    <cellStyle name="Normal 2 4 10 2 3" xfId="4081" xr:uid="{957BB05B-B1EB-4872-8548-DB13A10AE6A4}"/>
    <cellStyle name="Normal 2 4 10 3" xfId="614" xr:uid="{F1EA54C5-FC94-4A2C-8811-E3AE8223D1CB}"/>
    <cellStyle name="Normal 2 4 10 3 2" xfId="2335" xr:uid="{C297377A-549E-40AA-AC0C-09FD931057D9}"/>
    <cellStyle name="Normal 2 4 10 3 2 2" xfId="6006" xr:uid="{672B322F-B371-4881-8F46-BD559D700B98}"/>
    <cellStyle name="Normal 2 4 10 3 3" xfId="4287" xr:uid="{84B3ADA8-8860-4501-8C06-5178549EB266}"/>
    <cellStyle name="Normal 2 4 10 4" xfId="832" xr:uid="{7109B7A1-250A-41A0-9B17-36B636DB13D9}"/>
    <cellStyle name="Normal 2 4 10 4 2" xfId="2553" xr:uid="{C1CC619B-10CC-47D8-B050-E7F05BCC002E}"/>
    <cellStyle name="Normal 2 4 10 4 2 2" xfId="6224" xr:uid="{E1DC6FF3-BF40-4870-886E-02D969A63D7C}"/>
    <cellStyle name="Normal 2 4 10 4 3" xfId="4505" xr:uid="{09875E31-B634-4EA5-A546-D8C5081B51FB}"/>
    <cellStyle name="Normal 2 4 10 5" xfId="1050" xr:uid="{A6828601-9CF5-4F62-8D81-51D09D4F5D1E}"/>
    <cellStyle name="Normal 2 4 10 5 2" xfId="2771" xr:uid="{D4386174-ED50-41E6-BCBF-A22FF6A741AB}"/>
    <cellStyle name="Normal 2 4 10 5 2 2" xfId="6442" xr:uid="{245CDC18-8945-41FE-901C-1C5995D1D2BF}"/>
    <cellStyle name="Normal 2 4 10 5 3" xfId="4723" xr:uid="{5EACB1A7-E5F5-481D-B3B9-D304A11F8630}"/>
    <cellStyle name="Normal 2 4 10 6" xfId="1268" xr:uid="{93D06982-8B79-4A88-B31D-7DD325ADDF43}"/>
    <cellStyle name="Normal 2 4 10 6 2" xfId="2989" xr:uid="{204C8153-B8C3-4897-A7EA-8BEC9A330EB9}"/>
    <cellStyle name="Normal 2 4 10 6 2 2" xfId="6660" xr:uid="{B597CF33-2496-4D0D-A1DA-61285ED36EE9}"/>
    <cellStyle name="Normal 2 4 10 6 3" xfId="4941" xr:uid="{EDA1E123-1DE5-4BE4-B7F0-4323BB67E578}"/>
    <cellStyle name="Normal 2 4 10 7" xfId="1486" xr:uid="{26EF8DAF-B310-4399-AB59-DA92A37353F8}"/>
    <cellStyle name="Normal 2 4 10 7 2" xfId="3207" xr:uid="{5452F390-B9E5-4DD3-8A6A-525D3C955185}"/>
    <cellStyle name="Normal 2 4 10 7 2 2" xfId="6878" xr:uid="{A98D35B7-0593-4B5E-84BD-20D591342DE4}"/>
    <cellStyle name="Normal 2 4 10 7 3" xfId="5159" xr:uid="{F9683997-D71C-41A8-BA32-E4244821A692}"/>
    <cellStyle name="Normal 2 4 10 8" xfId="1705" xr:uid="{ACC3393F-B991-4499-8D21-C279DB7B042F}"/>
    <cellStyle name="Normal 2 4 10 8 2" xfId="3426" xr:uid="{81D9A5C3-6AD2-4E66-B709-EFA3913C7B10}"/>
    <cellStyle name="Normal 2 4 10 8 2 2" xfId="7097" xr:uid="{247EE721-18CB-46BD-B270-F00CE3D5F4D2}"/>
    <cellStyle name="Normal 2 4 10 8 3" xfId="5377" xr:uid="{FA00F903-4152-4CB4-BC99-6760277144C9}"/>
    <cellStyle name="Normal 2 4 10 9" xfId="1925" xr:uid="{489DAAA4-C5EA-486B-AB88-A4DCC219AF4D}"/>
    <cellStyle name="Normal 2 4 10 9 2" xfId="5596" xr:uid="{25EE0154-33F8-4A5F-B829-B6F25E30A2B9}"/>
    <cellStyle name="Normal 2 4 11" xfId="185" xr:uid="{0BC6EB6C-BDCF-446E-BB80-11C2C1CBD821}"/>
    <cellStyle name="Normal 2 4 11 10" xfId="3914" xr:uid="{851AF5E5-E82F-4D96-8088-348D373DEFF2}"/>
    <cellStyle name="Normal 2 4 11 2" xfId="431" xr:uid="{A37D3792-D488-428A-8342-EBC48292DC6E}"/>
    <cellStyle name="Normal 2 4 11 2 2" xfId="2130" xr:uid="{BA219A02-436A-43F2-A2F6-0CCFB7E3270F}"/>
    <cellStyle name="Normal 2 4 11 2 2 2" xfId="5801" xr:uid="{107FFD72-90E9-4B6D-A86A-FF2E03484B63}"/>
    <cellStyle name="Normal 2 4 11 2 3" xfId="4094" xr:uid="{956B4B87-0722-4B63-8A9B-B2E353885BB7}"/>
    <cellStyle name="Normal 2 4 11 3" xfId="627" xr:uid="{7F550DA1-AF86-4074-9901-7E126B36922C}"/>
    <cellStyle name="Normal 2 4 11 3 2" xfId="2348" xr:uid="{22B7A5B8-8B36-4D28-BBD2-A26F065A868E}"/>
    <cellStyle name="Normal 2 4 11 3 2 2" xfId="6019" xr:uid="{F5EAE49A-2943-4B10-B661-DF79DDFB0096}"/>
    <cellStyle name="Normal 2 4 11 3 3" xfId="4300" xr:uid="{B761E7E1-4903-4EDD-8592-D34B1F3F584A}"/>
    <cellStyle name="Normal 2 4 11 4" xfId="845" xr:uid="{DB93595D-C5C2-4691-A8BE-0D3D7ADCB108}"/>
    <cellStyle name="Normal 2 4 11 4 2" xfId="2566" xr:uid="{55BD623B-345B-4FEE-A7B1-64258C466357}"/>
    <cellStyle name="Normal 2 4 11 4 2 2" xfId="6237" xr:uid="{7AF70B5A-BC11-4BC0-9457-6591D46C11CB}"/>
    <cellStyle name="Normal 2 4 11 4 3" xfId="4518" xr:uid="{0CA35555-97A9-43E5-A75A-052DFF5927F0}"/>
    <cellStyle name="Normal 2 4 11 5" xfId="1063" xr:uid="{B28EEE68-8314-49D6-9222-51B98DAA1A29}"/>
    <cellStyle name="Normal 2 4 11 5 2" xfId="2784" xr:uid="{66CF6C73-CD15-45EE-9E2B-067DC8F26968}"/>
    <cellStyle name="Normal 2 4 11 5 2 2" xfId="6455" xr:uid="{EBD8D1C0-F43E-451A-BADF-44DCEC98FB12}"/>
    <cellStyle name="Normal 2 4 11 5 3" xfId="4736" xr:uid="{8C67BD6A-601B-4885-9810-E66A102B3FFE}"/>
    <cellStyle name="Normal 2 4 11 6" xfId="1281" xr:uid="{3516AA88-B917-48DA-8DFE-59F32234F394}"/>
    <cellStyle name="Normal 2 4 11 6 2" xfId="3002" xr:uid="{DB33B1FA-BD37-4042-B3D9-C1C5AB62A2FD}"/>
    <cellStyle name="Normal 2 4 11 6 2 2" xfId="6673" xr:uid="{5F7C480E-72D5-4F92-A2EB-9AA2570C930F}"/>
    <cellStyle name="Normal 2 4 11 6 3" xfId="4954" xr:uid="{798230C0-4548-4896-B47B-69AA836F1AA1}"/>
    <cellStyle name="Normal 2 4 11 7" xfId="1499" xr:uid="{639FC4B3-946C-4835-B765-C789E03AF6D5}"/>
    <cellStyle name="Normal 2 4 11 7 2" xfId="3220" xr:uid="{D3B6B1D7-19E1-441F-9FD3-166799024572}"/>
    <cellStyle name="Normal 2 4 11 7 2 2" xfId="6891" xr:uid="{1001634F-F137-4EAB-BA1B-4CE483F8E73D}"/>
    <cellStyle name="Normal 2 4 11 7 3" xfId="5172" xr:uid="{74A405F8-11EB-41D4-B8DC-5E4DFF0F1044}"/>
    <cellStyle name="Normal 2 4 11 8" xfId="1718" xr:uid="{835C046C-3F87-40D4-ACB7-21E1325E0863}"/>
    <cellStyle name="Normal 2 4 11 8 2" xfId="3439" xr:uid="{8B84D857-0802-457E-8DD2-37FD1A7D1D24}"/>
    <cellStyle name="Normal 2 4 11 8 2 2" xfId="7110" xr:uid="{21829C2D-7ADE-4F29-B1A0-05D8DD1D8057}"/>
    <cellStyle name="Normal 2 4 11 8 3" xfId="5390" xr:uid="{3E151E8F-EC18-4010-9E33-B54B616BDD41}"/>
    <cellStyle name="Normal 2 4 11 9" xfId="1938" xr:uid="{AA8657A3-02E8-4DE8-8ADE-DCCEA9A8AE06}"/>
    <cellStyle name="Normal 2 4 11 9 2" xfId="5609" xr:uid="{3992947C-1553-49CA-8B52-F6BAD376A2A0}"/>
    <cellStyle name="Normal 2 4 12" xfId="198" xr:uid="{2AC11CE9-C352-4B2F-A138-933139027CBB}"/>
    <cellStyle name="Normal 2 4 12 10" xfId="3927" xr:uid="{38C9A017-01A6-4D22-B55E-774D7B4E1C34}"/>
    <cellStyle name="Normal 2 4 12 2" xfId="444" xr:uid="{22ABD960-A77E-42C8-8E29-2F9ABB23F09D}"/>
    <cellStyle name="Normal 2 4 12 2 2" xfId="2143" xr:uid="{F7CC75B2-A8EB-497B-8290-05C374E74F92}"/>
    <cellStyle name="Normal 2 4 12 2 2 2" xfId="5814" xr:uid="{959DFC49-17AA-4F03-8425-5A70740DF15A}"/>
    <cellStyle name="Normal 2 4 12 2 3" xfId="4107" xr:uid="{788D422B-A600-4EDE-93DE-6E54AFD072F7}"/>
    <cellStyle name="Normal 2 4 12 3" xfId="640" xr:uid="{0F621F93-E7E2-4E7C-8560-D1B6FB9044BD}"/>
    <cellStyle name="Normal 2 4 12 3 2" xfId="2361" xr:uid="{6A5BD9A1-7184-4238-AC09-E2D10A043F9A}"/>
    <cellStyle name="Normal 2 4 12 3 2 2" xfId="6032" xr:uid="{30A0F039-15E3-47CB-A1FD-FAAA3DE5321D}"/>
    <cellStyle name="Normal 2 4 12 3 3" xfId="4313" xr:uid="{EBD03BC9-47E0-41C2-84B9-CF008350DB8C}"/>
    <cellStyle name="Normal 2 4 12 4" xfId="858" xr:uid="{3D0678B2-70BE-404A-98F9-4AA269D676F7}"/>
    <cellStyle name="Normal 2 4 12 4 2" xfId="2579" xr:uid="{2B2FDEBF-6DCF-4017-812E-5C0AFAF42E72}"/>
    <cellStyle name="Normal 2 4 12 4 2 2" xfId="6250" xr:uid="{40955E45-6A9D-4158-A63B-C5465064D3DE}"/>
    <cellStyle name="Normal 2 4 12 4 3" xfId="4531" xr:uid="{4B9FC089-DC53-431E-A1E5-610865DD1365}"/>
    <cellStyle name="Normal 2 4 12 5" xfId="1076" xr:uid="{6F320ECF-C5AB-47DC-894A-175AAC05E1CD}"/>
    <cellStyle name="Normal 2 4 12 5 2" xfId="2797" xr:uid="{BBC7000E-F9C0-4CCB-A40F-B23BBC8FA967}"/>
    <cellStyle name="Normal 2 4 12 5 2 2" xfId="6468" xr:uid="{94FC4BCB-2550-47F3-85F8-A2AC4B7A976C}"/>
    <cellStyle name="Normal 2 4 12 5 3" xfId="4749" xr:uid="{7088CE94-0E74-40DD-A9E0-305AF00E0258}"/>
    <cellStyle name="Normal 2 4 12 6" xfId="1294" xr:uid="{069E7F28-33A5-4EB7-8728-A344D14BDABA}"/>
    <cellStyle name="Normal 2 4 12 6 2" xfId="3015" xr:uid="{F528EF63-FC77-45B0-8E49-7D8FC8A177E0}"/>
    <cellStyle name="Normal 2 4 12 6 2 2" xfId="6686" xr:uid="{AC9E4D55-1565-42DE-B365-444F5BC239A4}"/>
    <cellStyle name="Normal 2 4 12 6 3" xfId="4967" xr:uid="{F453018B-19C7-4F74-98CE-37BE3CBC4A1D}"/>
    <cellStyle name="Normal 2 4 12 7" xfId="1512" xr:uid="{DC81A91D-2986-4EA5-A0B5-29C4AE01F462}"/>
    <cellStyle name="Normal 2 4 12 7 2" xfId="3233" xr:uid="{A8D101B3-2BD7-4C3B-9D70-A58AA2C51D1B}"/>
    <cellStyle name="Normal 2 4 12 7 2 2" xfId="6904" xr:uid="{94E5F341-80B1-4FDC-8213-700FAA5FE822}"/>
    <cellStyle name="Normal 2 4 12 7 3" xfId="5185" xr:uid="{F640ED5D-EBC9-41BD-8B68-8DA0B3084804}"/>
    <cellStyle name="Normal 2 4 12 8" xfId="1731" xr:uid="{BED59D0A-648A-4648-AA5D-9C797FF72B94}"/>
    <cellStyle name="Normal 2 4 12 8 2" xfId="3452" xr:uid="{84953427-07E8-49C8-A233-B33942E39C32}"/>
    <cellStyle name="Normal 2 4 12 8 2 2" xfId="7123" xr:uid="{F728EF36-79E9-4427-991A-E827BA2BE2EF}"/>
    <cellStyle name="Normal 2 4 12 8 3" xfId="5403" xr:uid="{32B0F4D8-A035-4A30-822B-36FE6F981BAC}"/>
    <cellStyle name="Normal 2 4 12 9" xfId="1951" xr:uid="{080B4271-ABEB-4A21-B698-028858948CD8}"/>
    <cellStyle name="Normal 2 4 12 9 2" xfId="5622" xr:uid="{1CA3E33D-2A27-476E-BDCB-952449659016}"/>
    <cellStyle name="Normal 2 4 13" xfId="223" xr:uid="{78E85D22-CA28-4F7A-AF2E-9FF39ECFFF73}"/>
    <cellStyle name="Normal 2 4 13 10" xfId="3950" xr:uid="{0D436E8A-4A7C-43E3-BF4D-0DC01C161626}"/>
    <cellStyle name="Normal 2 4 13 2" xfId="467" xr:uid="{821C85B7-D4B0-41CE-BD11-CD32BD0F4D46}"/>
    <cellStyle name="Normal 2 4 13 2 2" xfId="2166" xr:uid="{D17EA1D6-3CCC-4513-BDCC-30637A4A3732}"/>
    <cellStyle name="Normal 2 4 13 2 2 2" xfId="5837" xr:uid="{8F364216-E409-440A-AD5B-A2AA536AD319}"/>
    <cellStyle name="Normal 2 4 13 2 3" xfId="4130" xr:uid="{57A86585-8A33-4382-9671-B19800DF954D}"/>
    <cellStyle name="Normal 2 4 13 3" xfId="663" xr:uid="{DA2F67DD-787A-4A70-A699-7FA8DEA7E197}"/>
    <cellStyle name="Normal 2 4 13 3 2" xfId="2384" xr:uid="{FC85F9FC-331E-4428-8740-0FD3CFEFD741}"/>
    <cellStyle name="Normal 2 4 13 3 2 2" xfId="6055" xr:uid="{00B00EFD-46D1-48A2-B7F9-05CD6B37AB21}"/>
    <cellStyle name="Normal 2 4 13 3 3" xfId="4336" xr:uid="{6914009E-2C67-464C-8979-A7FF539A8A84}"/>
    <cellStyle name="Normal 2 4 13 4" xfId="881" xr:uid="{9ABE9A13-0744-4ADE-95C5-2DEE89046E59}"/>
    <cellStyle name="Normal 2 4 13 4 2" xfId="2602" xr:uid="{54C0C2A1-D3D8-4CEB-A6E0-5CB09D047083}"/>
    <cellStyle name="Normal 2 4 13 4 2 2" xfId="6273" xr:uid="{33E4E4EA-2CF6-4426-AA7F-FFB4BB52B2A7}"/>
    <cellStyle name="Normal 2 4 13 4 3" xfId="4554" xr:uid="{D03F932F-59CF-4B16-B280-1196BB9456E2}"/>
    <cellStyle name="Normal 2 4 13 5" xfId="1099" xr:uid="{5981EFC1-F54D-4318-9D7A-696347EC3A1F}"/>
    <cellStyle name="Normal 2 4 13 5 2" xfId="2820" xr:uid="{381E3FF1-A36C-417E-8C64-89E8995E95A6}"/>
    <cellStyle name="Normal 2 4 13 5 2 2" xfId="6491" xr:uid="{5E8580BA-C849-4D7B-8FB9-FF4E33DD0E38}"/>
    <cellStyle name="Normal 2 4 13 5 3" xfId="4772" xr:uid="{53F86D47-38B4-4AFA-B810-9E041EDB8B4A}"/>
    <cellStyle name="Normal 2 4 13 6" xfId="1317" xr:uid="{08587AE5-D8BF-459A-9AEF-3F758DC50D9E}"/>
    <cellStyle name="Normal 2 4 13 6 2" xfId="3038" xr:uid="{8C60BE73-0E04-4F5B-9866-8DF961F0D80F}"/>
    <cellStyle name="Normal 2 4 13 6 2 2" xfId="6709" xr:uid="{A170D906-3234-40F1-95C5-E479D0FCEAE3}"/>
    <cellStyle name="Normal 2 4 13 6 3" xfId="4990" xr:uid="{5405581C-8369-47E5-B0C8-CDE747830D1F}"/>
    <cellStyle name="Normal 2 4 13 7" xfId="1535" xr:uid="{5E3A7782-575B-45F6-A2DD-0E159CA593A4}"/>
    <cellStyle name="Normal 2 4 13 7 2" xfId="3256" xr:uid="{05B82C63-B4BA-4D1A-BFEC-07429E78B068}"/>
    <cellStyle name="Normal 2 4 13 7 2 2" xfId="6927" xr:uid="{910BCEB6-B44F-42E2-AFFE-922D3855BD84}"/>
    <cellStyle name="Normal 2 4 13 7 3" xfId="5208" xr:uid="{4F722F57-E9FA-4903-9AA7-EACC3019BE30}"/>
    <cellStyle name="Normal 2 4 13 8" xfId="1754" xr:uid="{6E503919-D35D-4EBE-A0CA-B0EA9977CDCF}"/>
    <cellStyle name="Normal 2 4 13 8 2" xfId="3475" xr:uid="{8A554DB4-C439-4307-86D9-C73F69520965}"/>
    <cellStyle name="Normal 2 4 13 8 2 2" xfId="7146" xr:uid="{39B4F549-E1E5-4C7F-A4EC-671F1F186D21}"/>
    <cellStyle name="Normal 2 4 13 8 3" xfId="5426" xr:uid="{C8C01E1C-15B7-4A87-A89F-1BFE5D8BD0CE}"/>
    <cellStyle name="Normal 2 4 13 9" xfId="1974" xr:uid="{E42CA80A-8E2E-46AE-A3AE-226F57F2C5A2}"/>
    <cellStyle name="Normal 2 4 13 9 2" xfId="5645" xr:uid="{2FA193A9-46DF-4B8B-8C46-4793864FA43F}"/>
    <cellStyle name="Normal 2 4 14" xfId="236" xr:uid="{7A7118ED-A186-46E3-9A50-65B012EE77E8}"/>
    <cellStyle name="Normal 2 4 14 10" xfId="3963" xr:uid="{A2DFD381-61D0-429A-8F75-6436E24A2F33}"/>
    <cellStyle name="Normal 2 4 14 2" xfId="480" xr:uid="{0CB26E0F-DC10-42F9-9CE9-2CAD632E3F57}"/>
    <cellStyle name="Normal 2 4 14 2 2" xfId="2179" xr:uid="{33C5C346-7C4D-42AE-94B4-D438EDD6399E}"/>
    <cellStyle name="Normal 2 4 14 2 2 2" xfId="5850" xr:uid="{6B609933-C97E-4924-B48E-2D3FD4A41D29}"/>
    <cellStyle name="Normal 2 4 14 2 3" xfId="4143" xr:uid="{D5D4CE45-B85C-4C69-99D4-3325CF3645EE}"/>
    <cellStyle name="Normal 2 4 14 3" xfId="676" xr:uid="{F382E22D-35FC-41DE-85F3-8A6CF85E7ADC}"/>
    <cellStyle name="Normal 2 4 14 3 2" xfId="2397" xr:uid="{71AEE66D-8A3B-42D3-B1A6-55AC63B7AC31}"/>
    <cellStyle name="Normal 2 4 14 3 2 2" xfId="6068" xr:uid="{44883EDD-9314-4139-A068-3D262E800605}"/>
    <cellStyle name="Normal 2 4 14 3 3" xfId="4349" xr:uid="{25A79A45-E030-4DE2-A7E3-986933273F8F}"/>
    <cellStyle name="Normal 2 4 14 4" xfId="894" xr:uid="{71E383CE-46CF-4327-864D-1F978C1B2948}"/>
    <cellStyle name="Normal 2 4 14 4 2" xfId="2615" xr:uid="{31CE5711-1CAE-4BE8-B44B-4436DEE0DB55}"/>
    <cellStyle name="Normal 2 4 14 4 2 2" xfId="6286" xr:uid="{4C073EB0-3B46-41B7-9996-8BBD435796A7}"/>
    <cellStyle name="Normal 2 4 14 4 3" xfId="4567" xr:uid="{F20118D2-4267-415C-8D4B-13B9F16B0069}"/>
    <cellStyle name="Normal 2 4 14 5" xfId="1112" xr:uid="{BDA4BB69-C228-41A6-ABE9-2BC14AE5F2DF}"/>
    <cellStyle name="Normal 2 4 14 5 2" xfId="2833" xr:uid="{ED11FAC8-87FF-4049-82E8-339FB3C6C5C8}"/>
    <cellStyle name="Normal 2 4 14 5 2 2" xfId="6504" xr:uid="{D7B65E4C-BB19-486D-B8E1-FD3A41BEDB9E}"/>
    <cellStyle name="Normal 2 4 14 5 3" xfId="4785" xr:uid="{BA2D1141-524A-4902-990C-3FEE2C03590B}"/>
    <cellStyle name="Normal 2 4 14 6" xfId="1330" xr:uid="{DA6E333D-3728-4179-9939-BA1CC175DC13}"/>
    <cellStyle name="Normal 2 4 14 6 2" xfId="3051" xr:uid="{2F8CC4F5-E173-45D4-B783-5797177279F8}"/>
    <cellStyle name="Normal 2 4 14 6 2 2" xfId="6722" xr:uid="{67EDF054-FDC2-403F-8D4F-897F4E283816}"/>
    <cellStyle name="Normal 2 4 14 6 3" xfId="5003" xr:uid="{97837E9B-A8CD-46E5-A7C2-1E3126D727F8}"/>
    <cellStyle name="Normal 2 4 14 7" xfId="1548" xr:uid="{A088BFD9-BDB3-4F3A-BC21-069D887EE328}"/>
    <cellStyle name="Normal 2 4 14 7 2" xfId="3269" xr:uid="{5D32ECCA-F1DE-4631-8151-2CDADBC3945E}"/>
    <cellStyle name="Normal 2 4 14 7 2 2" xfId="6940" xr:uid="{6EEB3DF5-0F28-4D19-88CC-A550A8F2A6E8}"/>
    <cellStyle name="Normal 2 4 14 7 3" xfId="5221" xr:uid="{563FE239-6116-41BF-B586-8733483110F1}"/>
    <cellStyle name="Normal 2 4 14 8" xfId="1767" xr:uid="{D900A326-7A31-4B9B-B5E4-25031F750344}"/>
    <cellStyle name="Normal 2 4 14 8 2" xfId="3488" xr:uid="{59A59DB5-96C6-486F-820A-4C572DDF2FA5}"/>
    <cellStyle name="Normal 2 4 14 8 2 2" xfId="7159" xr:uid="{94A280F6-F4EF-45B1-B53A-3E72B2E7A41E}"/>
    <cellStyle name="Normal 2 4 14 8 3" xfId="5439" xr:uid="{51FE71A1-0C3D-4E18-B899-099956BEC9C2}"/>
    <cellStyle name="Normal 2 4 14 9" xfId="1987" xr:uid="{A6E6CCB7-5EB2-4181-934F-752327D657BA}"/>
    <cellStyle name="Normal 2 4 14 9 2" xfId="5658" xr:uid="{90CF4ECA-51E0-4C0F-83A2-7CFD46507388}"/>
    <cellStyle name="Normal 2 4 15" xfId="249" xr:uid="{9AAFB90D-8AF5-4438-9908-069415781CB1}"/>
    <cellStyle name="Normal 2 4 15 2" xfId="689" xr:uid="{6EEC98E3-C9F1-41D5-AD6C-F77CCE5AAAF3}"/>
    <cellStyle name="Normal 2 4 15 2 2" xfId="2410" xr:uid="{AAC3F5FC-B31C-49E2-81C5-14BFB98F198D}"/>
    <cellStyle name="Normal 2 4 15 2 2 2" xfId="6081" xr:uid="{4E7C4094-36C2-4C3C-B417-EBFF312A58B6}"/>
    <cellStyle name="Normal 2 4 15 2 3" xfId="4362" xr:uid="{3201FE92-996D-47EC-B79C-5D5C18C7C3F7}"/>
    <cellStyle name="Normal 2 4 15 3" xfId="907" xr:uid="{5D141D8D-7A2F-4795-ADC1-11BB5ED0A5F8}"/>
    <cellStyle name="Normal 2 4 15 3 2" xfId="2628" xr:uid="{988485E8-C2E7-47E9-B317-95FC668F8244}"/>
    <cellStyle name="Normal 2 4 15 3 2 2" xfId="6299" xr:uid="{411C035D-3289-431F-AACB-36A94FFD7FDD}"/>
    <cellStyle name="Normal 2 4 15 3 3" xfId="4580" xr:uid="{6824AA40-20D1-47D5-AD3C-69CC51CAB421}"/>
    <cellStyle name="Normal 2 4 15 4" xfId="1125" xr:uid="{14C9E812-E1A5-4E3F-AFD2-F689363EC5F6}"/>
    <cellStyle name="Normal 2 4 15 4 2" xfId="2846" xr:uid="{88965B63-4848-4BD9-8015-ACEEBEFEDB67}"/>
    <cellStyle name="Normal 2 4 15 4 2 2" xfId="6517" xr:uid="{8904857E-1E81-41C7-9975-0517505BEEA1}"/>
    <cellStyle name="Normal 2 4 15 4 3" xfId="4798" xr:uid="{10B8BF29-B28D-4EE0-96C9-2A51DC1A999F}"/>
    <cellStyle name="Normal 2 4 15 5" xfId="1343" xr:uid="{8E133049-3215-43F3-8088-97FDC01D8EA6}"/>
    <cellStyle name="Normal 2 4 15 5 2" xfId="3064" xr:uid="{9C89738C-E6D8-4F00-A98A-CD71FB258FFD}"/>
    <cellStyle name="Normal 2 4 15 5 2 2" xfId="6735" xr:uid="{D3246978-3AD6-43F5-97E9-CBBD7D8F5976}"/>
    <cellStyle name="Normal 2 4 15 5 3" xfId="5016" xr:uid="{11A28A46-2C2F-42FB-91D8-E281BBC357EC}"/>
    <cellStyle name="Normal 2 4 15 6" xfId="1561" xr:uid="{B817B6A8-F619-4AF4-91CF-0184E70A618D}"/>
    <cellStyle name="Normal 2 4 15 6 2" xfId="3282" xr:uid="{06573AFE-2079-4ACA-BC27-D446EB974DAE}"/>
    <cellStyle name="Normal 2 4 15 6 2 2" xfId="6953" xr:uid="{CE9E536B-D655-4BB9-BFA0-EE30DAA9DBDA}"/>
    <cellStyle name="Normal 2 4 15 6 3" xfId="5234" xr:uid="{71D063A7-6465-45C5-A68E-01B5683C234E}"/>
    <cellStyle name="Normal 2 4 15 7" xfId="1780" xr:uid="{87453BEA-6D82-41D4-AD40-5FB867055597}"/>
    <cellStyle name="Normal 2 4 15 7 2" xfId="3501" xr:uid="{D259841D-D78D-481E-87A4-5BB1F97E88D0}"/>
    <cellStyle name="Normal 2 4 15 7 2 2" xfId="7172" xr:uid="{55F96B1F-C488-4FAD-832E-55018C819C08}"/>
    <cellStyle name="Normal 2 4 15 7 3" xfId="5452" xr:uid="{759984E4-C48D-4C41-85B1-0EEEE5D3EF31}"/>
    <cellStyle name="Normal 2 4 15 8" xfId="2192" xr:uid="{39AE2CE6-D02B-4EC1-990F-0D0966411ACF}"/>
    <cellStyle name="Normal 2 4 15 8 2" xfId="5863" xr:uid="{C116AB0C-F89B-4E29-9C2B-5EEA87491E49}"/>
    <cellStyle name="Normal 2 4 15 9" xfId="4156" xr:uid="{FA3EA4F0-5B26-438C-83DA-B1032C0F6FCE}"/>
    <cellStyle name="Normal 2 4 16" xfId="262" xr:uid="{19BE6E8C-F867-4576-8169-9F63912AA635}"/>
    <cellStyle name="Normal 2 4 16 2" xfId="702" xr:uid="{D955134E-3AD5-46E5-8CE7-AE8ED4B01C32}"/>
    <cellStyle name="Normal 2 4 16 2 2" xfId="2423" xr:uid="{AE82498B-0BD7-4C32-8C6B-59B0AFD99F48}"/>
    <cellStyle name="Normal 2 4 16 2 2 2" xfId="6094" xr:uid="{AB634DA0-B158-4013-BB37-61736FCE6C41}"/>
    <cellStyle name="Normal 2 4 16 2 3" xfId="4375" xr:uid="{21307862-3C67-44A8-8AAC-64BA2CB71795}"/>
    <cellStyle name="Normal 2 4 16 3" xfId="920" xr:uid="{A9DE8BF2-88ED-4146-B012-C12C96773B63}"/>
    <cellStyle name="Normal 2 4 16 3 2" xfId="2641" xr:uid="{DA63C159-24B1-4A01-96DA-4608CB9B8CB6}"/>
    <cellStyle name="Normal 2 4 16 3 2 2" xfId="6312" xr:uid="{3839BF79-BE58-4606-8182-2CD2E4FAAE79}"/>
    <cellStyle name="Normal 2 4 16 3 3" xfId="4593" xr:uid="{689BA7F9-C86A-48EC-ADCC-2777107E3703}"/>
    <cellStyle name="Normal 2 4 16 4" xfId="1138" xr:uid="{1065FA20-2B36-4477-8459-0EB3E931BCAF}"/>
    <cellStyle name="Normal 2 4 16 4 2" xfId="2859" xr:uid="{AC4F2671-780E-49AE-9B34-6C6A5230C849}"/>
    <cellStyle name="Normal 2 4 16 4 2 2" xfId="6530" xr:uid="{583D5D81-8CB8-456F-A570-690C1465A28B}"/>
    <cellStyle name="Normal 2 4 16 4 3" xfId="4811" xr:uid="{E4076DD7-B102-4B41-B76B-96AD3AD50607}"/>
    <cellStyle name="Normal 2 4 16 5" xfId="1356" xr:uid="{2BC7792A-34DD-4242-8906-EA424FE5679B}"/>
    <cellStyle name="Normal 2 4 16 5 2" xfId="3077" xr:uid="{7266D6E0-F32C-47D7-AB01-9E397D4A4415}"/>
    <cellStyle name="Normal 2 4 16 5 2 2" xfId="6748" xr:uid="{CF463A47-EE54-45F9-B0F7-F3EF1FD1232E}"/>
    <cellStyle name="Normal 2 4 16 5 3" xfId="5029" xr:uid="{DD07C2FB-3C7C-451B-B9A3-5CDF8DF5D6DE}"/>
    <cellStyle name="Normal 2 4 16 6" xfId="1574" xr:uid="{31EE620E-2648-4A54-92E8-AF7C6E0C5A41}"/>
    <cellStyle name="Normal 2 4 16 6 2" xfId="3295" xr:uid="{E23913D7-AB42-4BA5-A97B-F811B1408725}"/>
    <cellStyle name="Normal 2 4 16 6 2 2" xfId="6966" xr:uid="{ADD5FAE8-DC08-4A60-820D-0841160876C0}"/>
    <cellStyle name="Normal 2 4 16 6 3" xfId="5247" xr:uid="{2DB2AA39-6E61-44EA-86C8-0F116421E131}"/>
    <cellStyle name="Normal 2 4 16 7" xfId="1793" xr:uid="{CAE04876-76D4-45B3-8283-4C255177DFC8}"/>
    <cellStyle name="Normal 2 4 16 7 2" xfId="3514" xr:uid="{1816FADF-5CF5-46A8-A472-256C4A80F49C}"/>
    <cellStyle name="Normal 2 4 16 7 2 2" xfId="7185" xr:uid="{A62D208E-EC43-4D7B-AC61-45688DA4597A}"/>
    <cellStyle name="Normal 2 4 16 7 3" xfId="5465" xr:uid="{F6A49E5D-272B-458A-BFFD-ED89A49E52C1}"/>
    <cellStyle name="Normal 2 4 16 8" xfId="2205" xr:uid="{FF8BE3E5-C848-4772-9809-FA67AA4A2885}"/>
    <cellStyle name="Normal 2 4 16 8 2" xfId="5876" xr:uid="{E1F34FC6-7822-46E8-A85D-F211EB784CCB}"/>
    <cellStyle name="Normal 2 4 16 9" xfId="4169" xr:uid="{10113436-DBE6-4961-BD2D-17F90F5622B5}"/>
    <cellStyle name="Normal 2 4 17" xfId="302" xr:uid="{A9D9A187-EA88-444C-9432-1241E692509A}"/>
    <cellStyle name="Normal 2 4 17 2" xfId="2000" xr:uid="{290A1037-85D9-4D0A-A219-3E385ED86BDF}"/>
    <cellStyle name="Normal 2 4 17 2 2" xfId="5671" xr:uid="{B1319291-0153-46E5-BDF7-BF43C3B64691}"/>
    <cellStyle name="Normal 2 4 17 3" xfId="3976" xr:uid="{4F777CC6-961D-43A3-A5B9-0D3AF4231721}"/>
    <cellStyle name="Normal 2 4 18" xfId="497" xr:uid="{A2DF9285-ABAA-445E-8706-8484DF291B77}"/>
    <cellStyle name="Normal 2 4 18 2" xfId="2218" xr:uid="{3A4EB5F8-FEBF-47D5-A7E6-DE267FF563F0}"/>
    <cellStyle name="Normal 2 4 18 2 2" xfId="5889" xr:uid="{F67D17A5-E72D-4AE2-9203-72B6A11E4329}"/>
    <cellStyle name="Normal 2 4 18 3" xfId="4182" xr:uid="{26C06C42-59E5-4362-889D-5C86AC0BBA76}"/>
    <cellStyle name="Normal 2 4 19" xfId="715" xr:uid="{71979CB7-1152-47CC-B941-EC2BC38CB856}"/>
    <cellStyle name="Normal 2 4 19 2" xfId="2436" xr:uid="{BACCBC47-68C8-4AD0-AA00-71F5A1C4894D}"/>
    <cellStyle name="Normal 2 4 19 2 2" xfId="6107" xr:uid="{BEA1867D-E7DF-4F26-A890-2881A3EFE694}"/>
    <cellStyle name="Normal 2 4 19 3" xfId="4388" xr:uid="{079685AB-0597-40A8-909E-FA3211F6A688}"/>
    <cellStyle name="Normal 2 4 2" xfId="68" xr:uid="{2AF6B5E3-A5AF-4793-807E-843E6CDAB7AD}"/>
    <cellStyle name="Normal 2 4 2 10" xfId="3797" xr:uid="{4885D1D2-7EF6-41DD-9ACD-3AED36BA191A}"/>
    <cellStyle name="Normal 2 4 2 2" xfId="314" xr:uid="{23BF5ADF-BB6E-43C5-9563-FB2A7EE315DE}"/>
    <cellStyle name="Normal 2 4 2 2 2" xfId="2013" xr:uid="{10E3E3C3-3534-4A1F-A255-9F7FD61245FD}"/>
    <cellStyle name="Normal 2 4 2 2 2 2" xfId="5684" xr:uid="{014BB44B-7A33-4EA1-A7E2-851CB3631530}"/>
    <cellStyle name="Normal 2 4 2 2 3" xfId="3626" xr:uid="{D5E5D1A4-8E91-415B-BBE1-52404A77D3FE}"/>
    <cellStyle name="Normal 2 4 2 3" xfId="510" xr:uid="{23A51143-06AD-48CB-A891-09DBD1BA3882}"/>
    <cellStyle name="Normal 2 4 2 3 2" xfId="2231" xr:uid="{93074F6F-3A3C-44CA-96EA-3ADF4FD942FB}"/>
    <cellStyle name="Normal 2 4 2 3 2 2" xfId="5902" xr:uid="{39E1046F-7F26-4C5B-99DD-CFA9CC82F10B}"/>
    <cellStyle name="Normal 2 4 2 3 3" xfId="3600" xr:uid="{3A75E0AC-30C6-400F-A7D2-B846459841A3}"/>
    <cellStyle name="Normal 2 4 2 4" xfId="728" xr:uid="{85135F82-6DE0-4A9C-A4EA-764241CF71E2}"/>
    <cellStyle name="Normal 2 4 2 4 2" xfId="2449" xr:uid="{4A62A8DB-14A0-4F84-83FE-7C5AA5E02147}"/>
    <cellStyle name="Normal 2 4 2 4 2 2" xfId="6120" xr:uid="{4F0E8E9A-D8FA-4169-A0FF-8D83E8A04A04}"/>
    <cellStyle name="Normal 2 4 2 4 3" xfId="4401" xr:uid="{DE5E5F1A-ACEE-4BD9-878D-297E7D641356}"/>
    <cellStyle name="Normal 2 4 2 5" xfId="946" xr:uid="{88F72D89-40EF-4872-8DB4-F571CDAD1E9C}"/>
    <cellStyle name="Normal 2 4 2 5 2" xfId="2667" xr:uid="{7C8FF3F8-ED0D-4AE5-BA1D-0E86A83FB4B6}"/>
    <cellStyle name="Normal 2 4 2 5 2 2" xfId="6338" xr:uid="{5898D1BC-D1FC-41D7-BD5D-A89FFE97BF88}"/>
    <cellStyle name="Normal 2 4 2 5 3" xfId="4619" xr:uid="{506F9D6E-FF73-4F9B-A396-AB24890B5C8F}"/>
    <cellStyle name="Normal 2 4 2 6" xfId="1164" xr:uid="{F7AE3E53-8F97-444B-83A5-6B92AE492E0A}"/>
    <cellStyle name="Normal 2 4 2 6 2" xfId="2885" xr:uid="{BA67401A-2D0D-4CDE-94D5-C3A0DD65CA42}"/>
    <cellStyle name="Normal 2 4 2 6 2 2" xfId="6556" xr:uid="{31A6F094-622D-46CA-A0AA-D9633525E83B}"/>
    <cellStyle name="Normal 2 4 2 6 3" xfId="4837" xr:uid="{AE2F393B-49B3-44F5-A935-6A25FD066803}"/>
    <cellStyle name="Normal 2 4 2 7" xfId="1382" xr:uid="{E8275233-8ACA-4B23-AD63-35D440C639AF}"/>
    <cellStyle name="Normal 2 4 2 7 2" xfId="3103" xr:uid="{58DADC66-3ACA-4C92-AD48-27C3B6D7455F}"/>
    <cellStyle name="Normal 2 4 2 7 2 2" xfId="6774" xr:uid="{173A7896-2F62-438D-87D8-D5EB7FA864CD}"/>
    <cellStyle name="Normal 2 4 2 7 3" xfId="5055" xr:uid="{BED097A1-0985-42A1-890E-BDC4F8FF818A}"/>
    <cellStyle name="Normal 2 4 2 8" xfId="1601" xr:uid="{8D2B9953-64AA-4D2C-96B3-FB6D0C60C54D}"/>
    <cellStyle name="Normal 2 4 2 8 2" xfId="3322" xr:uid="{517CBD49-7265-45E3-8531-514BFA21BF66}"/>
    <cellStyle name="Normal 2 4 2 8 2 2" xfId="6993" xr:uid="{1EFEE85F-A927-468B-90B3-8A663A9ECC9D}"/>
    <cellStyle name="Normal 2 4 2 8 3" xfId="5273" xr:uid="{D0585D9A-BCEF-47D5-88EC-738C7642A3E0}"/>
    <cellStyle name="Normal 2 4 2 9" xfId="1821" xr:uid="{DB4ED99E-9F95-451D-BA05-9ABEE0B9545F}"/>
    <cellStyle name="Normal 2 4 2 9 2" xfId="5492" xr:uid="{60E7B243-F7AA-4057-973A-E837708893DC}"/>
    <cellStyle name="Normal 2 4 20" xfId="933" xr:uid="{25008EB8-0C4C-4D8F-A649-615F76AE3FA7}"/>
    <cellStyle name="Normal 2 4 20 2" xfId="2654" xr:uid="{3975A35A-49F4-4666-A5C4-D38CD5FEEC04}"/>
    <cellStyle name="Normal 2 4 20 2 2" xfId="6325" xr:uid="{C67B37AD-6E04-4E0A-B83A-3496E457A92D}"/>
    <cellStyle name="Normal 2 4 20 3" xfId="4606" xr:uid="{20230C01-2931-448B-B0E3-CCC9C8D99A27}"/>
    <cellStyle name="Normal 2 4 21" xfId="1151" xr:uid="{B5735F17-722D-4AEC-844E-8A9729B69391}"/>
    <cellStyle name="Normal 2 4 21 2" xfId="2872" xr:uid="{665B1CD5-6D3F-428D-AD42-4C1DD3B68938}"/>
    <cellStyle name="Normal 2 4 21 2 2" xfId="6543" xr:uid="{EB6CF2E1-AD4C-4E4D-B8C2-921F739B91A9}"/>
    <cellStyle name="Normal 2 4 21 3" xfId="4824" xr:uid="{E867420A-C743-4DE1-B35A-692944B6F502}"/>
    <cellStyle name="Normal 2 4 22" xfId="1369" xr:uid="{16FFA770-A74F-4F28-984E-F107B1FC3356}"/>
    <cellStyle name="Normal 2 4 22 2" xfId="3090" xr:uid="{5456364D-D609-4292-828B-21EB4ECAF754}"/>
    <cellStyle name="Normal 2 4 22 2 2" xfId="6761" xr:uid="{B3428895-1E55-4F69-B4A5-CAA332B798A4}"/>
    <cellStyle name="Normal 2 4 22 3" xfId="5042" xr:uid="{16C64FC0-08C6-4D9F-8F36-5785BA3F715A}"/>
    <cellStyle name="Normal 2 4 23" xfId="1588" xr:uid="{8EB31B04-15DD-4348-A642-7A551B55F240}"/>
    <cellStyle name="Normal 2 4 23 2" xfId="3309" xr:uid="{FA938219-B996-495C-A325-38C9D90DA5AB}"/>
    <cellStyle name="Normal 2 4 23 2 2" xfId="6980" xr:uid="{3D84B243-A05E-4285-8EA9-E1C535875202}"/>
    <cellStyle name="Normal 2 4 23 3" xfId="5260" xr:uid="{4BD04A84-5869-4484-99D8-DCBAC2405146}"/>
    <cellStyle name="Normal 2 4 24" xfId="1808" xr:uid="{8303437C-B3EE-4AA8-A2D6-1A4015FAE3F9}"/>
    <cellStyle name="Normal 2 4 24 2" xfId="5479" xr:uid="{ACCD3E71-8DB3-473D-80A6-77F648D3E759}"/>
    <cellStyle name="Normal 2 4 25" xfId="3784" xr:uid="{DD546ACA-A546-4CCF-B6E7-BDC341B31D7C}"/>
    <cellStyle name="Normal 2 4 3" xfId="81" xr:uid="{0DAAAE23-1ACF-4286-963D-08FFA0548A37}"/>
    <cellStyle name="Normal 2 4 3 10" xfId="3810" xr:uid="{2B2DE382-2F0C-4D96-9B93-3F0DE6B337C3}"/>
    <cellStyle name="Normal 2 4 3 2" xfId="327" xr:uid="{B1806D01-56D7-48BF-A4F1-9F2361713EF4}"/>
    <cellStyle name="Normal 2 4 3 2 2" xfId="2026" xr:uid="{281C6314-2D7E-458B-890B-4E64ADAD6ADA}"/>
    <cellStyle name="Normal 2 4 3 2 2 2" xfId="5697" xr:uid="{66076C6E-EA49-484D-92B1-8F1F0DA489D2}"/>
    <cellStyle name="Normal 2 4 3 2 3" xfId="3634" xr:uid="{201F574E-E60F-4B43-9A06-BFA907CF3DEB}"/>
    <cellStyle name="Normal 2 4 3 3" xfId="523" xr:uid="{C1A6CE2F-8DAB-45BA-887D-5CA08725057E}"/>
    <cellStyle name="Normal 2 4 3 3 2" xfId="2244" xr:uid="{DBEA341C-4B02-4D1C-8D24-766409ABBC69}"/>
    <cellStyle name="Normal 2 4 3 3 2 2" xfId="5915" xr:uid="{8C76657F-4649-45D1-94CD-676DA871EB10}"/>
    <cellStyle name="Normal 2 4 3 3 3" xfId="3608" xr:uid="{F27ADD95-E2BF-40BE-AB9A-7A2E3CC73797}"/>
    <cellStyle name="Normal 2 4 3 4" xfId="741" xr:uid="{992CD615-717B-4F6A-95A3-557ABAA2DC22}"/>
    <cellStyle name="Normal 2 4 3 4 2" xfId="2462" xr:uid="{DF82AF8B-65B5-4224-BF57-EE3790CA6025}"/>
    <cellStyle name="Normal 2 4 3 4 2 2" xfId="6133" xr:uid="{1E74534D-29AF-4737-A463-CA19FC3144CE}"/>
    <cellStyle name="Normal 2 4 3 4 3" xfId="4414" xr:uid="{FC083F1C-5831-409F-967C-4201A3B81EE4}"/>
    <cellStyle name="Normal 2 4 3 5" xfId="959" xr:uid="{3DFE60DB-77C8-4B80-B598-9E4CD3DA12E1}"/>
    <cellStyle name="Normal 2 4 3 5 2" xfId="2680" xr:uid="{6BC12887-2920-4419-8C22-E5172072052E}"/>
    <cellStyle name="Normal 2 4 3 5 2 2" xfId="6351" xr:uid="{C129C51B-4124-46E5-BB98-E92012247E86}"/>
    <cellStyle name="Normal 2 4 3 5 3" xfId="4632" xr:uid="{E8326BB3-A20C-42B0-94BB-F2BBAEF74C8F}"/>
    <cellStyle name="Normal 2 4 3 6" xfId="1177" xr:uid="{DC2DD1DA-968B-491A-876D-EDA92C6AEF2B}"/>
    <cellStyle name="Normal 2 4 3 6 2" xfId="2898" xr:uid="{1F0B8F33-C921-414A-BE44-A150186EAA19}"/>
    <cellStyle name="Normal 2 4 3 6 2 2" xfId="6569" xr:uid="{FC889B53-9B36-4D8E-A5EF-04A8C52D2EE3}"/>
    <cellStyle name="Normal 2 4 3 6 3" xfId="4850" xr:uid="{263BFE3A-FFA4-4341-929D-D51460565966}"/>
    <cellStyle name="Normal 2 4 3 7" xfId="1395" xr:uid="{5D10CA99-470C-46EB-9E9A-AA6D16479D39}"/>
    <cellStyle name="Normal 2 4 3 7 2" xfId="3116" xr:uid="{2A63A9C2-D68D-4735-9371-30C508F0164A}"/>
    <cellStyle name="Normal 2 4 3 7 2 2" xfId="6787" xr:uid="{5D71D90F-D3AA-400A-98FA-BB90930B5F4D}"/>
    <cellStyle name="Normal 2 4 3 7 3" xfId="5068" xr:uid="{9C69D665-CAF4-48C0-81B3-499EAF79AA0F}"/>
    <cellStyle name="Normal 2 4 3 8" xfId="1614" xr:uid="{694788D6-4687-4B01-9F42-306FF1AD7986}"/>
    <cellStyle name="Normal 2 4 3 8 2" xfId="3335" xr:uid="{7E0BA798-ED72-4439-A7E7-15E0F785AA2A}"/>
    <cellStyle name="Normal 2 4 3 8 2 2" xfId="7006" xr:uid="{F9D50865-3CE2-4172-A87E-CC6907844D5F}"/>
    <cellStyle name="Normal 2 4 3 8 3" xfId="5286" xr:uid="{753F2EBF-2AD0-4EFA-BA6F-1ED194CA9174}"/>
    <cellStyle name="Normal 2 4 3 9" xfId="1834" xr:uid="{2B457D05-489D-47EF-A058-A673E1AA9EF0}"/>
    <cellStyle name="Normal 2 4 3 9 2" xfId="5505" xr:uid="{F49AA89B-E15A-49BE-9E0F-410F3F9E10BE}"/>
    <cellStyle name="Normal 2 4 4" xfId="94" xr:uid="{E9C591C1-697A-46F3-9DC2-30378D0B8BB5}"/>
    <cellStyle name="Normal 2 4 4 10" xfId="3823" xr:uid="{0D445037-6BC2-4FFE-BF65-250704646F4E}"/>
    <cellStyle name="Normal 2 4 4 2" xfId="340" xr:uid="{635373E5-FC54-4433-9CAB-5C35AFD57396}"/>
    <cellStyle name="Normal 2 4 4 2 2" xfId="2039" xr:uid="{F4D782D3-523B-4E81-B00C-314EE1200363}"/>
    <cellStyle name="Normal 2 4 4 2 2 2" xfId="5710" xr:uid="{023D45DA-0749-4335-BA3A-2751D99534B4}"/>
    <cellStyle name="Normal 2 4 4 2 3" xfId="3640" xr:uid="{B8920096-01F9-44F7-9F2A-DB0887E950C0}"/>
    <cellStyle name="Normal 2 4 4 3" xfId="536" xr:uid="{AC190385-39ED-444B-8D05-7449E0D6A4C2}"/>
    <cellStyle name="Normal 2 4 4 3 2" xfId="2257" xr:uid="{9903F0C1-711E-4B0C-B01D-CDCBF0EFE9B0}"/>
    <cellStyle name="Normal 2 4 4 3 2 2" xfId="5928" xr:uid="{9FD78C5E-0AA5-4B4F-8278-89990456F91F}"/>
    <cellStyle name="Normal 2 4 4 3 3" xfId="3614" xr:uid="{D585D419-5586-4A9B-BE70-5FBF9EDCF4AC}"/>
    <cellStyle name="Normal 2 4 4 4" xfId="754" xr:uid="{5F68A1BC-AECB-4B9E-9FC8-D9118F7D9731}"/>
    <cellStyle name="Normal 2 4 4 4 2" xfId="2475" xr:uid="{D87955AE-72DF-4573-BF3E-D9EFC1B07AC9}"/>
    <cellStyle name="Normal 2 4 4 4 2 2" xfId="6146" xr:uid="{57390272-C940-469C-8315-659AD7FF6D4B}"/>
    <cellStyle name="Normal 2 4 4 4 3" xfId="4427" xr:uid="{FA430472-B100-464F-85EA-15E3021DCD51}"/>
    <cellStyle name="Normal 2 4 4 5" xfId="972" xr:uid="{7AB05CE4-A21A-4753-8751-747CF4DDB39B}"/>
    <cellStyle name="Normal 2 4 4 5 2" xfId="2693" xr:uid="{6B04C4D6-3D06-4079-A067-37056A40C763}"/>
    <cellStyle name="Normal 2 4 4 5 2 2" xfId="6364" xr:uid="{90071E8D-1FE0-4FC3-9D4C-45D6E67E80B6}"/>
    <cellStyle name="Normal 2 4 4 5 3" xfId="4645" xr:uid="{F8897E19-26B3-4F9C-88E2-BBE64A06C1D8}"/>
    <cellStyle name="Normal 2 4 4 6" xfId="1190" xr:uid="{0A7D3876-A3B0-43F2-A37E-5A1886888890}"/>
    <cellStyle name="Normal 2 4 4 6 2" xfId="2911" xr:uid="{E3CC5A00-2371-41B3-9CCB-DAE15D013EBA}"/>
    <cellStyle name="Normal 2 4 4 6 2 2" xfId="6582" xr:uid="{3704CC7E-4D53-4E6B-9C3C-1D9362D32A28}"/>
    <cellStyle name="Normal 2 4 4 6 3" xfId="4863" xr:uid="{A083894F-AD09-4141-B5D3-33BEE217545A}"/>
    <cellStyle name="Normal 2 4 4 7" xfId="1408" xr:uid="{C890B44C-D4CD-48E7-8EFF-9149F86AEB09}"/>
    <cellStyle name="Normal 2 4 4 7 2" xfId="3129" xr:uid="{61742E87-A49D-49EE-8397-1E91C7DC1132}"/>
    <cellStyle name="Normal 2 4 4 7 2 2" xfId="6800" xr:uid="{4B972160-FAD6-49B4-BD60-5D7E8EB57AB1}"/>
    <cellStyle name="Normal 2 4 4 7 3" xfId="5081" xr:uid="{A5E465BA-D23A-45FD-8F5E-6B9D86F06AF2}"/>
    <cellStyle name="Normal 2 4 4 8" xfId="1627" xr:uid="{5B8A18C5-96F3-4EDE-91EF-546872EC0D4F}"/>
    <cellStyle name="Normal 2 4 4 8 2" xfId="3348" xr:uid="{FAF3C6F5-D12F-4688-A393-DE132342EC6D}"/>
    <cellStyle name="Normal 2 4 4 8 2 2" xfId="7019" xr:uid="{0328B37F-AC1D-4593-ADDC-4F9BEBA3ABD8}"/>
    <cellStyle name="Normal 2 4 4 8 3" xfId="5299" xr:uid="{FF808B95-7464-45F7-BC57-71C64BE9037B}"/>
    <cellStyle name="Normal 2 4 4 9" xfId="1847" xr:uid="{D5FC6A0B-430D-4AED-A5AE-BCD7CDBDD756}"/>
    <cellStyle name="Normal 2 4 4 9 2" xfId="5518" xr:uid="{180D56FA-84B3-4A9B-BF62-A39AB384C5BD}"/>
    <cellStyle name="Normal 2 4 5" xfId="107" xr:uid="{66E3FECA-7C43-4BB4-A9C8-248BE58CC5B7}"/>
    <cellStyle name="Normal 2 4 5 10" xfId="3836" xr:uid="{BF1EAA1A-CFEE-4028-9D0B-09AD637F96A8}"/>
    <cellStyle name="Normal 2 4 5 2" xfId="353" xr:uid="{326D35B6-8E72-4E00-9714-B845992D60F7}"/>
    <cellStyle name="Normal 2 4 5 2 2" xfId="2052" xr:uid="{30156EFD-D5F5-45F4-A280-25CA452EF5F9}"/>
    <cellStyle name="Normal 2 4 5 2 2 2" xfId="5723" xr:uid="{6E82C231-A3D0-4807-8155-F8F6672B200D}"/>
    <cellStyle name="Normal 2 4 5 2 3" xfId="4016" xr:uid="{00946382-943A-4264-AB6E-A2BAEC82E722}"/>
    <cellStyle name="Normal 2 4 5 3" xfId="549" xr:uid="{38BBC0EA-D6F4-4543-9239-0B3A250D7CC8}"/>
    <cellStyle name="Normal 2 4 5 3 2" xfId="2270" xr:uid="{FA52B0B2-65E3-4152-AB1E-5D02F325566A}"/>
    <cellStyle name="Normal 2 4 5 3 2 2" xfId="5941" xr:uid="{005D71DE-F47B-4A48-9EC4-2DF05C171956}"/>
    <cellStyle name="Normal 2 4 5 3 3" xfId="4222" xr:uid="{3CA1FDA4-DACB-43E7-91CA-A24C4FEAE69B}"/>
    <cellStyle name="Normal 2 4 5 4" xfId="767" xr:uid="{0A37493A-A840-4ED2-A638-04EFB0C33743}"/>
    <cellStyle name="Normal 2 4 5 4 2" xfId="2488" xr:uid="{086EFFB4-40D8-49D4-B58D-6C4CEE95A838}"/>
    <cellStyle name="Normal 2 4 5 4 2 2" xfId="6159" xr:uid="{438B15B0-C48B-4C36-8C1E-F314275483B1}"/>
    <cellStyle name="Normal 2 4 5 4 3" xfId="4440" xr:uid="{BD4F7D9E-C6DD-4B16-BCAC-0B120CF8476B}"/>
    <cellStyle name="Normal 2 4 5 5" xfId="985" xr:uid="{16E85DB4-3F7E-4278-A363-8FC393391C41}"/>
    <cellStyle name="Normal 2 4 5 5 2" xfId="2706" xr:uid="{76DF0073-A43B-49B4-89E4-5D8E68D9E37C}"/>
    <cellStyle name="Normal 2 4 5 5 2 2" xfId="6377" xr:uid="{9140C72F-D59F-479B-8601-98AC73EC7687}"/>
    <cellStyle name="Normal 2 4 5 5 3" xfId="4658" xr:uid="{26E6D048-A142-43DE-98A2-24FD1A783E2C}"/>
    <cellStyle name="Normal 2 4 5 6" xfId="1203" xr:uid="{85B79DBC-9998-42C8-9310-9D9D732C2523}"/>
    <cellStyle name="Normal 2 4 5 6 2" xfId="2924" xr:uid="{B58D0D43-8265-43BD-B423-0C1EFDAD1DF7}"/>
    <cellStyle name="Normal 2 4 5 6 2 2" xfId="6595" xr:uid="{CC7395D7-8D4A-4AE5-8920-EEC028773200}"/>
    <cellStyle name="Normal 2 4 5 6 3" xfId="4876" xr:uid="{EF9B9030-1C60-4DF5-8C5D-8550CA52FE19}"/>
    <cellStyle name="Normal 2 4 5 7" xfId="1421" xr:uid="{CE72FD46-A7EB-4117-818C-6475A195B330}"/>
    <cellStyle name="Normal 2 4 5 7 2" xfId="3142" xr:uid="{3CAD38E7-102B-4AE6-9EAE-2787B9A8C172}"/>
    <cellStyle name="Normal 2 4 5 7 2 2" xfId="6813" xr:uid="{E5AA6E6F-92E1-4074-8334-5C7C08F18068}"/>
    <cellStyle name="Normal 2 4 5 7 3" xfId="5094" xr:uid="{4799AC8A-7660-4B40-8E8F-B42005199BCC}"/>
    <cellStyle name="Normal 2 4 5 8" xfId="1640" xr:uid="{FC90CE83-B085-4935-B4FB-1BA7CA78DB95}"/>
    <cellStyle name="Normal 2 4 5 8 2" xfId="3361" xr:uid="{9D0C41EA-EF44-4365-AAC3-98FA4892CEA3}"/>
    <cellStyle name="Normal 2 4 5 8 2 2" xfId="7032" xr:uid="{6DEF778E-C8E0-456C-81C7-13E507145FAD}"/>
    <cellStyle name="Normal 2 4 5 8 3" xfId="5312" xr:uid="{EBEF5503-0774-4F4B-B983-DBC9AEE5E883}"/>
    <cellStyle name="Normal 2 4 5 9" xfId="1860" xr:uid="{99AC88CF-C0A9-42F0-BFBB-4688FB794724}"/>
    <cellStyle name="Normal 2 4 5 9 2" xfId="5531" xr:uid="{A5ABCEF1-5E95-4F39-96B2-FB43CF9132ED}"/>
    <cellStyle name="Normal 2 4 6" xfId="120" xr:uid="{DB3B2265-04D3-4321-8922-5D3EA120E111}"/>
    <cellStyle name="Normal 2 4 6 10" xfId="3849" xr:uid="{F44FB869-0648-4BE4-B7FC-684750673B8D}"/>
    <cellStyle name="Normal 2 4 6 2" xfId="366" xr:uid="{A19C7FE0-149A-4DA4-93CE-F0D167FCC5C9}"/>
    <cellStyle name="Normal 2 4 6 2 2" xfId="2065" xr:uid="{D05F556B-B6F3-4B2F-A889-2C425213BB16}"/>
    <cellStyle name="Normal 2 4 6 2 2 2" xfId="5736" xr:uid="{A622A822-26ED-493E-8F93-7E7D7F80E4CA}"/>
    <cellStyle name="Normal 2 4 6 2 3" xfId="4029" xr:uid="{FC1F0B6D-34F0-4260-BA31-6D70F83DCF66}"/>
    <cellStyle name="Normal 2 4 6 3" xfId="562" xr:uid="{FF2BD419-C15D-4E89-85F3-CBBDDAB55820}"/>
    <cellStyle name="Normal 2 4 6 3 2" xfId="2283" xr:uid="{A4B8B31B-B05B-4273-9EFB-520C86350F4D}"/>
    <cellStyle name="Normal 2 4 6 3 2 2" xfId="5954" xr:uid="{60F1636E-E2B5-4FC3-9166-8E773D3BDCA7}"/>
    <cellStyle name="Normal 2 4 6 3 3" xfId="4235" xr:uid="{F3D0288D-6B49-4CBF-A68E-5F91E2A53CAD}"/>
    <cellStyle name="Normal 2 4 6 4" xfId="780" xr:uid="{74FF1EE9-D0D5-4ADE-AC5D-F4A2EDCD0DC4}"/>
    <cellStyle name="Normal 2 4 6 4 2" xfId="2501" xr:uid="{56ED9063-5E68-48BD-A10C-627D3FFD7725}"/>
    <cellStyle name="Normal 2 4 6 4 2 2" xfId="6172" xr:uid="{2DE39C71-4276-427B-A559-32FEC0C0DFD3}"/>
    <cellStyle name="Normal 2 4 6 4 3" xfId="4453" xr:uid="{E8499AB2-1D1F-4ADA-BC97-3F6130483F7E}"/>
    <cellStyle name="Normal 2 4 6 5" xfId="998" xr:uid="{D701E38D-E528-44A3-B8AB-320D56CB4505}"/>
    <cellStyle name="Normal 2 4 6 5 2" xfId="2719" xr:uid="{DC78D439-12E1-401A-A0E7-C0D57FD7C972}"/>
    <cellStyle name="Normal 2 4 6 5 2 2" xfId="6390" xr:uid="{09E0BE1E-8887-4AFA-821C-F20BA94FC07A}"/>
    <cellStyle name="Normal 2 4 6 5 3" xfId="4671" xr:uid="{AF8D0B6D-63B4-4744-82E5-B2A513380877}"/>
    <cellStyle name="Normal 2 4 6 6" xfId="1216" xr:uid="{E782DD78-5D1D-4ED6-810D-4F87CEC2CC99}"/>
    <cellStyle name="Normal 2 4 6 6 2" xfId="2937" xr:uid="{4E1BC445-9724-46CB-A69A-6DF88FF3A262}"/>
    <cellStyle name="Normal 2 4 6 6 2 2" xfId="6608" xr:uid="{F38431ED-94BD-43CE-8B9C-9FB3E4991498}"/>
    <cellStyle name="Normal 2 4 6 6 3" xfId="4889" xr:uid="{3E1E2299-F5EF-4AF7-9B0D-A7837C5D7533}"/>
    <cellStyle name="Normal 2 4 6 7" xfId="1434" xr:uid="{9F4587FB-8E47-40AC-8D82-C4A04F79B5B1}"/>
    <cellStyle name="Normal 2 4 6 7 2" xfId="3155" xr:uid="{F6EAF9CB-F1DB-4053-9B5F-17CA39752237}"/>
    <cellStyle name="Normal 2 4 6 7 2 2" xfId="6826" xr:uid="{192DC9D0-3BF1-44EB-AA7D-872D8BC58870}"/>
    <cellStyle name="Normal 2 4 6 7 3" xfId="5107" xr:uid="{42CF61E3-9954-4302-ABD1-4942A223BE43}"/>
    <cellStyle name="Normal 2 4 6 8" xfId="1653" xr:uid="{60A5EED1-AF5A-4BA1-AFA9-9401EEB6AAE5}"/>
    <cellStyle name="Normal 2 4 6 8 2" xfId="3374" xr:uid="{26286E3B-8572-418C-8E7B-2E035907AFB8}"/>
    <cellStyle name="Normal 2 4 6 8 2 2" xfId="7045" xr:uid="{765EAC26-3A28-4614-9D97-C081E3A73F63}"/>
    <cellStyle name="Normal 2 4 6 8 3" xfId="5325" xr:uid="{872178D8-F3FF-4D94-B59B-B73E4B7F8262}"/>
    <cellStyle name="Normal 2 4 6 9" xfId="1873" xr:uid="{6C04299A-6FAA-4C04-83FC-0B4AC65B7739}"/>
    <cellStyle name="Normal 2 4 6 9 2" xfId="5544" xr:uid="{13FD6CE5-902E-49A6-818E-BB0A71FA1328}"/>
    <cellStyle name="Normal 2 4 7" xfId="133" xr:uid="{ED4E9AA1-37FE-4AB6-B1D0-0527094AAB92}"/>
    <cellStyle name="Normal 2 4 7 10" xfId="3862" xr:uid="{E7A98B28-320D-4D6C-9FF2-550B9ECF273E}"/>
    <cellStyle name="Normal 2 4 7 2" xfId="379" xr:uid="{3D67CFD8-8848-454C-919A-D8A33CF41B9B}"/>
    <cellStyle name="Normal 2 4 7 2 2" xfId="2078" xr:uid="{45F76419-6A44-447F-B038-99FC7E0C6098}"/>
    <cellStyle name="Normal 2 4 7 2 2 2" xfId="5749" xr:uid="{E4DE6151-41A2-4CE6-925B-34764A7AC49A}"/>
    <cellStyle name="Normal 2 4 7 2 3" xfId="4042" xr:uid="{007B886A-DD36-4B89-88BD-0EA9920B91F4}"/>
    <cellStyle name="Normal 2 4 7 3" xfId="575" xr:uid="{C90F1954-C62F-47B8-8171-657F819603C6}"/>
    <cellStyle name="Normal 2 4 7 3 2" xfId="2296" xr:uid="{42E4D399-D797-4990-ADA7-6391C1A1B1C6}"/>
    <cellStyle name="Normal 2 4 7 3 2 2" xfId="5967" xr:uid="{34D9DBC0-45CB-4B86-BCB8-41C8E875A19B}"/>
    <cellStyle name="Normal 2 4 7 3 3" xfId="4248" xr:uid="{5A1332C3-619F-4E79-AE98-1C995AB15B03}"/>
    <cellStyle name="Normal 2 4 7 4" xfId="793" xr:uid="{8477E8E5-9C67-4598-900B-3CB0AF6C9028}"/>
    <cellStyle name="Normal 2 4 7 4 2" xfId="2514" xr:uid="{6C6CF43F-F9BA-478E-9B6A-51BD3EFC9594}"/>
    <cellStyle name="Normal 2 4 7 4 2 2" xfId="6185" xr:uid="{80D38CD8-1121-46D0-B641-256F26B4470C}"/>
    <cellStyle name="Normal 2 4 7 4 3" xfId="4466" xr:uid="{67124996-5391-486A-95D7-54C53EA2778B}"/>
    <cellStyle name="Normal 2 4 7 5" xfId="1011" xr:uid="{1E5FC4ED-0998-4D40-B3BB-F1871791C04E}"/>
    <cellStyle name="Normal 2 4 7 5 2" xfId="2732" xr:uid="{27813FA9-8BC3-445C-988A-5E93F079652A}"/>
    <cellStyle name="Normal 2 4 7 5 2 2" xfId="6403" xr:uid="{AF21DCD8-04E1-468E-BAB1-13F6C20149BB}"/>
    <cellStyle name="Normal 2 4 7 5 3" xfId="4684" xr:uid="{5E049652-11EA-4DBE-B7BD-5AF1305034D0}"/>
    <cellStyle name="Normal 2 4 7 6" xfId="1229" xr:uid="{FF267432-118B-43DC-A6F5-C64A0A0E8E53}"/>
    <cellStyle name="Normal 2 4 7 6 2" xfId="2950" xr:uid="{F47C8204-37EE-4660-A758-B958474F8112}"/>
    <cellStyle name="Normal 2 4 7 6 2 2" xfId="6621" xr:uid="{9D9C22B9-6D1A-4568-B9DF-1558B7C24BA0}"/>
    <cellStyle name="Normal 2 4 7 6 3" xfId="4902" xr:uid="{D0FCB580-44A8-4497-8476-A3EF40BBC720}"/>
    <cellStyle name="Normal 2 4 7 7" xfId="1447" xr:uid="{32DFB7EB-51B8-472D-8F33-6E01A6F54960}"/>
    <cellStyle name="Normal 2 4 7 7 2" xfId="3168" xr:uid="{94C1D21E-BB3E-4048-87E8-0A54469E6365}"/>
    <cellStyle name="Normal 2 4 7 7 2 2" xfId="6839" xr:uid="{0AA6B287-77C2-4328-A778-4668D6CFD78C}"/>
    <cellStyle name="Normal 2 4 7 7 3" xfId="5120" xr:uid="{52A145A0-08B7-4BD1-A596-2783CECD186E}"/>
    <cellStyle name="Normal 2 4 7 8" xfId="1666" xr:uid="{349F9362-191D-4F6C-A13D-ED00A6A00BCD}"/>
    <cellStyle name="Normal 2 4 7 8 2" xfId="3387" xr:uid="{EFFE3D05-0F57-41F3-8DF7-43CE7AF07068}"/>
    <cellStyle name="Normal 2 4 7 8 2 2" xfId="7058" xr:uid="{F4DC058D-640E-46C9-8219-97987E1DFB4A}"/>
    <cellStyle name="Normal 2 4 7 8 3" xfId="5338" xr:uid="{7D8545CF-0EFF-40CA-AF53-8F2B27A1B436}"/>
    <cellStyle name="Normal 2 4 7 9" xfId="1886" xr:uid="{26DC567F-C25B-492D-9BA8-735AAB77AEB5}"/>
    <cellStyle name="Normal 2 4 7 9 2" xfId="5557" xr:uid="{07997756-2C30-44CD-8EF9-EE4B3FC4ED57}"/>
    <cellStyle name="Normal 2 4 8" xfId="146" xr:uid="{59627666-D1BA-4D03-995A-8BDF56478682}"/>
    <cellStyle name="Normal 2 4 8 10" xfId="3875" xr:uid="{DAA2EDC1-3E3B-4F51-AFC3-8746D98C0D01}"/>
    <cellStyle name="Normal 2 4 8 2" xfId="392" xr:uid="{4F4B405F-0E5F-4CD8-9B1D-425B24B09B11}"/>
    <cellStyle name="Normal 2 4 8 2 2" xfId="2091" xr:uid="{B8630084-7125-4A07-A99D-2879FAEB6BCD}"/>
    <cellStyle name="Normal 2 4 8 2 2 2" xfId="5762" xr:uid="{B1EF87AC-0B52-44EE-84B2-D47E75900330}"/>
    <cellStyle name="Normal 2 4 8 2 3" xfId="4055" xr:uid="{ECED9BF8-B0CC-4462-AAA1-80FB384CE838}"/>
    <cellStyle name="Normal 2 4 8 3" xfId="588" xr:uid="{27B079A6-9613-4F37-81C7-84DA74C2F0D1}"/>
    <cellStyle name="Normal 2 4 8 3 2" xfId="2309" xr:uid="{F17199BB-96CB-481A-89F9-C08327279100}"/>
    <cellStyle name="Normal 2 4 8 3 2 2" xfId="5980" xr:uid="{A92013E1-534D-4C9E-AD4E-C11E69617D26}"/>
    <cellStyle name="Normal 2 4 8 3 3" xfId="4261" xr:uid="{90843090-312E-47D7-B974-DDA3ED8A92C9}"/>
    <cellStyle name="Normal 2 4 8 4" xfId="806" xr:uid="{520768AB-1D10-4DB6-9E3D-C527DE0E0CA1}"/>
    <cellStyle name="Normal 2 4 8 4 2" xfId="2527" xr:uid="{BC5E5F02-18C3-47C1-86ED-935376E3EDA3}"/>
    <cellStyle name="Normal 2 4 8 4 2 2" xfId="6198" xr:uid="{5013C974-B875-4172-BA5B-9DE1536CA539}"/>
    <cellStyle name="Normal 2 4 8 4 3" xfId="4479" xr:uid="{FE362C6B-83DB-4E7B-A1F7-ADA17A2A4DE4}"/>
    <cellStyle name="Normal 2 4 8 5" xfId="1024" xr:uid="{14614510-DBC9-494D-8659-54C08EE74393}"/>
    <cellStyle name="Normal 2 4 8 5 2" xfId="2745" xr:uid="{021C8965-BD4E-4C1F-87FF-D3D3CFE5F0B5}"/>
    <cellStyle name="Normal 2 4 8 5 2 2" xfId="6416" xr:uid="{85DD0B8F-6433-4678-BE3A-0C8DA5653233}"/>
    <cellStyle name="Normal 2 4 8 5 3" xfId="4697" xr:uid="{25A11226-22B2-4DCE-9988-D978817FE704}"/>
    <cellStyle name="Normal 2 4 8 6" xfId="1242" xr:uid="{2154F0E1-C638-42F5-A847-9266D33785E5}"/>
    <cellStyle name="Normal 2 4 8 6 2" xfId="2963" xr:uid="{225CB97F-8B22-4BA6-8AC5-ACD4F9D6B721}"/>
    <cellStyle name="Normal 2 4 8 6 2 2" xfId="6634" xr:uid="{5D3AB0AE-6D26-4969-99C0-72BB2CE1375A}"/>
    <cellStyle name="Normal 2 4 8 6 3" xfId="4915" xr:uid="{336A6285-804B-4D4E-82C9-43CECA005F8C}"/>
    <cellStyle name="Normal 2 4 8 7" xfId="1460" xr:uid="{DF5E7632-C2A5-4D1B-A934-15F2A4E717E2}"/>
    <cellStyle name="Normal 2 4 8 7 2" xfId="3181" xr:uid="{100E34F5-FA60-4815-802C-F659C2DDE936}"/>
    <cellStyle name="Normal 2 4 8 7 2 2" xfId="6852" xr:uid="{D39EA73F-713A-4815-AD4F-DDB2B96677CC}"/>
    <cellStyle name="Normal 2 4 8 7 3" xfId="5133" xr:uid="{8A802819-9C68-4FF4-8201-ED2215E60DB8}"/>
    <cellStyle name="Normal 2 4 8 8" xfId="1679" xr:uid="{1E701D38-8DF2-4D1D-A1B6-8ABA526D62E9}"/>
    <cellStyle name="Normal 2 4 8 8 2" xfId="3400" xr:uid="{6B43B53E-A9BF-418F-9625-190E1BBF1EF9}"/>
    <cellStyle name="Normal 2 4 8 8 2 2" xfId="7071" xr:uid="{3EA3DA0A-CB5A-403A-BD0D-0FDEFBE6E5AA}"/>
    <cellStyle name="Normal 2 4 8 8 3" xfId="5351" xr:uid="{C873A9D0-59AA-4860-A975-CB3A03F1CA56}"/>
    <cellStyle name="Normal 2 4 8 9" xfId="1899" xr:uid="{C1AB6224-2D2E-418E-947B-BA449DE81E4D}"/>
    <cellStyle name="Normal 2 4 8 9 2" xfId="5570" xr:uid="{E78D8E15-3887-4E6D-BB4C-1E3D1376D71F}"/>
    <cellStyle name="Normal 2 4 9" xfId="159" xr:uid="{DABD7CAF-D6A2-4CCC-BBE9-813CCBB1C485}"/>
    <cellStyle name="Normal 2 4 9 10" xfId="3888" xr:uid="{79EC8E4E-FADB-4432-BD16-5C136BE4A1D4}"/>
    <cellStyle name="Normal 2 4 9 2" xfId="405" xr:uid="{7C1AC620-F18F-4906-9C2E-35EF680F91F7}"/>
    <cellStyle name="Normal 2 4 9 2 2" xfId="2104" xr:uid="{C8D96611-F687-40B1-9D04-76EDF2AFD420}"/>
    <cellStyle name="Normal 2 4 9 2 2 2" xfId="5775" xr:uid="{A82BF7B3-4C5C-40EB-A2BE-6958D4295B91}"/>
    <cellStyle name="Normal 2 4 9 2 3" xfId="4068" xr:uid="{560835C9-9164-4EB7-A2CA-1D0BB2F91378}"/>
    <cellStyle name="Normal 2 4 9 3" xfId="601" xr:uid="{CF21AA03-B012-4D6B-8117-61E4F4034D97}"/>
    <cellStyle name="Normal 2 4 9 3 2" xfId="2322" xr:uid="{A95FCE9C-C602-4739-8DBC-7791BBAE60DF}"/>
    <cellStyle name="Normal 2 4 9 3 2 2" xfId="5993" xr:uid="{4EB7534F-A7AE-4AC9-89ED-343D8A1C558E}"/>
    <cellStyle name="Normal 2 4 9 3 3" xfId="4274" xr:uid="{93A79050-FEDB-43CA-9F9F-04E29407AB01}"/>
    <cellStyle name="Normal 2 4 9 4" xfId="819" xr:uid="{7FA07F81-5935-4C09-AA2E-C6E19580EB1E}"/>
    <cellStyle name="Normal 2 4 9 4 2" xfId="2540" xr:uid="{16864478-F901-49FC-AB37-68EB5D2F2C91}"/>
    <cellStyle name="Normal 2 4 9 4 2 2" xfId="6211" xr:uid="{4F149829-1B79-47F4-AF19-C36B3C938C13}"/>
    <cellStyle name="Normal 2 4 9 4 3" xfId="4492" xr:uid="{8C198293-AA75-4471-B830-8E629FD8EC28}"/>
    <cellStyle name="Normal 2 4 9 5" xfId="1037" xr:uid="{2A574440-BABF-4806-ACD5-A13DAA20059A}"/>
    <cellStyle name="Normal 2 4 9 5 2" xfId="2758" xr:uid="{CC365048-1401-42EE-B3D9-283547117568}"/>
    <cellStyle name="Normal 2 4 9 5 2 2" xfId="6429" xr:uid="{A460BFB7-476F-47CA-ADE1-BE42185E53F0}"/>
    <cellStyle name="Normal 2 4 9 5 3" xfId="4710" xr:uid="{FB0CF10E-5CFB-4D22-9302-AA3EB1322E0C}"/>
    <cellStyle name="Normal 2 4 9 6" xfId="1255" xr:uid="{A0028605-D10E-448A-BA8B-F71C09BB036F}"/>
    <cellStyle name="Normal 2 4 9 6 2" xfId="2976" xr:uid="{EC1DCC72-334A-4E65-BF36-8ADC5444A52A}"/>
    <cellStyle name="Normal 2 4 9 6 2 2" xfId="6647" xr:uid="{EE76E416-4C12-4A77-8A03-278F5649ACEC}"/>
    <cellStyle name="Normal 2 4 9 6 3" xfId="4928" xr:uid="{3C8C9E4B-32D6-4ABA-801A-E1B4D3DD4C77}"/>
    <cellStyle name="Normal 2 4 9 7" xfId="1473" xr:uid="{45CB8A17-1EFD-4414-9580-EC7BD591047C}"/>
    <cellStyle name="Normal 2 4 9 7 2" xfId="3194" xr:uid="{75FD15F7-63E2-42FA-89A7-B5C0A27A668A}"/>
    <cellStyle name="Normal 2 4 9 7 2 2" xfId="6865" xr:uid="{B956EF42-EC3E-41A4-B4F7-8C4CDEF8DFC9}"/>
    <cellStyle name="Normal 2 4 9 7 3" xfId="5146" xr:uid="{71E0DA1E-E984-4B3B-92D6-9808A794EE8D}"/>
    <cellStyle name="Normal 2 4 9 8" xfId="1692" xr:uid="{49A86B9A-9045-475F-8DD5-B601AA703B7D}"/>
    <cellStyle name="Normal 2 4 9 8 2" xfId="3413" xr:uid="{BADDB254-BC5C-47C3-93AD-D2929FD0E6C8}"/>
    <cellStyle name="Normal 2 4 9 8 2 2" xfId="7084" xr:uid="{49D9382E-834A-4728-81D2-E402651A0044}"/>
    <cellStyle name="Normal 2 4 9 8 3" xfId="5364" xr:uid="{C1DCAF04-2A9C-4A8F-8356-AC18C9ED4905}"/>
    <cellStyle name="Normal 2 4 9 9" xfId="1912" xr:uid="{ED0C32AF-BA65-4BB1-9567-EB4743FDEDE1}"/>
    <cellStyle name="Normal 2 4 9 9 2" xfId="5583" xr:uid="{3F702255-240D-440A-ADFA-FB3683BCBB3F}"/>
    <cellStyle name="Normal 2 5" xfId="62" xr:uid="{0116EAB0-59B9-4D50-B79A-D79653AA40D9}"/>
    <cellStyle name="Normal 2 5 10" xfId="3791" xr:uid="{752FE5B9-B5DC-468B-B7BD-7DF3EFC74C68}"/>
    <cellStyle name="Normal 2 5 2" xfId="308" xr:uid="{58FC9D5A-71B1-478B-B16D-9256A6BB5B67}"/>
    <cellStyle name="Normal 2 5 2 2" xfId="2007" xr:uid="{A07A3840-0A54-4F0E-AEF2-37AFEA4F4ECB}"/>
    <cellStyle name="Normal 2 5 2 2 2" xfId="5678" xr:uid="{A8824BF5-99ED-4A88-AC0C-51A8A0B8737F}"/>
    <cellStyle name="Normal 2 5 2 3" xfId="3622" xr:uid="{BA6C0BDB-13F1-44E5-A716-4EBF2F97A934}"/>
    <cellStyle name="Normal 2 5 3" xfId="504" xr:uid="{0AE06CC4-E018-41C6-82D2-161B50300FDA}"/>
    <cellStyle name="Normal 2 5 3 2" xfId="2225" xr:uid="{325B2C9E-7EE0-453E-9373-8EC89EDB100D}"/>
    <cellStyle name="Normal 2 5 3 2 2" xfId="5896" xr:uid="{C96732A8-90E9-4460-95A9-A60EAB2B02FB}"/>
    <cellStyle name="Normal 2 5 3 3" xfId="3596" xr:uid="{3D171981-05CF-413C-9304-B8FB75514F52}"/>
    <cellStyle name="Normal 2 5 4" xfId="722" xr:uid="{77942FD1-78F1-4A2A-9E84-C75D1FE1BF0D}"/>
    <cellStyle name="Normal 2 5 4 2" xfId="2443" xr:uid="{D727201A-2BBC-4D85-9701-F96155F89965}"/>
    <cellStyle name="Normal 2 5 4 2 2" xfId="6114" xr:uid="{02F4E90D-46EE-4A7A-AFBD-6A677E7C3BBA}"/>
    <cellStyle name="Normal 2 5 4 3" xfId="4395" xr:uid="{0163E7FF-0AA2-42B1-ABD8-0873A8FE12BE}"/>
    <cellStyle name="Normal 2 5 5" xfId="940" xr:uid="{9588CCF9-4F72-4AFF-AF57-ADA0F8CFB4D7}"/>
    <cellStyle name="Normal 2 5 5 2" xfId="2661" xr:uid="{A3EB0AD3-6DF5-4C66-A801-06767381916F}"/>
    <cellStyle name="Normal 2 5 5 2 2" xfId="6332" xr:uid="{8EE26FD3-F305-4155-9121-FCD046152FC6}"/>
    <cellStyle name="Normal 2 5 5 3" xfId="4613" xr:uid="{CCD36F1D-9E2B-4E32-BDF4-69E267CECB9D}"/>
    <cellStyle name="Normal 2 5 6" xfId="1158" xr:uid="{9A5559AF-CA30-4BB0-A05B-0FAE2E7A5252}"/>
    <cellStyle name="Normal 2 5 6 2" xfId="2879" xr:uid="{1FBAF077-6BFD-44E7-91ED-F89BB09E5E56}"/>
    <cellStyle name="Normal 2 5 6 2 2" xfId="6550" xr:uid="{4B3E1164-894B-43E4-B774-32B03A57FB69}"/>
    <cellStyle name="Normal 2 5 6 3" xfId="4831" xr:uid="{706D981F-6C07-43F4-AC1D-BFD45CC3713A}"/>
    <cellStyle name="Normal 2 5 7" xfId="1376" xr:uid="{2B988864-EE9E-4EFA-9F99-615D57FAA4C6}"/>
    <cellStyle name="Normal 2 5 7 2" xfId="3097" xr:uid="{719EED01-B490-4C9A-847D-331CFF6AB9FA}"/>
    <cellStyle name="Normal 2 5 7 2 2" xfId="6768" xr:uid="{3ABE36DE-B518-4DED-83FF-67C9ABD2736A}"/>
    <cellStyle name="Normal 2 5 7 3" xfId="5049" xr:uid="{E7AC8527-74E7-4ECD-8E89-778713ED79A6}"/>
    <cellStyle name="Normal 2 5 8" xfId="1595" xr:uid="{4C91C42F-A52E-4A55-9541-51EFFBC18963}"/>
    <cellStyle name="Normal 2 5 8 2" xfId="3316" xr:uid="{90193F68-B37D-4411-AE92-968F3D8B72AF}"/>
    <cellStyle name="Normal 2 5 8 2 2" xfId="6987" xr:uid="{82D6C407-40DD-46EC-B787-FED2A7F760ED}"/>
    <cellStyle name="Normal 2 5 8 3" xfId="5267" xr:uid="{9BB9B52F-C047-49CC-81B6-CD664A552A0D}"/>
    <cellStyle name="Normal 2 5 9" xfId="1815" xr:uid="{9285698F-AEC4-4F5C-8017-EBE7A804320E}"/>
    <cellStyle name="Normal 2 5 9 2" xfId="5486" xr:uid="{B4D0377F-239A-4AEA-8595-2BF069EA21D6}"/>
    <cellStyle name="Normal 2 6" xfId="75" xr:uid="{57F77F04-4E12-4ADE-A478-78973F9F0F28}"/>
    <cellStyle name="Normal 2 6 10" xfId="3804" xr:uid="{9783EEA6-9C8D-4F66-8827-C5941164323D}"/>
    <cellStyle name="Normal 2 6 2" xfId="321" xr:uid="{15F6D84F-83C5-4488-BEE9-FC417FE961EF}"/>
    <cellStyle name="Normal 2 6 2 2" xfId="2020" xr:uid="{D6551E24-F203-465B-B626-583B082BE9E3}"/>
    <cellStyle name="Normal 2 6 2 2 2" xfId="5691" xr:uid="{BF86605D-D1CD-49E2-B084-9E2387783F28}"/>
    <cellStyle name="Normal 2 6 2 3" xfId="3630" xr:uid="{D8FA378C-01A3-4CAB-9864-6327F34575B6}"/>
    <cellStyle name="Normal 2 6 3" xfId="517" xr:uid="{39E681A7-3B7B-44E9-AC8C-1177D30F7E70}"/>
    <cellStyle name="Normal 2 6 3 2" xfId="2238" xr:uid="{DC40CF3C-0299-4ADE-A76D-36F9A107F155}"/>
    <cellStyle name="Normal 2 6 3 2 2" xfId="5909" xr:uid="{573CFE03-BBF8-4F28-97F4-E02CA488883C}"/>
    <cellStyle name="Normal 2 6 3 3" xfId="3604" xr:uid="{3B1559F2-F205-4E9A-9E4B-400758D3BF6D}"/>
    <cellStyle name="Normal 2 6 4" xfId="735" xr:uid="{171E3579-97CB-4276-9FB9-F8743286418B}"/>
    <cellStyle name="Normal 2 6 4 2" xfId="2456" xr:uid="{DE6FEF93-D1C2-4F64-A7E8-161B44806B2C}"/>
    <cellStyle name="Normal 2 6 4 2 2" xfId="6127" xr:uid="{FFA845E1-8AF8-42F1-84DC-7AFA024CCDA0}"/>
    <cellStyle name="Normal 2 6 4 3" xfId="4408" xr:uid="{5679D3A9-4B2D-4DE7-84E8-C0DD49E9A51D}"/>
    <cellStyle name="Normal 2 6 5" xfId="953" xr:uid="{B207092D-9CB2-4F31-ACC1-B3C3CF8DDB18}"/>
    <cellStyle name="Normal 2 6 5 2" xfId="2674" xr:uid="{7D05D93C-0439-48CF-BDCD-E66123E3B804}"/>
    <cellStyle name="Normal 2 6 5 2 2" xfId="6345" xr:uid="{AD448475-8E75-4570-A530-258043424BE8}"/>
    <cellStyle name="Normal 2 6 5 3" xfId="4626" xr:uid="{180FBBE9-0B6E-44C0-8B6C-0E864D4ADA4E}"/>
    <cellStyle name="Normal 2 6 6" xfId="1171" xr:uid="{AFF35F3D-8E40-43A7-A288-4E8F6BD7D15C}"/>
    <cellStyle name="Normal 2 6 6 2" xfId="2892" xr:uid="{819C1B1A-D9AC-4C60-A916-AF3BADD1E16C}"/>
    <cellStyle name="Normal 2 6 6 2 2" xfId="6563" xr:uid="{D4365A72-8925-4CFC-B3CA-1675DA1FCBBF}"/>
    <cellStyle name="Normal 2 6 6 3" xfId="4844" xr:uid="{A04625B0-3E68-4B81-A378-28A6C31C1575}"/>
    <cellStyle name="Normal 2 6 7" xfId="1389" xr:uid="{E7584213-AD56-49CB-96C6-93727E725F0E}"/>
    <cellStyle name="Normal 2 6 7 2" xfId="3110" xr:uid="{598C8AE9-1242-40A4-8D37-55C20C4FD1EE}"/>
    <cellStyle name="Normal 2 6 7 2 2" xfId="6781" xr:uid="{8DB5176A-D409-4DA3-8DF2-5F28B82F2326}"/>
    <cellStyle name="Normal 2 6 7 3" xfId="5062" xr:uid="{D7AB0D51-929B-4F6A-AC76-AF110AD33C3C}"/>
    <cellStyle name="Normal 2 6 8" xfId="1608" xr:uid="{2E5000E3-8938-4275-BB3E-0DE6864AD292}"/>
    <cellStyle name="Normal 2 6 8 2" xfId="3329" xr:uid="{12CC93D6-3EF9-4790-AA23-DB67941565A5}"/>
    <cellStyle name="Normal 2 6 8 2 2" xfId="7000" xr:uid="{2F9E6C3F-0C86-4678-A65B-148B1D77D3D8}"/>
    <cellStyle name="Normal 2 6 8 3" xfId="5280" xr:uid="{C056901D-1346-4502-BCEA-06C2121A401B}"/>
    <cellStyle name="Normal 2 6 9" xfId="1828" xr:uid="{A2DDD133-0951-4916-8C8E-FCB6791A44D0}"/>
    <cellStyle name="Normal 2 6 9 2" xfId="5499" xr:uid="{3AC134EC-9E43-4A7E-A590-4E4683758546}"/>
    <cellStyle name="Normal 2 7" xfId="88" xr:uid="{F7150606-C2F6-48CC-9206-9A9C70BF8494}"/>
    <cellStyle name="Normal 2 7 10" xfId="3817" xr:uid="{670693DE-F154-40AF-946C-CC059F82ED0F}"/>
    <cellStyle name="Normal 2 7 2" xfId="334" xr:uid="{4A921BE6-708A-47CD-9607-1B5E28801A8A}"/>
    <cellStyle name="Normal 2 7 2 2" xfId="2033" xr:uid="{5CA2A004-B14E-4546-BE79-1F562C191A92}"/>
    <cellStyle name="Normal 2 7 2 2 2" xfId="5704" xr:uid="{272B0708-1723-4B86-9D80-E1ADEF0B04EF}"/>
    <cellStyle name="Normal 2 7 2 3" xfId="3638" xr:uid="{5E95AEEA-7C41-4F92-839D-56762CB6E005}"/>
    <cellStyle name="Normal 2 7 3" xfId="530" xr:uid="{F95DF001-2A6E-4AF7-A951-A0EC27DBBE97}"/>
    <cellStyle name="Normal 2 7 3 2" xfId="2251" xr:uid="{3326CD95-1B9D-44DF-836E-F89097F94774}"/>
    <cellStyle name="Normal 2 7 3 2 2" xfId="5922" xr:uid="{F09FEC07-16F6-4A03-ABD7-6A3F076F817E}"/>
    <cellStyle name="Normal 2 7 3 3" xfId="3612" xr:uid="{2C6254D5-4D00-4316-A87B-8828D527973A}"/>
    <cellStyle name="Normal 2 7 4" xfId="748" xr:uid="{36CE051D-8319-4376-887C-1F9B4434F10F}"/>
    <cellStyle name="Normal 2 7 4 2" xfId="2469" xr:uid="{7653F1EF-CCA2-44F3-944A-BFDE7C49D095}"/>
    <cellStyle name="Normal 2 7 4 2 2" xfId="6140" xr:uid="{9EA1B1F5-1ED0-4151-BC23-42218108D224}"/>
    <cellStyle name="Normal 2 7 4 3" xfId="4421" xr:uid="{9FD7E39A-2A5B-4705-90AE-F232D72A0E34}"/>
    <cellStyle name="Normal 2 7 5" xfId="966" xr:uid="{0F5F5F81-7534-4CB8-A757-12EB3E5F6FB2}"/>
    <cellStyle name="Normal 2 7 5 2" xfId="2687" xr:uid="{15CC8639-FD36-45C5-9FD8-AB4F9C7AA13A}"/>
    <cellStyle name="Normal 2 7 5 2 2" xfId="6358" xr:uid="{A1CE2FBD-FE1F-4691-ACB1-83B661771A80}"/>
    <cellStyle name="Normal 2 7 5 3" xfId="4639" xr:uid="{3A85AF81-0867-40E8-8814-423083C94C23}"/>
    <cellStyle name="Normal 2 7 6" xfId="1184" xr:uid="{EA022A45-4EEF-43C3-A306-5EA848A0E3E4}"/>
    <cellStyle name="Normal 2 7 6 2" xfId="2905" xr:uid="{01161D60-0C63-4FC8-A9D6-A8AD4822631B}"/>
    <cellStyle name="Normal 2 7 6 2 2" xfId="6576" xr:uid="{09390F2E-A7EB-487F-9918-4149E50FD70F}"/>
    <cellStyle name="Normal 2 7 6 3" xfId="4857" xr:uid="{ADD0E8D1-4E27-4767-AD1C-9296C25FDC6B}"/>
    <cellStyle name="Normal 2 7 7" xfId="1402" xr:uid="{12F7A313-8EA4-45EF-8612-2A2532B2D8D7}"/>
    <cellStyle name="Normal 2 7 7 2" xfId="3123" xr:uid="{4C3F3458-8DC0-48E9-BCE8-E9CB12526A90}"/>
    <cellStyle name="Normal 2 7 7 2 2" xfId="6794" xr:uid="{85458B94-191B-4F18-AC16-9FB54F116642}"/>
    <cellStyle name="Normal 2 7 7 3" xfId="5075" xr:uid="{CBB82DCB-DF2D-4547-86D8-C3E31D469C7B}"/>
    <cellStyle name="Normal 2 7 8" xfId="1621" xr:uid="{A2488E75-6C66-48CA-8C15-D7BF53827A60}"/>
    <cellStyle name="Normal 2 7 8 2" xfId="3342" xr:uid="{36BE8AAD-A726-497A-B17C-6F1D7692FC14}"/>
    <cellStyle name="Normal 2 7 8 2 2" xfId="7013" xr:uid="{17E25E00-5A64-4694-A826-94914B06ED3B}"/>
    <cellStyle name="Normal 2 7 8 3" xfId="5293" xr:uid="{B752FB8E-08A3-4C64-948A-30E92799FA6D}"/>
    <cellStyle name="Normal 2 7 9" xfId="1841" xr:uid="{5A2DCCC6-69DC-4D62-8334-C3DBAF942460}"/>
    <cellStyle name="Normal 2 7 9 2" xfId="5512" xr:uid="{5DE856E0-3E76-48C6-A337-F8000AD762B3}"/>
    <cellStyle name="Normal 2 8" xfId="101" xr:uid="{418400B5-23E9-4A8C-8379-F970B7D23431}"/>
    <cellStyle name="Normal 2 8 10" xfId="3830" xr:uid="{7679EE93-5409-4325-BD52-0B5814095302}"/>
    <cellStyle name="Normal 2 8 2" xfId="347" xr:uid="{7320AF09-E158-4974-8B0C-D3DAD12C9BC9}"/>
    <cellStyle name="Normal 2 8 2 2" xfId="2046" xr:uid="{FD615778-E01F-4961-B4E9-B89152CAD5B1}"/>
    <cellStyle name="Normal 2 8 2 2 2" xfId="5717" xr:uid="{4E7B60C0-CAC7-4759-9BFE-739E71CF3705}"/>
    <cellStyle name="Normal 2 8 2 3" xfId="4010" xr:uid="{D750CA31-B1D3-4BCE-A212-0309CCFB0E10}"/>
    <cellStyle name="Normal 2 8 3" xfId="543" xr:uid="{BF88AA37-65B8-44D2-BDD1-A7C86FD311C9}"/>
    <cellStyle name="Normal 2 8 3 2" xfId="2264" xr:uid="{B7B7BA89-B5EF-4080-86CA-C2B9AB9B908D}"/>
    <cellStyle name="Normal 2 8 3 2 2" xfId="5935" xr:uid="{392D4A2D-A29C-4E42-9389-8D69CECF62F6}"/>
    <cellStyle name="Normal 2 8 3 3" xfId="4216" xr:uid="{D65F026E-B798-4CBC-979B-8AAB7FABF054}"/>
    <cellStyle name="Normal 2 8 4" xfId="761" xr:uid="{C58D36C9-B5C7-433B-B29B-9BEF810A9AB1}"/>
    <cellStyle name="Normal 2 8 4 2" xfId="2482" xr:uid="{F43EF515-A5E1-4D7C-B080-67F2CD0D11BA}"/>
    <cellStyle name="Normal 2 8 4 2 2" xfId="6153" xr:uid="{4BE5F764-8CDE-4676-8A3D-73D48FF95B12}"/>
    <cellStyle name="Normal 2 8 4 3" xfId="4434" xr:uid="{54DC4004-35C6-4274-86D2-02D30BA17C11}"/>
    <cellStyle name="Normal 2 8 5" xfId="979" xr:uid="{DD90FF83-C324-4CE0-A6F5-D598B9874B71}"/>
    <cellStyle name="Normal 2 8 5 2" xfId="2700" xr:uid="{E4ECE50F-7A57-4D02-8551-DEC00D2BA8A0}"/>
    <cellStyle name="Normal 2 8 5 2 2" xfId="6371" xr:uid="{2D3FA050-4034-423E-831A-6B7A8AFFE57C}"/>
    <cellStyle name="Normal 2 8 5 3" xfId="4652" xr:uid="{CEE09C60-A759-40D2-B72A-0CB857D5D256}"/>
    <cellStyle name="Normal 2 8 6" xfId="1197" xr:uid="{4517D36C-D9D6-4016-BC54-B2743B0D8545}"/>
    <cellStyle name="Normal 2 8 6 2" xfId="2918" xr:uid="{81048E7C-6C43-450C-9820-313110759A05}"/>
    <cellStyle name="Normal 2 8 6 2 2" xfId="6589" xr:uid="{354662AF-C9DF-4E56-9860-DED652C6AFE9}"/>
    <cellStyle name="Normal 2 8 6 3" xfId="4870" xr:uid="{7661AE9F-948A-4CAA-9AE9-7402D2559B15}"/>
    <cellStyle name="Normal 2 8 7" xfId="1415" xr:uid="{E2AA8528-921C-4C44-AE27-B2E2AAE63939}"/>
    <cellStyle name="Normal 2 8 7 2" xfId="3136" xr:uid="{0A0BE192-3236-4355-9C6F-C1529224D172}"/>
    <cellStyle name="Normal 2 8 7 2 2" xfId="6807" xr:uid="{49E6E763-90C1-4CB2-8088-82091A54AE8B}"/>
    <cellStyle name="Normal 2 8 7 3" xfId="5088" xr:uid="{0446D6BD-C5B0-413A-8D90-AE31684FC8A2}"/>
    <cellStyle name="Normal 2 8 8" xfId="1634" xr:uid="{65638D87-7355-4463-A1BB-CFAFACD2DC82}"/>
    <cellStyle name="Normal 2 8 8 2" xfId="3355" xr:uid="{BC4B1CD1-F9A1-41CB-B5F8-7D582D01146A}"/>
    <cellStyle name="Normal 2 8 8 2 2" xfId="7026" xr:uid="{2EDB99D8-1933-4B5E-9FDE-F121D20A6434}"/>
    <cellStyle name="Normal 2 8 8 3" xfId="5306" xr:uid="{9F2CA693-5B6E-4EB7-992C-D6C909F6C44E}"/>
    <cellStyle name="Normal 2 8 9" xfId="1854" xr:uid="{8F7D85DA-11B6-4896-BBA0-B88870D4FA2A}"/>
    <cellStyle name="Normal 2 8 9 2" xfId="5525" xr:uid="{4D6002DB-A2CD-4F4B-919B-76E1DE931029}"/>
    <cellStyle name="Normal 2 9" xfId="114" xr:uid="{0978F491-3DB9-4364-A75A-621012849533}"/>
    <cellStyle name="Normal 2 9 10" xfId="3843" xr:uid="{A1A25037-B1DA-448D-AED5-5E66F873A1B8}"/>
    <cellStyle name="Normal 2 9 2" xfId="360" xr:uid="{0C6658E8-505F-4C1A-95D8-C617B91D2E43}"/>
    <cellStyle name="Normal 2 9 2 2" xfId="2059" xr:uid="{D504F919-38AD-482E-81B8-3D88ECCCC184}"/>
    <cellStyle name="Normal 2 9 2 2 2" xfId="5730" xr:uid="{315EB365-633B-4FEF-9A8B-5FFA025BCC5B}"/>
    <cellStyle name="Normal 2 9 2 3" xfId="4023" xr:uid="{5A392888-CFE8-44D6-9165-A8C3B3063863}"/>
    <cellStyle name="Normal 2 9 3" xfId="556" xr:uid="{5A77943F-D41A-4BA3-82B2-5CA6BF77CD3D}"/>
    <cellStyle name="Normal 2 9 3 2" xfId="2277" xr:uid="{E8A0F27E-D577-48F0-86BC-3D0D57950D3C}"/>
    <cellStyle name="Normal 2 9 3 2 2" xfId="5948" xr:uid="{69AAB6B2-2E5F-45F0-9130-344275F1B992}"/>
    <cellStyle name="Normal 2 9 3 3" xfId="4229" xr:uid="{CB189441-78FB-4F49-B0F3-36E5B855D2B2}"/>
    <cellStyle name="Normal 2 9 4" xfId="774" xr:uid="{21FC6428-0399-4795-BA28-8C9C5546F4D8}"/>
    <cellStyle name="Normal 2 9 4 2" xfId="2495" xr:uid="{69240DB5-5296-4024-9485-FEB4A1F4F5B7}"/>
    <cellStyle name="Normal 2 9 4 2 2" xfId="6166" xr:uid="{0D6794A2-0B8A-45AF-A2FC-371CD4289939}"/>
    <cellStyle name="Normal 2 9 4 3" xfId="4447" xr:uid="{E78DF4BB-88D5-48A6-ACD3-554CA0D25508}"/>
    <cellStyle name="Normal 2 9 5" xfId="992" xr:uid="{5820BAF1-8F3A-40F9-A7F0-F8414D32B9E5}"/>
    <cellStyle name="Normal 2 9 5 2" xfId="2713" xr:uid="{A78650EC-E457-49A0-A9E7-2C8B7927326E}"/>
    <cellStyle name="Normal 2 9 5 2 2" xfId="6384" xr:uid="{F08A56F5-A846-4A07-B357-56E44565F7FA}"/>
    <cellStyle name="Normal 2 9 5 3" xfId="4665" xr:uid="{2E9F49CD-EF18-4CE6-952A-711BD4CCC0F0}"/>
    <cellStyle name="Normal 2 9 6" xfId="1210" xr:uid="{AD9B4E47-DE99-401A-B283-10CA964A879C}"/>
    <cellStyle name="Normal 2 9 6 2" xfId="2931" xr:uid="{0A034E83-01AB-47D3-993E-5CAD7747DAC0}"/>
    <cellStyle name="Normal 2 9 6 2 2" xfId="6602" xr:uid="{1C73B17E-20AC-4EAA-ACA1-7695B47C12E7}"/>
    <cellStyle name="Normal 2 9 6 3" xfId="4883" xr:uid="{28887300-65A6-47F1-B922-1DE2AB7AAF61}"/>
    <cellStyle name="Normal 2 9 7" xfId="1428" xr:uid="{1F94A1FE-B46F-4182-BA1C-FB8C62781238}"/>
    <cellStyle name="Normal 2 9 7 2" xfId="3149" xr:uid="{897B4552-B29B-45CA-AA28-AC577B28E4C4}"/>
    <cellStyle name="Normal 2 9 7 2 2" xfId="6820" xr:uid="{8131D14E-FF93-4574-B10A-B3B7F247520F}"/>
    <cellStyle name="Normal 2 9 7 3" xfId="5101" xr:uid="{7DB7B401-6C94-45B7-893E-79D6B41180BA}"/>
    <cellStyle name="Normal 2 9 8" xfId="1647" xr:uid="{2FA3DBE7-DE8E-483C-8BB3-B08777E1E59F}"/>
    <cellStyle name="Normal 2 9 8 2" xfId="3368" xr:uid="{417782CE-D0FB-4326-ABDC-DA8BB916C4DF}"/>
    <cellStyle name="Normal 2 9 8 2 2" xfId="7039" xr:uid="{D1E34B03-415F-41DE-9808-4767C8E56130}"/>
    <cellStyle name="Normal 2 9 8 3" xfId="5319" xr:uid="{30395EC4-894C-447F-B958-82A489922753}"/>
    <cellStyle name="Normal 2 9 9" xfId="1867" xr:uid="{6AD8FCD8-BFF2-4439-BFB1-719744A208C7}"/>
    <cellStyle name="Normal 2 9 9 2" xfId="5538" xr:uid="{6D097C8E-3B30-49A1-B4B6-BC6574998D32}"/>
    <cellStyle name="Normal 3" xfId="43" xr:uid="{8567EE0A-39AD-427F-B0BE-33812884AED8}"/>
    <cellStyle name="Normal 3 10" xfId="141" xr:uid="{5CBD5E9D-32BF-47C9-8174-7CE0E2D713B7}"/>
    <cellStyle name="Normal 3 10 10" xfId="3870" xr:uid="{8742AFCF-5EF3-4C81-870F-B1731B6F93CE}"/>
    <cellStyle name="Normal 3 10 2" xfId="387" xr:uid="{2B3D265A-D7B2-4F74-A73B-7BC0F50BA36E}"/>
    <cellStyle name="Normal 3 10 2 2" xfId="2086" xr:uid="{6B406DCB-EE00-4E1B-9643-7D78A9733F26}"/>
    <cellStyle name="Normal 3 10 2 2 2" xfId="5757" xr:uid="{846B134F-46DC-49ED-AB8E-1F6DFECD8F4F}"/>
    <cellStyle name="Normal 3 10 2 3" xfId="4050" xr:uid="{6A7E52B8-0692-4179-AE9F-BFC6E590A5B6}"/>
    <cellStyle name="Normal 3 10 3" xfId="583" xr:uid="{2C2498BD-B097-41F2-BFC1-F31BD0910E19}"/>
    <cellStyle name="Normal 3 10 3 2" xfId="2304" xr:uid="{23204EA9-4452-4C84-99FF-3D883295DD9C}"/>
    <cellStyle name="Normal 3 10 3 2 2" xfId="5975" xr:uid="{0B11DF03-B038-480B-A1C8-0D50D25A70D7}"/>
    <cellStyle name="Normal 3 10 3 3" xfId="4256" xr:uid="{3E7998B1-CBA9-49C3-9092-0DB22B3C8C0D}"/>
    <cellStyle name="Normal 3 10 4" xfId="801" xr:uid="{11589DC1-9867-48F8-A816-79C2D3CABAD1}"/>
    <cellStyle name="Normal 3 10 4 2" xfId="2522" xr:uid="{B594CC40-507A-4776-8C17-37B293430243}"/>
    <cellStyle name="Normal 3 10 4 2 2" xfId="6193" xr:uid="{3E7E876A-643C-4E88-A350-34ADA96662E9}"/>
    <cellStyle name="Normal 3 10 4 3" xfId="4474" xr:uid="{0AB2FDBC-930E-4493-B078-8D861999A4C0}"/>
    <cellStyle name="Normal 3 10 5" xfId="1019" xr:uid="{96D6A800-6DAF-4052-A977-5D24029B05D9}"/>
    <cellStyle name="Normal 3 10 5 2" xfId="2740" xr:uid="{8536B64B-BD6D-4C1B-A39F-5ECDC4CAC9AC}"/>
    <cellStyle name="Normal 3 10 5 2 2" xfId="6411" xr:uid="{82606BB3-9CA3-4805-A636-DA85E1D3E527}"/>
    <cellStyle name="Normal 3 10 5 3" xfId="4692" xr:uid="{F07541E9-D505-46AC-9015-DFBB2A99953B}"/>
    <cellStyle name="Normal 3 10 6" xfId="1237" xr:uid="{FBB2DFB6-9033-4528-AF7F-FCE0CCB612A8}"/>
    <cellStyle name="Normal 3 10 6 2" xfId="2958" xr:uid="{C770C0AC-D644-4820-8D82-E69B86E56709}"/>
    <cellStyle name="Normal 3 10 6 2 2" xfId="6629" xr:uid="{CB424809-28C0-4267-95E6-975D117AA214}"/>
    <cellStyle name="Normal 3 10 6 3" xfId="4910" xr:uid="{A8DC1116-49F0-482C-8438-663A42F2B1E9}"/>
    <cellStyle name="Normal 3 10 7" xfId="1455" xr:uid="{6705F602-5051-4AEF-B312-D86DA3899F3D}"/>
    <cellStyle name="Normal 3 10 7 2" xfId="3176" xr:uid="{3A421AB3-CC19-4F2C-94ED-B00E056D4A78}"/>
    <cellStyle name="Normal 3 10 7 2 2" xfId="6847" xr:uid="{E3118107-B601-4867-9457-F265DAE73281}"/>
    <cellStyle name="Normal 3 10 7 3" xfId="5128" xr:uid="{6242AA6F-F874-4F00-B027-05A2E4CB498B}"/>
    <cellStyle name="Normal 3 10 8" xfId="1674" xr:uid="{D7E09AD4-1D1B-4DC4-B5C5-ECF379EB124D}"/>
    <cellStyle name="Normal 3 10 8 2" xfId="3395" xr:uid="{72EC5178-E2C3-417A-B652-0329CC3E8E0B}"/>
    <cellStyle name="Normal 3 10 8 2 2" xfId="7066" xr:uid="{8FCD0193-5464-406C-9F2E-D7A2C6EBBB6D}"/>
    <cellStyle name="Normal 3 10 8 3" xfId="5346" xr:uid="{90538ADA-E181-4A1F-96EA-0E4CBDEFEF1A}"/>
    <cellStyle name="Normal 3 10 9" xfId="1894" xr:uid="{F7FE3BFF-7F1D-4FB2-A0AF-B3CFB56D254C}"/>
    <cellStyle name="Normal 3 10 9 2" xfId="5565" xr:uid="{F1029978-7EAD-4546-BD5A-3C05C8528CEA}"/>
    <cellStyle name="Normal 3 11" xfId="154" xr:uid="{DFC5555A-5800-46E7-BF29-344EC7EA369A}"/>
    <cellStyle name="Normal 3 11 10" xfId="3883" xr:uid="{4ECE64E9-4A6C-428B-949A-22C3DBD783E7}"/>
    <cellStyle name="Normal 3 11 2" xfId="400" xr:uid="{F2A135C4-03D9-42AC-8C97-7EECB81DE332}"/>
    <cellStyle name="Normal 3 11 2 2" xfId="2099" xr:uid="{0405B91A-1673-4FBE-ADF9-9D2C97E05C36}"/>
    <cellStyle name="Normal 3 11 2 2 2" xfId="5770" xr:uid="{4A6FEA01-BA4F-4967-BF8B-FD7EEE78AA4C}"/>
    <cellStyle name="Normal 3 11 2 3" xfId="4063" xr:uid="{AD78226D-E77A-469B-B14F-551956E5A2A7}"/>
    <cellStyle name="Normal 3 11 3" xfId="596" xr:uid="{7380A11C-241F-4D64-A332-C3A58A2A49AF}"/>
    <cellStyle name="Normal 3 11 3 2" xfId="2317" xr:uid="{DBB31E29-A377-4823-90A8-21E85EC2E2E6}"/>
    <cellStyle name="Normal 3 11 3 2 2" xfId="5988" xr:uid="{93C3792D-2E11-4F78-8634-81C8408D1EB7}"/>
    <cellStyle name="Normal 3 11 3 3" xfId="4269" xr:uid="{0F430EA9-E0FD-443D-9C2C-96F210C0E252}"/>
    <cellStyle name="Normal 3 11 4" xfId="814" xr:uid="{B59C5702-CD3B-47C8-823D-73BD4040E639}"/>
    <cellStyle name="Normal 3 11 4 2" xfId="2535" xr:uid="{A6868DAC-F355-44A9-88CC-D906F84D80B2}"/>
    <cellStyle name="Normal 3 11 4 2 2" xfId="6206" xr:uid="{C27D8891-DB79-496A-871B-434AEBAA5303}"/>
    <cellStyle name="Normal 3 11 4 3" xfId="4487" xr:uid="{541C33FA-F488-4C03-B5BC-9D951F3E38EC}"/>
    <cellStyle name="Normal 3 11 5" xfId="1032" xr:uid="{FB7B2549-1BE0-4030-9F14-6AE65DEB8166}"/>
    <cellStyle name="Normal 3 11 5 2" xfId="2753" xr:uid="{36B45468-87F9-4C95-AF3B-7F8ADAC64F74}"/>
    <cellStyle name="Normal 3 11 5 2 2" xfId="6424" xr:uid="{59733FE4-D4B9-45CC-BF4A-4C481F07FB60}"/>
    <cellStyle name="Normal 3 11 5 3" xfId="4705" xr:uid="{88438C9F-E38A-4B11-8503-F558CA1C27DF}"/>
    <cellStyle name="Normal 3 11 6" xfId="1250" xr:uid="{00F45DCA-E306-4ACB-B328-21F7882F0B20}"/>
    <cellStyle name="Normal 3 11 6 2" xfId="2971" xr:uid="{156F08B6-6386-4850-B3D2-C0B05FC2E025}"/>
    <cellStyle name="Normal 3 11 6 2 2" xfId="6642" xr:uid="{A2E4B7EE-A89A-4486-B58C-461AB24872A4}"/>
    <cellStyle name="Normal 3 11 6 3" xfId="4923" xr:uid="{8C9F90B9-BDBB-4308-B9AD-B1958EFE7717}"/>
    <cellStyle name="Normal 3 11 7" xfId="1468" xr:uid="{9491DC20-0697-4665-8C9D-1985B1D2C330}"/>
    <cellStyle name="Normal 3 11 7 2" xfId="3189" xr:uid="{FF5379DB-FFF7-40C7-8B03-86DC9BCC5C07}"/>
    <cellStyle name="Normal 3 11 7 2 2" xfId="6860" xr:uid="{C1787A2D-FE78-435B-841A-D92029FBB721}"/>
    <cellStyle name="Normal 3 11 7 3" xfId="5141" xr:uid="{9C714A9B-2889-4121-925D-D436D893853D}"/>
    <cellStyle name="Normal 3 11 8" xfId="1687" xr:uid="{4A3425B7-F644-4487-8A90-1BAD4F9BA072}"/>
    <cellStyle name="Normal 3 11 8 2" xfId="3408" xr:uid="{AF123144-AFBE-4634-925A-24ED2BC46285}"/>
    <cellStyle name="Normal 3 11 8 2 2" xfId="7079" xr:uid="{6722E89F-F161-4BB1-9A27-CE8A1871B1B4}"/>
    <cellStyle name="Normal 3 11 8 3" xfId="5359" xr:uid="{0F436242-7C98-4EE9-8FE9-CE3AEAABE8BA}"/>
    <cellStyle name="Normal 3 11 9" xfId="1907" xr:uid="{824081C0-6592-46EE-B1F3-E48523C7DE2E}"/>
    <cellStyle name="Normal 3 11 9 2" xfId="5578" xr:uid="{BECFA2CF-B01D-4E2B-851D-835FAB0ABFF1}"/>
    <cellStyle name="Normal 3 12" xfId="167" xr:uid="{12FB08A0-5183-4142-91CC-68CB068FA7FD}"/>
    <cellStyle name="Normal 3 12 10" xfId="3896" xr:uid="{B3371067-2920-483A-97DA-F55E9311B4A6}"/>
    <cellStyle name="Normal 3 12 2" xfId="413" xr:uid="{FD07E84F-ABF3-4F54-B06D-B67B7AFA1879}"/>
    <cellStyle name="Normal 3 12 2 2" xfId="2112" xr:uid="{E9E3CC18-57DD-4E97-98C7-B3D32894A06E}"/>
    <cellStyle name="Normal 3 12 2 2 2" xfId="5783" xr:uid="{79CD89C4-D4A5-4891-B329-E71410812425}"/>
    <cellStyle name="Normal 3 12 2 3" xfId="4076" xr:uid="{28A7C6D9-770B-491E-B2A6-8263B21126E5}"/>
    <cellStyle name="Normal 3 12 3" xfId="609" xr:uid="{3454F92B-FDBB-47F8-A385-3B3F1A681E03}"/>
    <cellStyle name="Normal 3 12 3 2" xfId="2330" xr:uid="{D4F34223-E095-46A5-8FEC-75D2DB244233}"/>
    <cellStyle name="Normal 3 12 3 2 2" xfId="6001" xr:uid="{D2237F1F-2535-4929-8901-8F1F2DBB974B}"/>
    <cellStyle name="Normal 3 12 3 3" xfId="4282" xr:uid="{0A113F58-9DC4-4EBF-9DD2-5B6983964812}"/>
    <cellStyle name="Normal 3 12 4" xfId="827" xr:uid="{1425FC3B-F74A-4B07-8DF6-A048215BF2AB}"/>
    <cellStyle name="Normal 3 12 4 2" xfId="2548" xr:uid="{96A36BC1-E8D8-4CE8-8866-20C8F98B277E}"/>
    <cellStyle name="Normal 3 12 4 2 2" xfId="6219" xr:uid="{B6B9861F-12DB-42CE-A3C5-F2F5591E2099}"/>
    <cellStyle name="Normal 3 12 4 3" xfId="4500" xr:uid="{34CAE581-82AF-49E4-BE25-EF3348831BCA}"/>
    <cellStyle name="Normal 3 12 5" xfId="1045" xr:uid="{59AACBC7-2B7E-4AE8-A8C6-E3E73277A623}"/>
    <cellStyle name="Normal 3 12 5 2" xfId="2766" xr:uid="{EB551394-C484-4C86-9641-CC5946B03F05}"/>
    <cellStyle name="Normal 3 12 5 2 2" xfId="6437" xr:uid="{C785619C-45EF-4C5F-92B5-E09818CE87E4}"/>
    <cellStyle name="Normal 3 12 5 3" xfId="4718" xr:uid="{87FC1133-8BA8-4F9A-8553-8CECFF70E996}"/>
    <cellStyle name="Normal 3 12 6" xfId="1263" xr:uid="{16C1FA02-935A-4E42-B2D2-84CA9FA107F4}"/>
    <cellStyle name="Normal 3 12 6 2" xfId="2984" xr:uid="{069E4A76-6D37-431E-AC48-655B73684337}"/>
    <cellStyle name="Normal 3 12 6 2 2" xfId="6655" xr:uid="{9EB11CA2-ED60-4E26-85C6-691201B748BE}"/>
    <cellStyle name="Normal 3 12 6 3" xfId="4936" xr:uid="{DB5F7C0B-5F2B-4289-96BD-5D33BCBD46CA}"/>
    <cellStyle name="Normal 3 12 7" xfId="1481" xr:uid="{377BB599-0031-4954-9C99-13D1A0B8E3CE}"/>
    <cellStyle name="Normal 3 12 7 2" xfId="3202" xr:uid="{26B7E4B0-6599-4006-988A-09C31288474F}"/>
    <cellStyle name="Normal 3 12 7 2 2" xfId="6873" xr:uid="{068BAB3E-B5B6-41B3-8B4E-F4FF68BCE148}"/>
    <cellStyle name="Normal 3 12 7 3" xfId="5154" xr:uid="{C1244F1D-38B7-4D85-85D6-11209465CFD3}"/>
    <cellStyle name="Normal 3 12 8" xfId="1700" xr:uid="{02E251E5-94E2-4A79-8528-9F31303CBC3F}"/>
    <cellStyle name="Normal 3 12 8 2" xfId="3421" xr:uid="{EE8D0FA7-A44C-42EA-9052-7E7F2F56C121}"/>
    <cellStyle name="Normal 3 12 8 2 2" xfId="7092" xr:uid="{5865A650-8022-4F9E-9706-DDE55818AAFB}"/>
    <cellStyle name="Normal 3 12 8 3" xfId="5372" xr:uid="{BBC43294-9F6E-4FB4-9B40-18462772C431}"/>
    <cellStyle name="Normal 3 12 9" xfId="1920" xr:uid="{215EDA5D-1F65-414F-9230-E667CAA0A89D}"/>
    <cellStyle name="Normal 3 12 9 2" xfId="5591" xr:uid="{01D56C7E-53D3-4172-A873-85C6B685281E}"/>
    <cellStyle name="Normal 3 13" xfId="180" xr:uid="{BF4AD927-2D2F-48DA-8FDC-A7635F525CE8}"/>
    <cellStyle name="Normal 3 13 10" xfId="3909" xr:uid="{3C258A7E-6AF6-4892-9FC3-34370A59A19A}"/>
    <cellStyle name="Normal 3 13 2" xfId="426" xr:uid="{F6B886EE-82EC-41FB-A2F7-226D9EA1A242}"/>
    <cellStyle name="Normal 3 13 2 2" xfId="2125" xr:uid="{2DE04A78-A5B1-4BF4-A723-E8B5B9648A3D}"/>
    <cellStyle name="Normal 3 13 2 2 2" xfId="5796" xr:uid="{A87E7AE1-6585-4AEC-9FF7-8CC5AF40B7FE}"/>
    <cellStyle name="Normal 3 13 2 3" xfId="4089" xr:uid="{E219D32E-CEDC-4ECA-A6A0-595106DCB7E1}"/>
    <cellStyle name="Normal 3 13 3" xfId="622" xr:uid="{BD921E12-CAAB-4B5C-822A-ED51AB455C99}"/>
    <cellStyle name="Normal 3 13 3 2" xfId="2343" xr:uid="{A2ADE63C-1610-4CE1-83BE-E6D3BD3150B8}"/>
    <cellStyle name="Normal 3 13 3 2 2" xfId="6014" xr:uid="{F7C05F4A-CCEC-4C12-A56C-8B27EDDB7993}"/>
    <cellStyle name="Normal 3 13 3 3" xfId="4295" xr:uid="{6FBF98BA-B4A2-4267-A7F8-A533398321A4}"/>
    <cellStyle name="Normal 3 13 4" xfId="840" xr:uid="{F4DE9614-4557-4F93-9D48-11EA1A39C37D}"/>
    <cellStyle name="Normal 3 13 4 2" xfId="2561" xr:uid="{731EE35F-FAC8-4089-88CD-07B57522982D}"/>
    <cellStyle name="Normal 3 13 4 2 2" xfId="6232" xr:uid="{E4AA620F-629C-4629-B8F9-BE2D377535A0}"/>
    <cellStyle name="Normal 3 13 4 3" xfId="4513" xr:uid="{084F7E43-5F42-494B-B3C9-11B3EBE263CD}"/>
    <cellStyle name="Normal 3 13 5" xfId="1058" xr:uid="{6ECF9359-BA13-436B-B9C6-EC7789CD84D5}"/>
    <cellStyle name="Normal 3 13 5 2" xfId="2779" xr:uid="{22986B5C-D8F4-4B6F-95DA-1A750AB6EFE4}"/>
    <cellStyle name="Normal 3 13 5 2 2" xfId="6450" xr:uid="{9DBD9189-4E3C-471D-85B3-AFA3ECEA0E30}"/>
    <cellStyle name="Normal 3 13 5 3" xfId="4731" xr:uid="{C542AC15-4822-4CEA-97B1-8203BDB3D4D0}"/>
    <cellStyle name="Normal 3 13 6" xfId="1276" xr:uid="{45B25E53-B7A8-4D6F-9960-EF97800A3774}"/>
    <cellStyle name="Normal 3 13 6 2" xfId="2997" xr:uid="{E343E882-230C-4947-BA53-AF95C1D1F0B1}"/>
    <cellStyle name="Normal 3 13 6 2 2" xfId="6668" xr:uid="{A10562AA-B9E5-4501-B5C9-C31DAFDADA1B}"/>
    <cellStyle name="Normal 3 13 6 3" xfId="4949" xr:uid="{D9360E7F-CB55-4060-B6F2-8BF7685B8BFE}"/>
    <cellStyle name="Normal 3 13 7" xfId="1494" xr:uid="{084EA65B-23EB-488C-B905-D3713AEBF7AD}"/>
    <cellStyle name="Normal 3 13 7 2" xfId="3215" xr:uid="{93249F82-237B-4AB6-A319-70DE8956BA68}"/>
    <cellStyle name="Normal 3 13 7 2 2" xfId="6886" xr:uid="{2A71D0D5-1323-4044-B6AA-DE473503D424}"/>
    <cellStyle name="Normal 3 13 7 3" xfId="5167" xr:uid="{C13DB9F8-C409-4BAF-BE2C-3A2C70581E88}"/>
    <cellStyle name="Normal 3 13 8" xfId="1713" xr:uid="{E7BACA9D-DCA2-4732-B159-ABE0ABA4B9D7}"/>
    <cellStyle name="Normal 3 13 8 2" xfId="3434" xr:uid="{C2ACBA07-FD26-45A4-8DF5-29839B525C9A}"/>
    <cellStyle name="Normal 3 13 8 2 2" xfId="7105" xr:uid="{AB92041A-8101-4D5D-83D7-74E9A89C8A40}"/>
    <cellStyle name="Normal 3 13 8 3" xfId="5385" xr:uid="{4FEA5E14-C7F4-495C-929B-39806A351307}"/>
    <cellStyle name="Normal 3 13 9" xfId="1933" xr:uid="{15BD5AD2-3FF6-4FAB-8867-B89F8B2F1D60}"/>
    <cellStyle name="Normal 3 13 9 2" xfId="5604" xr:uid="{F8C27ABF-2788-472E-A8C5-AEF6D1251B57}"/>
    <cellStyle name="Normal 3 14" xfId="193" xr:uid="{1359E7C8-64D3-4231-A2D4-2E5EFD03744F}"/>
    <cellStyle name="Normal 3 14 10" xfId="3922" xr:uid="{5B947844-3AC9-45F0-8CB8-3436A6AF5E5C}"/>
    <cellStyle name="Normal 3 14 2" xfId="439" xr:uid="{5318574F-FEF1-41B7-AD63-61100A96352D}"/>
    <cellStyle name="Normal 3 14 2 2" xfId="2138" xr:uid="{D5EFE4DA-AEAD-4B9C-B075-45B6EE2E7AEF}"/>
    <cellStyle name="Normal 3 14 2 2 2" xfId="5809" xr:uid="{51E3E9AF-AEBA-46A5-B87E-FC4076A8AF47}"/>
    <cellStyle name="Normal 3 14 2 3" xfId="4102" xr:uid="{906A2EDD-6289-4E5E-AA63-FE171069AA68}"/>
    <cellStyle name="Normal 3 14 3" xfId="635" xr:uid="{97CD6636-9064-49D9-9FC6-3BEC3EBDBF81}"/>
    <cellStyle name="Normal 3 14 3 2" xfId="2356" xr:uid="{3066D105-71D1-4D36-BE84-2649DC9AF428}"/>
    <cellStyle name="Normal 3 14 3 2 2" xfId="6027" xr:uid="{21707DDA-76E6-4EA4-8B74-A9603AEA155C}"/>
    <cellStyle name="Normal 3 14 3 3" xfId="4308" xr:uid="{1145BD8A-4B81-44BC-BF44-74C1795C6712}"/>
    <cellStyle name="Normal 3 14 4" xfId="853" xr:uid="{6DCA4536-CEEA-4D7B-A7B6-2C2FF96F227F}"/>
    <cellStyle name="Normal 3 14 4 2" xfId="2574" xr:uid="{4E99229B-B51F-4CD1-AEA1-7821E2E3B802}"/>
    <cellStyle name="Normal 3 14 4 2 2" xfId="6245" xr:uid="{B9BCBA95-303B-4A96-B97F-CD14E30CCC4E}"/>
    <cellStyle name="Normal 3 14 4 3" xfId="4526" xr:uid="{7B83601A-4ED2-486F-9933-17FF20F35ABD}"/>
    <cellStyle name="Normal 3 14 5" xfId="1071" xr:uid="{72E8B7FE-5C65-42EF-B453-9A67FC085A36}"/>
    <cellStyle name="Normal 3 14 5 2" xfId="2792" xr:uid="{4DD6A54F-A13D-441A-9F27-381A0D1595AE}"/>
    <cellStyle name="Normal 3 14 5 2 2" xfId="6463" xr:uid="{15D653BB-9E6C-4612-B37A-4E83AB10A32B}"/>
    <cellStyle name="Normal 3 14 5 3" xfId="4744" xr:uid="{AD5779DB-1935-46AD-96E0-F930DBB8E93B}"/>
    <cellStyle name="Normal 3 14 6" xfId="1289" xr:uid="{6737DCC4-4D8E-48D7-A8EE-DEC3518DFD1C}"/>
    <cellStyle name="Normal 3 14 6 2" xfId="3010" xr:uid="{EC24035F-2540-4029-BE0D-28AD85EE56F0}"/>
    <cellStyle name="Normal 3 14 6 2 2" xfId="6681" xr:uid="{6BC2D26F-7220-4E56-80DE-83C544B8EE67}"/>
    <cellStyle name="Normal 3 14 6 3" xfId="4962" xr:uid="{B29FC736-B60C-40FB-8A90-49AB474793B4}"/>
    <cellStyle name="Normal 3 14 7" xfId="1507" xr:uid="{2B4341E6-D082-4105-9D30-F9B70651236A}"/>
    <cellStyle name="Normal 3 14 7 2" xfId="3228" xr:uid="{FBDB7425-78FE-4A94-9234-44F9A6452290}"/>
    <cellStyle name="Normal 3 14 7 2 2" xfId="6899" xr:uid="{E149D1B3-381A-4C50-A4E0-48EE025B11E2}"/>
    <cellStyle name="Normal 3 14 7 3" xfId="5180" xr:uid="{2DEE261C-162A-45FB-BD7E-784C5FE17751}"/>
    <cellStyle name="Normal 3 14 8" xfId="1726" xr:uid="{B3DAA89E-A74B-4E02-96EF-6850BD8FE367}"/>
    <cellStyle name="Normal 3 14 8 2" xfId="3447" xr:uid="{CF3115DE-4419-4BBF-8689-54E2EAB6F47B}"/>
    <cellStyle name="Normal 3 14 8 2 2" xfId="7118" xr:uid="{0BA5DB9C-E0FA-4FBD-BF06-6E23DE2C2076}"/>
    <cellStyle name="Normal 3 14 8 3" xfId="5398" xr:uid="{64F8E33A-DF26-40B9-8653-5879CB2CBCA9}"/>
    <cellStyle name="Normal 3 14 9" xfId="1946" xr:uid="{CF05A14A-C946-43FE-8024-ADA9C636F08F}"/>
    <cellStyle name="Normal 3 14 9 2" xfId="5617" xr:uid="{72B5E97F-0C45-4624-B942-B8563215B14E}"/>
    <cellStyle name="Normal 3 15" xfId="206" xr:uid="{8654CBBE-FA9A-42AD-AB53-BFC7C7D69AA7}"/>
    <cellStyle name="Normal 3 16" xfId="218" xr:uid="{808CD780-CD25-4A9F-8D4D-256698F0060F}"/>
    <cellStyle name="Normal 3 16 10" xfId="3945" xr:uid="{EBE5B796-C642-4777-A1CB-FCA68D8B48A2}"/>
    <cellStyle name="Normal 3 16 2" xfId="462" xr:uid="{43958D37-DDC3-4BAB-8B7C-76E856E54B40}"/>
    <cellStyle name="Normal 3 16 2 2" xfId="2161" xr:uid="{42B53C1F-E2EF-4091-BF7E-C46187DA24CC}"/>
    <cellStyle name="Normal 3 16 2 2 2" xfId="5832" xr:uid="{54A62B2D-7BDB-4A33-A21C-F539F2FDFB7E}"/>
    <cellStyle name="Normal 3 16 2 3" xfId="4125" xr:uid="{4301FF81-FBEE-49B3-8C95-CF2096697159}"/>
    <cellStyle name="Normal 3 16 3" xfId="658" xr:uid="{E318AF34-E43B-4984-B43E-E564781D18A4}"/>
    <cellStyle name="Normal 3 16 3 2" xfId="2379" xr:uid="{89B6DC0F-69C8-4F02-BE18-679BFB544F4A}"/>
    <cellStyle name="Normal 3 16 3 2 2" xfId="6050" xr:uid="{FE4F7A06-D82E-49A7-80EB-9D908A01672B}"/>
    <cellStyle name="Normal 3 16 3 3" xfId="4331" xr:uid="{860AB954-9D77-450A-A5EB-981C10A6F4FC}"/>
    <cellStyle name="Normal 3 16 4" xfId="876" xr:uid="{79BEA874-973A-42C5-B3C6-AB3934CC11FA}"/>
    <cellStyle name="Normal 3 16 4 2" xfId="2597" xr:uid="{659490B3-53DD-4079-8702-65A6415BAC77}"/>
    <cellStyle name="Normal 3 16 4 2 2" xfId="6268" xr:uid="{1442D59F-6825-46B4-A9F5-C7EA4A6B2CA2}"/>
    <cellStyle name="Normal 3 16 4 3" xfId="4549" xr:uid="{590DB963-3B49-40B9-9487-36BF9872FBE2}"/>
    <cellStyle name="Normal 3 16 5" xfId="1094" xr:uid="{27E91F84-803C-4A30-8BEC-9073ACE5417D}"/>
    <cellStyle name="Normal 3 16 5 2" xfId="2815" xr:uid="{8752917A-E5E7-48B8-9F88-46D843528894}"/>
    <cellStyle name="Normal 3 16 5 2 2" xfId="6486" xr:uid="{4A27B3C5-F1BA-4F8D-8E7C-4EAE7FBBBD02}"/>
    <cellStyle name="Normal 3 16 5 3" xfId="4767" xr:uid="{745611C6-5D43-424B-99CC-51EC4F47FB6E}"/>
    <cellStyle name="Normal 3 16 6" xfId="1312" xr:uid="{835A457D-7F5E-44D2-8201-5CBE260459CF}"/>
    <cellStyle name="Normal 3 16 6 2" xfId="3033" xr:uid="{346AC2E4-2DFF-4742-B401-5D14B80CF943}"/>
    <cellStyle name="Normal 3 16 6 2 2" xfId="6704" xr:uid="{DEDF5F47-77AF-4A61-993A-28AFB6B96590}"/>
    <cellStyle name="Normal 3 16 6 3" xfId="4985" xr:uid="{F132FD59-FA2C-4999-9993-1B490D97FA31}"/>
    <cellStyle name="Normal 3 16 7" xfId="1530" xr:uid="{5933DFCF-22CD-4B63-A8D4-ED62C5055932}"/>
    <cellStyle name="Normal 3 16 7 2" xfId="3251" xr:uid="{767A5999-E774-4F68-8D94-7B50874771D3}"/>
    <cellStyle name="Normal 3 16 7 2 2" xfId="6922" xr:uid="{FBDB4978-5526-4A55-9AB4-990B2E780075}"/>
    <cellStyle name="Normal 3 16 7 3" xfId="5203" xr:uid="{7E9A7FD2-7E60-4AC4-A268-DBE21C15643F}"/>
    <cellStyle name="Normal 3 16 8" xfId="1749" xr:uid="{7D1C5A25-300E-41C6-8352-DCB8046A9EBB}"/>
    <cellStyle name="Normal 3 16 8 2" xfId="3470" xr:uid="{6A4D95FA-FF06-4E88-B0EB-37BFE4BA1E1B}"/>
    <cellStyle name="Normal 3 16 8 2 2" xfId="7141" xr:uid="{244D2026-36C7-41AE-910C-4F4B496CA2C5}"/>
    <cellStyle name="Normal 3 16 8 3" xfId="5421" xr:uid="{A4089ED4-29E4-4E77-8409-79DE89C1E215}"/>
    <cellStyle name="Normal 3 16 9" xfId="1969" xr:uid="{CE468AE8-8D91-4C9A-B403-B400B875C531}"/>
    <cellStyle name="Normal 3 16 9 2" xfId="5640" xr:uid="{A975619E-7850-4DD8-A8EA-4FBA83EBB882}"/>
    <cellStyle name="Normal 3 17" xfId="231" xr:uid="{28D21655-6A7F-436A-83CC-8A92E91459A2}"/>
    <cellStyle name="Normal 3 17 10" xfId="3958" xr:uid="{8DE2D7E1-4646-4594-B558-E286B2DC4EE1}"/>
    <cellStyle name="Normal 3 17 2" xfId="475" xr:uid="{3810F3E7-3F43-49B9-AE2A-0C217A09F4F8}"/>
    <cellStyle name="Normal 3 17 2 2" xfId="2174" xr:uid="{7B53B690-F27D-48EC-B007-856CAD3015A2}"/>
    <cellStyle name="Normal 3 17 2 2 2" xfId="5845" xr:uid="{881F532C-583A-4790-B434-D3079D0F4B73}"/>
    <cellStyle name="Normal 3 17 2 3" xfId="4138" xr:uid="{A3DAB75E-3F66-4D86-B61D-9874BA634C3A}"/>
    <cellStyle name="Normal 3 17 3" xfId="671" xr:uid="{625A1087-9F74-4AF0-8604-60F287B9782F}"/>
    <cellStyle name="Normal 3 17 3 2" xfId="2392" xr:uid="{27ABFB60-AAAC-45F8-8414-6082A43D9C99}"/>
    <cellStyle name="Normal 3 17 3 2 2" xfId="6063" xr:uid="{CDDE5062-03FA-4B87-BD5A-CF5D96FFE21E}"/>
    <cellStyle name="Normal 3 17 3 3" xfId="4344" xr:uid="{03EFE579-5A85-4B6D-9399-316B99B5DF2A}"/>
    <cellStyle name="Normal 3 17 4" xfId="889" xr:uid="{23809BD5-E52C-4E9F-B56B-FB5C93DCD198}"/>
    <cellStyle name="Normal 3 17 4 2" xfId="2610" xr:uid="{3443A6C2-0369-4997-AB8C-4F023AA101A0}"/>
    <cellStyle name="Normal 3 17 4 2 2" xfId="6281" xr:uid="{75E6A11B-A912-4758-A091-41E7C1270ABC}"/>
    <cellStyle name="Normal 3 17 4 3" xfId="4562" xr:uid="{8F0ED3C7-0E44-4CCA-A50E-0E2672461A0C}"/>
    <cellStyle name="Normal 3 17 5" xfId="1107" xr:uid="{45C29A29-B711-4977-8254-E4A254CD557E}"/>
    <cellStyle name="Normal 3 17 5 2" xfId="2828" xr:uid="{86E8BA75-A749-4920-9C04-2ED33C174EF6}"/>
    <cellStyle name="Normal 3 17 5 2 2" xfId="6499" xr:uid="{D3A71D0B-2AF1-4AC5-8A8B-D91AB8608816}"/>
    <cellStyle name="Normal 3 17 5 3" xfId="4780" xr:uid="{A9F135E8-77D5-4461-A53F-13B5C30663C8}"/>
    <cellStyle name="Normal 3 17 6" xfId="1325" xr:uid="{A07727E0-461E-44B5-815C-F5293FE35D91}"/>
    <cellStyle name="Normal 3 17 6 2" xfId="3046" xr:uid="{B1DDF3F5-CC3A-4F03-82D1-D1A69032C2B3}"/>
    <cellStyle name="Normal 3 17 6 2 2" xfId="6717" xr:uid="{5D07C90A-9ECA-4469-91AD-D48A7D123DFA}"/>
    <cellStyle name="Normal 3 17 6 3" xfId="4998" xr:uid="{8AB651E0-C283-4657-BA67-99B967A74E9E}"/>
    <cellStyle name="Normal 3 17 7" xfId="1543" xr:uid="{0BA51025-9016-45C9-89D1-ABC6C42A9BCF}"/>
    <cellStyle name="Normal 3 17 7 2" xfId="3264" xr:uid="{2EEE4D81-2BEE-4BC9-ACAD-2392BDE0D867}"/>
    <cellStyle name="Normal 3 17 7 2 2" xfId="6935" xr:uid="{5A96563D-7B28-4A44-9CE7-4EAFAA633B8F}"/>
    <cellStyle name="Normal 3 17 7 3" xfId="5216" xr:uid="{78588255-708F-4BD5-9F86-AC18824D243E}"/>
    <cellStyle name="Normal 3 17 8" xfId="1762" xr:uid="{73338FA7-9783-477C-93C5-FD11731255B7}"/>
    <cellStyle name="Normal 3 17 8 2" xfId="3483" xr:uid="{9CFF5666-B698-45C6-9349-A7290690FB3D}"/>
    <cellStyle name="Normal 3 17 8 2 2" xfId="7154" xr:uid="{48854777-92FB-49CF-A5D0-AC74855B9640}"/>
    <cellStyle name="Normal 3 17 8 3" xfId="5434" xr:uid="{FB89075E-6AF0-4989-BB7A-0249FD0925C4}"/>
    <cellStyle name="Normal 3 17 9" xfId="1982" xr:uid="{EF360E16-97A5-4824-9488-11AD8086B47A}"/>
    <cellStyle name="Normal 3 17 9 2" xfId="5653" xr:uid="{33CC6020-E088-4228-934D-2D76E8CB6775}"/>
    <cellStyle name="Normal 3 18" xfId="244" xr:uid="{5615942B-02C7-4C38-B424-94B76632CBAF}"/>
    <cellStyle name="Normal 3 18 2" xfId="684" xr:uid="{B18858C8-9AD3-4859-8FD0-695183010F61}"/>
    <cellStyle name="Normal 3 18 2 2" xfId="2405" xr:uid="{9714A3C7-C3E0-4A44-9E20-03E12F9558B4}"/>
    <cellStyle name="Normal 3 18 2 2 2" xfId="6076" xr:uid="{637925A2-D325-4648-A341-E3F9B51661D1}"/>
    <cellStyle name="Normal 3 18 2 3" xfId="4357" xr:uid="{CCA55C04-C7DA-4433-AE66-AB4E4EADDB4D}"/>
    <cellStyle name="Normal 3 18 3" xfId="902" xr:uid="{5B493926-37E2-452F-81CA-193C11752683}"/>
    <cellStyle name="Normal 3 18 3 2" xfId="2623" xr:uid="{DF0FCB5E-18E9-40B8-8B7E-5A2948E9D9E5}"/>
    <cellStyle name="Normal 3 18 3 2 2" xfId="6294" xr:uid="{283DA6C6-7976-4B0B-B7F9-EC6DF3B76327}"/>
    <cellStyle name="Normal 3 18 3 3" xfId="4575" xr:uid="{C2B9E226-81F9-4406-B4E0-205EED9AC04A}"/>
    <cellStyle name="Normal 3 18 4" xfId="1120" xr:uid="{A5B0BC5F-21B6-4227-B70E-042685F4B54B}"/>
    <cellStyle name="Normal 3 18 4 2" xfId="2841" xr:uid="{A5500B03-9E27-4DE9-9D96-0E4A326CB937}"/>
    <cellStyle name="Normal 3 18 4 2 2" xfId="6512" xr:uid="{CAB64C68-4F8E-4012-8E50-443ED8DE471C}"/>
    <cellStyle name="Normal 3 18 4 3" xfId="4793" xr:uid="{95478AE9-5FEC-4299-A35D-1CFF37EB186F}"/>
    <cellStyle name="Normal 3 18 5" xfId="1338" xr:uid="{A91B5B52-9C3F-43C8-BE3B-FB1D61650252}"/>
    <cellStyle name="Normal 3 18 5 2" xfId="3059" xr:uid="{3D32A060-8EBE-49A3-AD30-2CD8D05BDC29}"/>
    <cellStyle name="Normal 3 18 5 2 2" xfId="6730" xr:uid="{8B29351C-368A-4C3E-81E0-590A0ABBA65F}"/>
    <cellStyle name="Normal 3 18 5 3" xfId="5011" xr:uid="{7BA0E419-F0F8-42A6-BD13-D3303F28C1EA}"/>
    <cellStyle name="Normal 3 18 6" xfId="1556" xr:uid="{220E5799-8A07-4719-A4D2-A5B54F9C2BE9}"/>
    <cellStyle name="Normal 3 18 6 2" xfId="3277" xr:uid="{D7DB2813-C334-44E8-A6AF-249628DC9284}"/>
    <cellStyle name="Normal 3 18 6 2 2" xfId="6948" xr:uid="{A8E71484-7B52-4013-9EF8-F9681EF6A90B}"/>
    <cellStyle name="Normal 3 18 6 3" xfId="5229" xr:uid="{B90AD0BE-C15F-4767-9B34-3F558651A189}"/>
    <cellStyle name="Normal 3 18 7" xfId="1775" xr:uid="{EACC4D84-C170-4917-911A-5E4348218D3E}"/>
    <cellStyle name="Normal 3 18 7 2" xfId="3496" xr:uid="{E19B984F-6DA3-4CD1-9CAD-253D69125901}"/>
    <cellStyle name="Normal 3 18 7 2 2" xfId="7167" xr:uid="{8766F5A3-B653-4862-9766-239C5961CFCE}"/>
    <cellStyle name="Normal 3 18 7 3" xfId="5447" xr:uid="{FE1C1D03-E823-4BE7-948F-B39225C1A474}"/>
    <cellStyle name="Normal 3 18 8" xfId="2187" xr:uid="{919EF379-D24D-48C5-B5A6-74DC0F5D9D4A}"/>
    <cellStyle name="Normal 3 18 8 2" xfId="5858" xr:uid="{0D659213-E009-4882-AFC0-9563634B27B2}"/>
    <cellStyle name="Normal 3 18 9" xfId="4151" xr:uid="{D4333829-2A50-4A31-973A-55230D41CB29}"/>
    <cellStyle name="Normal 3 19" xfId="257" xr:uid="{566CA588-97B2-45D5-AF20-4A35E2328BB5}"/>
    <cellStyle name="Normal 3 19 2" xfId="697" xr:uid="{117AC50A-A608-49E7-8E59-9398CBD5D5A9}"/>
    <cellStyle name="Normal 3 19 2 2" xfId="2418" xr:uid="{BEAD573C-CE49-4E5C-90E4-C706BD225759}"/>
    <cellStyle name="Normal 3 19 2 2 2" xfId="6089" xr:uid="{DB6C5786-555B-49FF-8BDF-EC4D7DB92944}"/>
    <cellStyle name="Normal 3 19 2 3" xfId="4370" xr:uid="{31CA4A8C-E789-4A26-BA6A-902C25ADFFE6}"/>
    <cellStyle name="Normal 3 19 3" xfId="915" xr:uid="{06523C18-4F86-4ADE-874F-2EAB763AA9E7}"/>
    <cellStyle name="Normal 3 19 3 2" xfId="2636" xr:uid="{14A34A9A-EF71-4EC5-A3CD-E95F918D63A1}"/>
    <cellStyle name="Normal 3 19 3 2 2" xfId="6307" xr:uid="{DF556888-DD3C-4A42-BA93-8FF0F145F5D9}"/>
    <cellStyle name="Normal 3 19 3 3" xfId="4588" xr:uid="{8D5C51AA-7836-49EF-80D3-39925D1AE2AA}"/>
    <cellStyle name="Normal 3 19 4" xfId="1133" xr:uid="{62954CDC-28E5-4AC9-AAB4-091849D4204F}"/>
    <cellStyle name="Normal 3 19 4 2" xfId="2854" xr:uid="{306A6358-DE7F-4D29-9F2D-01A123F71ADC}"/>
    <cellStyle name="Normal 3 19 4 2 2" xfId="6525" xr:uid="{5505D504-62F7-49C4-9FDF-467039BE4A19}"/>
    <cellStyle name="Normal 3 19 4 3" xfId="4806" xr:uid="{CE0168D7-A0E0-4103-9ECE-59ECEA50E11A}"/>
    <cellStyle name="Normal 3 19 5" xfId="1351" xr:uid="{FCECEAEE-0790-4151-86C0-31111B15F2B9}"/>
    <cellStyle name="Normal 3 19 5 2" xfId="3072" xr:uid="{5A1E5CEF-CAB9-4FE2-8A3B-43A5B93BB6B4}"/>
    <cellStyle name="Normal 3 19 5 2 2" xfId="6743" xr:uid="{11AF3A96-BBA9-495A-8A10-5C0A864ED1BC}"/>
    <cellStyle name="Normal 3 19 5 3" xfId="5024" xr:uid="{0F3970A3-6CBB-4D1D-8BE7-D9E15E5BC843}"/>
    <cellStyle name="Normal 3 19 6" xfId="1569" xr:uid="{BF5337F7-EA51-458B-9AAA-4809A3E0F75A}"/>
    <cellStyle name="Normal 3 19 6 2" xfId="3290" xr:uid="{BA46C409-1C6C-4FBE-97AD-1B14214EF51C}"/>
    <cellStyle name="Normal 3 19 6 2 2" xfId="6961" xr:uid="{BED58BE8-A3A6-44B0-AED3-ADED00DA2AD9}"/>
    <cellStyle name="Normal 3 19 6 3" xfId="5242" xr:uid="{C2BD7663-CCDB-4C8E-9F1A-DF09AF2F7A43}"/>
    <cellStyle name="Normal 3 19 7" xfId="1788" xr:uid="{626476B0-E8EB-4476-B0FD-8C07DD547E06}"/>
    <cellStyle name="Normal 3 19 7 2" xfId="3509" xr:uid="{6EA34829-D820-4D90-974B-A9F8D7FB7248}"/>
    <cellStyle name="Normal 3 19 7 2 2" xfId="7180" xr:uid="{70E857CF-B324-482B-AAA8-E224D8781738}"/>
    <cellStyle name="Normal 3 19 7 3" xfId="5460" xr:uid="{1ECFC089-373B-4ED8-98FE-67509094EE5B}"/>
    <cellStyle name="Normal 3 19 8" xfId="2200" xr:uid="{22AFE8F8-5CFA-4155-82C6-3FC99654FB75}"/>
    <cellStyle name="Normal 3 19 8 2" xfId="5871" xr:uid="{DC4EDC30-31C6-400F-A2D0-D73A13FB106C}"/>
    <cellStyle name="Normal 3 19 9" xfId="4164" xr:uid="{855A83B7-7FB1-4DEC-889A-D9CDEB02C15D}"/>
    <cellStyle name="Normal 3 2" xfId="55" xr:uid="{E1221F71-0BB5-41E9-ACEF-2913B9A2F9B2}"/>
    <cellStyle name="Normal 3 2 10" xfId="157" xr:uid="{EEA9FC99-1955-4627-93A3-74EB7FECB82D}"/>
    <cellStyle name="Normal 3 2 10 10" xfId="3886" xr:uid="{FC9554D0-745A-4959-8E58-974ACFEC9001}"/>
    <cellStyle name="Normal 3 2 10 2" xfId="403" xr:uid="{68AF79CA-AC4A-4A1C-A218-5E718219F18F}"/>
    <cellStyle name="Normal 3 2 10 2 2" xfId="2102" xr:uid="{A645DED2-4A03-4F1B-8880-4D2342B5218C}"/>
    <cellStyle name="Normal 3 2 10 2 2 2" xfId="5773" xr:uid="{A405C604-D645-4318-9EF6-8E4B548D17A2}"/>
    <cellStyle name="Normal 3 2 10 2 3" xfId="4066" xr:uid="{3CD8E708-8E58-4FB7-81F4-30E74B03154A}"/>
    <cellStyle name="Normal 3 2 10 3" xfId="599" xr:uid="{0D0785F0-396D-4E01-B726-B89602947A3F}"/>
    <cellStyle name="Normal 3 2 10 3 2" xfId="2320" xr:uid="{F671FA00-EBE7-4EDD-AE3F-62637A5099A8}"/>
    <cellStyle name="Normal 3 2 10 3 2 2" xfId="5991" xr:uid="{E1768452-3CB9-4082-B429-8723EE0D3182}"/>
    <cellStyle name="Normal 3 2 10 3 3" xfId="4272" xr:uid="{2B8F91F5-033E-4CC8-AF0C-81A9C9C26825}"/>
    <cellStyle name="Normal 3 2 10 4" xfId="817" xr:uid="{80C9081B-D74E-427F-B4E7-851ED054D400}"/>
    <cellStyle name="Normal 3 2 10 4 2" xfId="2538" xr:uid="{52F2018C-E35E-4600-B674-BB7F60D1AB8B}"/>
    <cellStyle name="Normal 3 2 10 4 2 2" xfId="6209" xr:uid="{AD9A9B83-FCB9-4AAB-BE32-62682C436778}"/>
    <cellStyle name="Normal 3 2 10 4 3" xfId="4490" xr:uid="{79D1F209-EFFF-4271-8CF0-51C7A0E4319C}"/>
    <cellStyle name="Normal 3 2 10 5" xfId="1035" xr:uid="{7830F68F-F012-4732-B086-4796871218CE}"/>
    <cellStyle name="Normal 3 2 10 5 2" xfId="2756" xr:uid="{E7A3CFCD-54E5-4585-8F65-E62DF806C050}"/>
    <cellStyle name="Normal 3 2 10 5 2 2" xfId="6427" xr:uid="{E40C0773-CB25-4860-A823-4F7D6F7DFCB1}"/>
    <cellStyle name="Normal 3 2 10 5 3" xfId="4708" xr:uid="{BD9E8A2B-B44D-47D3-8C3B-4D3615C2A07E}"/>
    <cellStyle name="Normal 3 2 10 6" xfId="1253" xr:uid="{68452A9B-D251-4F7E-8271-B70B4C49C270}"/>
    <cellStyle name="Normal 3 2 10 6 2" xfId="2974" xr:uid="{7D649BA4-B22A-43BB-ABDB-169F8F45294B}"/>
    <cellStyle name="Normal 3 2 10 6 2 2" xfId="6645" xr:uid="{8E2675B5-DBEA-49B7-8046-F0C1615F9D84}"/>
    <cellStyle name="Normal 3 2 10 6 3" xfId="4926" xr:uid="{EB9EB14F-F6FB-4B7F-80D7-D1025B8FE1F9}"/>
    <cellStyle name="Normal 3 2 10 7" xfId="1471" xr:uid="{E38D8B88-4AF3-436E-AE98-50F76BA36D02}"/>
    <cellStyle name="Normal 3 2 10 7 2" xfId="3192" xr:uid="{728116FC-FBAE-4D83-A995-079535C67827}"/>
    <cellStyle name="Normal 3 2 10 7 2 2" xfId="6863" xr:uid="{32304D1B-1C0E-4A17-BB1B-0B5F243ECEE8}"/>
    <cellStyle name="Normal 3 2 10 7 3" xfId="5144" xr:uid="{CF11D00E-66D0-4014-A9F4-A72921E70C05}"/>
    <cellStyle name="Normal 3 2 10 8" xfId="1690" xr:uid="{A1BB954C-8F15-454C-877B-7AFE9F3C80EE}"/>
    <cellStyle name="Normal 3 2 10 8 2" xfId="3411" xr:uid="{EB89DBAE-084C-46EB-AE33-9E8EC46D0046}"/>
    <cellStyle name="Normal 3 2 10 8 2 2" xfId="7082" xr:uid="{B7F45222-8C2F-48EF-BBEF-1CBD4DE84A48}"/>
    <cellStyle name="Normal 3 2 10 8 3" xfId="5362" xr:uid="{54F5C48E-7023-44B4-BC42-C03F8E98C281}"/>
    <cellStyle name="Normal 3 2 10 9" xfId="1910" xr:uid="{E4E438EF-2B1C-44D3-A296-BE9C53D88544}"/>
    <cellStyle name="Normal 3 2 10 9 2" xfId="5581" xr:uid="{CAF189E7-7B9D-432F-9899-2A73E22A2BA9}"/>
    <cellStyle name="Normal 3 2 11" xfId="170" xr:uid="{758ED4DC-5E0C-418A-A153-5553021D266E}"/>
    <cellStyle name="Normal 3 2 11 10" xfId="3899" xr:uid="{7B161FE0-EF2F-4D18-9749-24540E86B128}"/>
    <cellStyle name="Normal 3 2 11 2" xfId="416" xr:uid="{7C6032F6-13EB-4FB8-BF41-88C62FD1438C}"/>
    <cellStyle name="Normal 3 2 11 2 2" xfId="2115" xr:uid="{35D30CE9-319C-4748-8913-59682FA85CCE}"/>
    <cellStyle name="Normal 3 2 11 2 2 2" xfId="5786" xr:uid="{74BEDECC-F4DB-4B12-A240-445971112A9C}"/>
    <cellStyle name="Normal 3 2 11 2 3" xfId="4079" xr:uid="{ACFA9A35-A391-4C6B-B40E-3BE560EF95C0}"/>
    <cellStyle name="Normal 3 2 11 3" xfId="612" xr:uid="{7730B7C0-9077-458D-8B8D-11B386184C6A}"/>
    <cellStyle name="Normal 3 2 11 3 2" xfId="2333" xr:uid="{C9ACD2E3-1A4C-4330-9B2C-39E3DA911E8A}"/>
    <cellStyle name="Normal 3 2 11 3 2 2" xfId="6004" xr:uid="{0EDC9336-B413-4CF8-8F01-E1B8E7FC99CB}"/>
    <cellStyle name="Normal 3 2 11 3 3" xfId="4285" xr:uid="{36CDF98B-7114-4605-A59E-B0067AAB3A05}"/>
    <cellStyle name="Normal 3 2 11 4" xfId="830" xr:uid="{722FC2E7-2AAF-46E9-910C-CAF80CAEFF12}"/>
    <cellStyle name="Normal 3 2 11 4 2" xfId="2551" xr:uid="{769155AD-8BD4-4E9C-A14C-3E8E7E83BEE7}"/>
    <cellStyle name="Normal 3 2 11 4 2 2" xfId="6222" xr:uid="{599BD1B0-6614-40A6-A6F2-A9492540E74B}"/>
    <cellStyle name="Normal 3 2 11 4 3" xfId="4503" xr:uid="{7243734E-26D8-4490-9EF8-7464F7C974D2}"/>
    <cellStyle name="Normal 3 2 11 5" xfId="1048" xr:uid="{669E879E-B204-4FED-85F4-1F6BE978ECDC}"/>
    <cellStyle name="Normal 3 2 11 5 2" xfId="2769" xr:uid="{413DE945-AA95-4C28-99A5-43590C5644F8}"/>
    <cellStyle name="Normal 3 2 11 5 2 2" xfId="6440" xr:uid="{9B5082E0-E86F-4DFB-9951-DB29B2F811FE}"/>
    <cellStyle name="Normal 3 2 11 5 3" xfId="4721" xr:uid="{AE66112D-B6C6-4099-B4F9-55501836DC35}"/>
    <cellStyle name="Normal 3 2 11 6" xfId="1266" xr:uid="{305B255F-2B90-4C68-B112-E52D6CADFE3F}"/>
    <cellStyle name="Normal 3 2 11 6 2" xfId="2987" xr:uid="{245A4F19-C246-4CEE-A94C-0E0E563BF180}"/>
    <cellStyle name="Normal 3 2 11 6 2 2" xfId="6658" xr:uid="{2146324C-E9C7-49D1-96CB-EE3B2E8A815C}"/>
    <cellStyle name="Normal 3 2 11 6 3" xfId="4939" xr:uid="{45DCCF7A-3638-46ED-A686-7D5D6892C8BC}"/>
    <cellStyle name="Normal 3 2 11 7" xfId="1484" xr:uid="{F37534E0-6373-4E80-9A52-04E25573AC5F}"/>
    <cellStyle name="Normal 3 2 11 7 2" xfId="3205" xr:uid="{3551FA60-060E-46EB-B29B-7D41508879D0}"/>
    <cellStyle name="Normal 3 2 11 7 2 2" xfId="6876" xr:uid="{F1812372-5BCF-409B-B6B1-7B695F2822B6}"/>
    <cellStyle name="Normal 3 2 11 7 3" xfId="5157" xr:uid="{754A0058-A31B-45C0-83E9-C5FBB0C61531}"/>
    <cellStyle name="Normal 3 2 11 8" xfId="1703" xr:uid="{B38CBCE5-423D-40E4-ACF0-79D3D73E0472}"/>
    <cellStyle name="Normal 3 2 11 8 2" xfId="3424" xr:uid="{963352DB-81C9-408C-9610-207B872AC2C0}"/>
    <cellStyle name="Normal 3 2 11 8 2 2" xfId="7095" xr:uid="{440AB92E-1D53-46AE-A7AA-D5229917F8AD}"/>
    <cellStyle name="Normal 3 2 11 8 3" xfId="5375" xr:uid="{AA1516F4-1A38-4E0F-AE92-9DF785D3B428}"/>
    <cellStyle name="Normal 3 2 11 9" xfId="1923" xr:uid="{19238FA3-6768-42B3-8B63-BFA0E6D383EC}"/>
    <cellStyle name="Normal 3 2 11 9 2" xfId="5594" xr:uid="{604F726D-4CD1-46B4-AB10-964655C054B9}"/>
    <cellStyle name="Normal 3 2 12" xfId="183" xr:uid="{6CDB4AF3-F4A4-48BA-B80C-79F3D4936C6C}"/>
    <cellStyle name="Normal 3 2 12 10" xfId="3912" xr:uid="{B69EE96C-FF2F-490F-97D7-601DE4B82828}"/>
    <cellStyle name="Normal 3 2 12 2" xfId="429" xr:uid="{034E2284-A9C7-4932-9D4C-EA79935ECE96}"/>
    <cellStyle name="Normal 3 2 12 2 2" xfId="2128" xr:uid="{11463613-45D6-49AB-A393-973B7127F29D}"/>
    <cellStyle name="Normal 3 2 12 2 2 2" xfId="5799" xr:uid="{48BE8123-4D43-46E4-8E68-C850D9FEF69B}"/>
    <cellStyle name="Normal 3 2 12 2 3" xfId="4092" xr:uid="{D33FC8CE-D2C7-4589-B397-7ABADE584706}"/>
    <cellStyle name="Normal 3 2 12 3" xfId="625" xr:uid="{8412208E-16C4-4A54-9943-1F013ECC821D}"/>
    <cellStyle name="Normal 3 2 12 3 2" xfId="2346" xr:uid="{3D840EDA-9113-4CA1-A832-7394EF27D30C}"/>
    <cellStyle name="Normal 3 2 12 3 2 2" xfId="6017" xr:uid="{E0CB4110-7446-4AD6-8A11-FFC4ADF6BD80}"/>
    <cellStyle name="Normal 3 2 12 3 3" xfId="4298" xr:uid="{8C5A3604-62C9-4A31-B07E-4EC4417C0C26}"/>
    <cellStyle name="Normal 3 2 12 4" xfId="843" xr:uid="{A17CEFFF-AE26-4A0F-94FE-26840C9297BE}"/>
    <cellStyle name="Normal 3 2 12 4 2" xfId="2564" xr:uid="{C8CCACDE-F832-4AC8-8BD2-98EAB23CD505}"/>
    <cellStyle name="Normal 3 2 12 4 2 2" xfId="6235" xr:uid="{F3BCD5FE-E792-4BC9-9F32-B6E34B36954E}"/>
    <cellStyle name="Normal 3 2 12 4 3" xfId="4516" xr:uid="{F224890F-3B8B-496F-B4F1-3B799EBBF7E4}"/>
    <cellStyle name="Normal 3 2 12 5" xfId="1061" xr:uid="{A5E91560-1A2C-4252-85FA-08CECBBBADAB}"/>
    <cellStyle name="Normal 3 2 12 5 2" xfId="2782" xr:uid="{A4A6F775-E0A6-4169-92EF-DB0830F28815}"/>
    <cellStyle name="Normal 3 2 12 5 2 2" xfId="6453" xr:uid="{6ADBB129-62F1-48BA-BDA9-6FED708DA813}"/>
    <cellStyle name="Normal 3 2 12 5 3" xfId="4734" xr:uid="{FD411532-2C3C-445B-BB3B-C48BBA9084CB}"/>
    <cellStyle name="Normal 3 2 12 6" xfId="1279" xr:uid="{AEB49B85-0BEB-4016-9B38-B066D13F9428}"/>
    <cellStyle name="Normal 3 2 12 6 2" xfId="3000" xr:uid="{9CC00A86-3AAE-4FDD-BA03-343F909D10B2}"/>
    <cellStyle name="Normal 3 2 12 6 2 2" xfId="6671" xr:uid="{4AB306B9-6D7A-4648-ADEA-46AEC20A30A7}"/>
    <cellStyle name="Normal 3 2 12 6 3" xfId="4952" xr:uid="{3D2EBA65-D312-43F1-8315-9931DEDCCDD0}"/>
    <cellStyle name="Normal 3 2 12 7" xfId="1497" xr:uid="{4EF3532C-3176-443C-9488-D26BE1655549}"/>
    <cellStyle name="Normal 3 2 12 7 2" xfId="3218" xr:uid="{A4ED8C7F-0E5E-4CCD-96B4-0A6A9D1163BC}"/>
    <cellStyle name="Normal 3 2 12 7 2 2" xfId="6889" xr:uid="{0C7887F4-0CB4-4603-84C5-D66605F18FC7}"/>
    <cellStyle name="Normal 3 2 12 7 3" xfId="5170" xr:uid="{B6FBC1CA-C560-4E4B-9B51-DCF9BBF0326C}"/>
    <cellStyle name="Normal 3 2 12 8" xfId="1716" xr:uid="{63ADA79A-1946-4F7F-87CC-86DB0A7B4D3E}"/>
    <cellStyle name="Normal 3 2 12 8 2" xfId="3437" xr:uid="{99AB4D5D-5B31-47EF-BD22-0A8DDD301271}"/>
    <cellStyle name="Normal 3 2 12 8 2 2" xfId="7108" xr:uid="{8053FA2C-17D1-42F7-A701-C27FCCEFBA7D}"/>
    <cellStyle name="Normal 3 2 12 8 3" xfId="5388" xr:uid="{9116DB20-727F-4AF4-AD2D-ED7B580DEFB7}"/>
    <cellStyle name="Normal 3 2 12 9" xfId="1936" xr:uid="{C29F1B68-AE4C-4C4F-9441-B3694D4B76D3}"/>
    <cellStyle name="Normal 3 2 12 9 2" xfId="5607" xr:uid="{EADA659D-9466-4A1F-992B-75AA5D17A79F}"/>
    <cellStyle name="Normal 3 2 13" xfId="196" xr:uid="{9074D254-EB42-4D61-8987-CBC8DF838290}"/>
    <cellStyle name="Normal 3 2 13 10" xfId="3925" xr:uid="{EA3A96D5-B87E-4E81-B627-909E6BDB3BAA}"/>
    <cellStyle name="Normal 3 2 13 2" xfId="442" xr:uid="{D28655F7-39CE-4EA2-B679-AD5A59E13854}"/>
    <cellStyle name="Normal 3 2 13 2 2" xfId="2141" xr:uid="{77ECECCE-C1FA-4926-BA5D-3F464817A0E1}"/>
    <cellStyle name="Normal 3 2 13 2 2 2" xfId="5812" xr:uid="{2D0EECBB-A49F-4B3D-98F7-2D58CFEE74E6}"/>
    <cellStyle name="Normal 3 2 13 2 3" xfId="4105" xr:uid="{92D1AEF3-7A3C-4637-A7DF-A7FDE3741F75}"/>
    <cellStyle name="Normal 3 2 13 3" xfId="638" xr:uid="{7E7CECF3-2839-4B9B-9547-DCFD710B1D96}"/>
    <cellStyle name="Normal 3 2 13 3 2" xfId="2359" xr:uid="{54717EF9-27E8-4756-BE42-969A543AB456}"/>
    <cellStyle name="Normal 3 2 13 3 2 2" xfId="6030" xr:uid="{35B49465-9B7E-4106-A38D-433AB6146A47}"/>
    <cellStyle name="Normal 3 2 13 3 3" xfId="4311" xr:uid="{E0DCC67A-2B57-4837-B1E5-811F3DFC2F90}"/>
    <cellStyle name="Normal 3 2 13 4" xfId="856" xr:uid="{F5593B8D-F69F-4285-A6E6-834CAA7B7A77}"/>
    <cellStyle name="Normal 3 2 13 4 2" xfId="2577" xr:uid="{EBDA948E-3B5C-441D-AE06-80266EB627BF}"/>
    <cellStyle name="Normal 3 2 13 4 2 2" xfId="6248" xr:uid="{D1D8D4B9-5B57-46FA-899B-72936FF99D4A}"/>
    <cellStyle name="Normal 3 2 13 4 3" xfId="4529" xr:uid="{8BAD3430-93F9-45BE-9E18-5A5ADF5352FE}"/>
    <cellStyle name="Normal 3 2 13 5" xfId="1074" xr:uid="{4FB6139C-79C4-445B-B4C1-26BB094C7114}"/>
    <cellStyle name="Normal 3 2 13 5 2" xfId="2795" xr:uid="{74C00281-8DAC-4848-A7C1-D59B1FE4D7EB}"/>
    <cellStyle name="Normal 3 2 13 5 2 2" xfId="6466" xr:uid="{610E6892-5F5C-4EF9-86A3-CDF12C839C0C}"/>
    <cellStyle name="Normal 3 2 13 5 3" xfId="4747" xr:uid="{5F472E50-74B7-4802-8A08-C46D98AD44F4}"/>
    <cellStyle name="Normal 3 2 13 6" xfId="1292" xr:uid="{6B5CAE30-FD06-4015-904D-2CF7AD475B5C}"/>
    <cellStyle name="Normal 3 2 13 6 2" xfId="3013" xr:uid="{57D81D89-A8D6-4827-A9C5-2AE963DE72B2}"/>
    <cellStyle name="Normal 3 2 13 6 2 2" xfId="6684" xr:uid="{4A57B8DC-5BD5-4CC3-BCF0-4B38943B38F0}"/>
    <cellStyle name="Normal 3 2 13 6 3" xfId="4965" xr:uid="{7438D0FC-43EC-409E-99EB-E9A9565DD4D3}"/>
    <cellStyle name="Normal 3 2 13 7" xfId="1510" xr:uid="{605155D9-6EC6-4A54-A27F-77B46F06B6D1}"/>
    <cellStyle name="Normal 3 2 13 7 2" xfId="3231" xr:uid="{8402365E-4862-4C58-A855-E50DF92DDCD1}"/>
    <cellStyle name="Normal 3 2 13 7 2 2" xfId="6902" xr:uid="{41B29EC2-CB84-4D8E-B7D8-3DAB3A2C3395}"/>
    <cellStyle name="Normal 3 2 13 7 3" xfId="5183" xr:uid="{09A85208-F05C-4DF2-8FE9-20247579899F}"/>
    <cellStyle name="Normal 3 2 13 8" xfId="1729" xr:uid="{19D56D83-1586-44A0-9787-CB373D1F8957}"/>
    <cellStyle name="Normal 3 2 13 8 2" xfId="3450" xr:uid="{4FBEB5AE-BAF3-4336-BAA4-42A704AF6ACB}"/>
    <cellStyle name="Normal 3 2 13 8 2 2" xfId="7121" xr:uid="{48BA94E2-17B9-40FD-8588-42870F4E5294}"/>
    <cellStyle name="Normal 3 2 13 8 3" xfId="5401" xr:uid="{619217BE-2AEB-402C-9443-6C73E04C5F54}"/>
    <cellStyle name="Normal 3 2 13 9" xfId="1949" xr:uid="{5F71B53F-684C-41AE-B7F6-81539B30D009}"/>
    <cellStyle name="Normal 3 2 13 9 2" xfId="5620" xr:uid="{DF58D841-44F8-4F62-BBC8-9F869C364A30}"/>
    <cellStyle name="Normal 3 2 14" xfId="221" xr:uid="{6209975A-E28A-4C98-B2C8-1CFFB8330DDD}"/>
    <cellStyle name="Normal 3 2 14 10" xfId="3948" xr:uid="{FC8B01D2-9292-4793-BB9E-BAD4BAF9E1FC}"/>
    <cellStyle name="Normal 3 2 14 2" xfId="465" xr:uid="{B36C68BF-865C-4D8C-83A6-A128B16BD8E2}"/>
    <cellStyle name="Normal 3 2 14 2 2" xfId="2164" xr:uid="{FBBA4FD4-0BC8-45E8-978F-096805C8DDE7}"/>
    <cellStyle name="Normal 3 2 14 2 2 2" xfId="5835" xr:uid="{6163BAEE-33FE-4CCB-B683-2CFA4AAEF73F}"/>
    <cellStyle name="Normal 3 2 14 2 3" xfId="4128" xr:uid="{6FBB4F09-BFEF-43B5-96CA-2AA5EE858602}"/>
    <cellStyle name="Normal 3 2 14 3" xfId="661" xr:uid="{5B76865A-764F-414C-BD4E-FA81DAFAD5D1}"/>
    <cellStyle name="Normal 3 2 14 3 2" xfId="2382" xr:uid="{EBC3679F-8BA0-41BD-9636-9CF095B8DEC7}"/>
    <cellStyle name="Normal 3 2 14 3 2 2" xfId="6053" xr:uid="{105ABF72-8DAF-46A5-B941-A86B69AFDEF0}"/>
    <cellStyle name="Normal 3 2 14 3 3" xfId="4334" xr:uid="{F696DF87-85B3-4178-B3E7-581B4AE394D1}"/>
    <cellStyle name="Normal 3 2 14 4" xfId="879" xr:uid="{8CFCAC27-8F62-41BB-9164-647FC52F8B63}"/>
    <cellStyle name="Normal 3 2 14 4 2" xfId="2600" xr:uid="{C7DD0EED-5501-48BD-A114-BEADAEB1464F}"/>
    <cellStyle name="Normal 3 2 14 4 2 2" xfId="6271" xr:uid="{7E8385D7-C169-4AE9-AA56-EF0C68635353}"/>
    <cellStyle name="Normal 3 2 14 4 3" xfId="4552" xr:uid="{9684097F-70AD-4CBA-B5A3-2604E4713A37}"/>
    <cellStyle name="Normal 3 2 14 5" xfId="1097" xr:uid="{0F1BFCE1-6B9A-425B-BA9E-948BEA60C731}"/>
    <cellStyle name="Normal 3 2 14 5 2" xfId="2818" xr:uid="{2221D5F3-84A2-4B12-BECD-8CC70747C789}"/>
    <cellStyle name="Normal 3 2 14 5 2 2" xfId="6489" xr:uid="{316373A5-8953-43AE-B9FC-F710A8913501}"/>
    <cellStyle name="Normal 3 2 14 5 3" xfId="4770" xr:uid="{7AD13AAA-BADC-4F8E-B374-000A1C47F8C6}"/>
    <cellStyle name="Normal 3 2 14 6" xfId="1315" xr:uid="{AE1750EE-931D-4DCD-9F6E-5ADD4C2AC8C0}"/>
    <cellStyle name="Normal 3 2 14 6 2" xfId="3036" xr:uid="{82C018F8-BBA6-40F1-B9C2-6AAE02FCDB9A}"/>
    <cellStyle name="Normal 3 2 14 6 2 2" xfId="6707" xr:uid="{7906634C-451D-4552-AE94-C7F40037702A}"/>
    <cellStyle name="Normal 3 2 14 6 3" xfId="4988" xr:uid="{AB6B8961-BF9B-490B-8B8A-43330C6F13C9}"/>
    <cellStyle name="Normal 3 2 14 7" xfId="1533" xr:uid="{9F3FC07E-D61E-4636-A673-5BA57FB736BE}"/>
    <cellStyle name="Normal 3 2 14 7 2" xfId="3254" xr:uid="{81647413-16A8-43AD-8A37-0FB5D4B1DB91}"/>
    <cellStyle name="Normal 3 2 14 7 2 2" xfId="6925" xr:uid="{FCA0301A-1948-4E10-903D-809C2AB7E6DF}"/>
    <cellStyle name="Normal 3 2 14 7 3" xfId="5206" xr:uid="{AF995931-A5DC-457C-B637-07ED321F36F6}"/>
    <cellStyle name="Normal 3 2 14 8" xfId="1752" xr:uid="{B7F17C3D-71FC-46DA-B2B4-6DBCF582898D}"/>
    <cellStyle name="Normal 3 2 14 8 2" xfId="3473" xr:uid="{133AE2E6-E2FD-4EF4-810E-391527C19CC9}"/>
    <cellStyle name="Normal 3 2 14 8 2 2" xfId="7144" xr:uid="{454BF4E5-5C0F-4DF8-BA85-8A1D948C9468}"/>
    <cellStyle name="Normal 3 2 14 8 3" xfId="5424" xr:uid="{351F0787-122E-48EA-87C0-1CE969B00A14}"/>
    <cellStyle name="Normal 3 2 14 9" xfId="1972" xr:uid="{35000B97-1F7E-44D2-AE0E-67406275D60D}"/>
    <cellStyle name="Normal 3 2 14 9 2" xfId="5643" xr:uid="{07D374D9-1446-457E-8E52-DBA140BEF95B}"/>
    <cellStyle name="Normal 3 2 15" xfId="234" xr:uid="{7210FC85-5EBE-44AB-9012-E995FF63B30C}"/>
    <cellStyle name="Normal 3 2 15 10" xfId="3961" xr:uid="{32B5E80E-45BD-44BE-A658-19EB63FC2180}"/>
    <cellStyle name="Normal 3 2 15 2" xfId="478" xr:uid="{02B4332B-E0A5-4CE4-AD8D-E1399CEA01C6}"/>
    <cellStyle name="Normal 3 2 15 2 2" xfId="2177" xr:uid="{35A941F4-4B4D-4CF1-B9A6-98615E75FD74}"/>
    <cellStyle name="Normal 3 2 15 2 2 2" xfId="5848" xr:uid="{2FE6F0DC-0CB0-4CC2-ABF1-44D6274E43F5}"/>
    <cellStyle name="Normal 3 2 15 2 3" xfId="4141" xr:uid="{C9C2DACD-C4C6-4DAA-ABF5-A82DAC2EDEB5}"/>
    <cellStyle name="Normal 3 2 15 3" xfId="674" xr:uid="{81E6D310-2751-4ECA-87C6-972E67810A48}"/>
    <cellStyle name="Normal 3 2 15 3 2" xfId="2395" xr:uid="{2108751C-7877-4280-8922-A4A3790732A0}"/>
    <cellStyle name="Normal 3 2 15 3 2 2" xfId="6066" xr:uid="{16516EF5-B819-4712-87CF-031940E0FADB}"/>
    <cellStyle name="Normal 3 2 15 3 3" xfId="4347" xr:uid="{4F50BACE-2EEB-41BA-9A45-01A83A41335E}"/>
    <cellStyle name="Normal 3 2 15 4" xfId="892" xr:uid="{5BF76EA1-7B9E-4E16-ACE7-E9A6D638B0BE}"/>
    <cellStyle name="Normal 3 2 15 4 2" xfId="2613" xr:uid="{48C3D14F-5524-4FA0-A241-78A257DBEA66}"/>
    <cellStyle name="Normal 3 2 15 4 2 2" xfId="6284" xr:uid="{BF3212CF-F745-4380-917C-7298C515B9A3}"/>
    <cellStyle name="Normal 3 2 15 4 3" xfId="4565" xr:uid="{6DCD557E-29D5-49B7-8375-1DAC3A2380F7}"/>
    <cellStyle name="Normal 3 2 15 5" xfId="1110" xr:uid="{DFF56760-7267-43D7-BB24-12ADAE40989A}"/>
    <cellStyle name="Normal 3 2 15 5 2" xfId="2831" xr:uid="{4B8095BC-0B00-4C1E-A8BE-A1A331B773F1}"/>
    <cellStyle name="Normal 3 2 15 5 2 2" xfId="6502" xr:uid="{8AAB76B5-CE94-4FEC-8A04-022B30E354F7}"/>
    <cellStyle name="Normal 3 2 15 5 3" xfId="4783" xr:uid="{49A7D7FE-F7D5-47C4-AD7A-049C3BFD96E3}"/>
    <cellStyle name="Normal 3 2 15 6" xfId="1328" xr:uid="{D6C0E99E-22A5-4CAA-8993-FC38E3DBF3A6}"/>
    <cellStyle name="Normal 3 2 15 6 2" xfId="3049" xr:uid="{A9256E05-9EC8-4316-8242-ADDDE5131381}"/>
    <cellStyle name="Normal 3 2 15 6 2 2" xfId="6720" xr:uid="{8288EAD5-2A0B-4F09-9834-88984B09A7AA}"/>
    <cellStyle name="Normal 3 2 15 6 3" xfId="5001" xr:uid="{F30BA56B-D8C3-464B-9CBA-DACC8C896AF8}"/>
    <cellStyle name="Normal 3 2 15 7" xfId="1546" xr:uid="{EB95CE9F-8BA9-4688-95E3-0AAA68E06599}"/>
    <cellStyle name="Normal 3 2 15 7 2" xfId="3267" xr:uid="{83019DFE-C723-42BD-B9D1-70477209F178}"/>
    <cellStyle name="Normal 3 2 15 7 2 2" xfId="6938" xr:uid="{97690A94-27B3-4CC7-ABD5-9D5D33930C7B}"/>
    <cellStyle name="Normal 3 2 15 7 3" xfId="5219" xr:uid="{A2F6458C-6744-4202-A95F-69431EFDD50E}"/>
    <cellStyle name="Normal 3 2 15 8" xfId="1765" xr:uid="{45EA818F-1593-40E1-BFA3-6F07CA2128BC}"/>
    <cellStyle name="Normal 3 2 15 8 2" xfId="3486" xr:uid="{60204A06-A3BF-4A0B-8AFD-D626224906F7}"/>
    <cellStyle name="Normal 3 2 15 8 2 2" xfId="7157" xr:uid="{541BF395-39B2-43D6-987C-BA899116A0E1}"/>
    <cellStyle name="Normal 3 2 15 8 3" xfId="5437" xr:uid="{E0A2D153-B093-4038-8C0C-7FA34D216FFD}"/>
    <cellStyle name="Normal 3 2 15 9" xfId="1985" xr:uid="{F157C467-6174-421F-AFE5-A1ECA8EC1F33}"/>
    <cellStyle name="Normal 3 2 15 9 2" xfId="5656" xr:uid="{A54BF539-A82F-4443-B13A-4FD89BB09CCD}"/>
    <cellStyle name="Normal 3 2 16" xfId="247" xr:uid="{FF25ADAF-64BF-4DEF-A888-03343F306C3B}"/>
    <cellStyle name="Normal 3 2 16 2" xfId="687" xr:uid="{16EACB73-F3BA-432B-9971-7040A63B90C6}"/>
    <cellStyle name="Normal 3 2 16 2 2" xfId="2408" xr:uid="{04D4FE51-3958-4980-A106-BA4ED59433C3}"/>
    <cellStyle name="Normal 3 2 16 2 2 2" xfId="6079" xr:uid="{E1F7F8E7-9E43-4862-82F8-C4ECF745BDA5}"/>
    <cellStyle name="Normal 3 2 16 2 3" xfId="4360" xr:uid="{7F88D0EE-59B7-4FE9-A8A7-476A45133CC7}"/>
    <cellStyle name="Normal 3 2 16 3" xfId="905" xr:uid="{75158233-F5E5-44AC-8079-F44C18F24306}"/>
    <cellStyle name="Normal 3 2 16 3 2" xfId="2626" xr:uid="{78830BEA-5117-4E7F-8F15-71AD65CF5A5A}"/>
    <cellStyle name="Normal 3 2 16 3 2 2" xfId="6297" xr:uid="{0803ED55-7538-4D05-8AC0-9166FBD38914}"/>
    <cellStyle name="Normal 3 2 16 3 3" xfId="4578" xr:uid="{A424705D-6AC4-4464-9306-06693623AFD1}"/>
    <cellStyle name="Normal 3 2 16 4" xfId="1123" xr:uid="{A6178B50-F0B7-49BD-863B-5BFCC85BE272}"/>
    <cellStyle name="Normal 3 2 16 4 2" xfId="2844" xr:uid="{6B688851-9E44-4F8A-9F47-F8A75550E6DD}"/>
    <cellStyle name="Normal 3 2 16 4 2 2" xfId="6515" xr:uid="{5A28D27D-24A3-4836-80F7-28F99ADC578E}"/>
    <cellStyle name="Normal 3 2 16 4 3" xfId="4796" xr:uid="{ADCC407E-9DE6-4303-8E6C-055416B24083}"/>
    <cellStyle name="Normal 3 2 16 5" xfId="1341" xr:uid="{A5F851EE-33E7-4DCD-A645-BDE56484920D}"/>
    <cellStyle name="Normal 3 2 16 5 2" xfId="3062" xr:uid="{468C08C3-7256-4DA4-92CB-3DA6E78E756B}"/>
    <cellStyle name="Normal 3 2 16 5 2 2" xfId="6733" xr:uid="{EE6269C9-5D4F-452F-A271-0BFCB9E45E27}"/>
    <cellStyle name="Normal 3 2 16 5 3" xfId="5014" xr:uid="{F3D6E6C1-908B-47A1-BD9B-587C2CCE53E3}"/>
    <cellStyle name="Normal 3 2 16 6" xfId="1559" xr:uid="{BF346024-D0A5-4D23-B105-3B8C59768F07}"/>
    <cellStyle name="Normal 3 2 16 6 2" xfId="3280" xr:uid="{551E0420-A892-401C-906F-60EF4C11F49E}"/>
    <cellStyle name="Normal 3 2 16 6 2 2" xfId="6951" xr:uid="{E9037AB2-181F-4857-89AC-0234B2FC6351}"/>
    <cellStyle name="Normal 3 2 16 6 3" xfId="5232" xr:uid="{CE9B4A26-AF87-4F72-A145-9D6C1594BC55}"/>
    <cellStyle name="Normal 3 2 16 7" xfId="1778" xr:uid="{6EBA7AB9-41AD-4CD9-B5C3-48BCCD3D73A5}"/>
    <cellStyle name="Normal 3 2 16 7 2" xfId="3499" xr:uid="{E9E5A721-CCFA-4F27-95C9-3F61B10938BE}"/>
    <cellStyle name="Normal 3 2 16 7 2 2" xfId="7170" xr:uid="{DC937C85-EBDA-46ED-96DC-B7AD13BC0CF1}"/>
    <cellStyle name="Normal 3 2 16 7 3" xfId="5450" xr:uid="{CA14ABE5-03BF-44F5-A311-CAC34107FB2E}"/>
    <cellStyle name="Normal 3 2 16 8" xfId="2190" xr:uid="{933C101D-04F6-4BF8-AAEC-131F48A73757}"/>
    <cellStyle name="Normal 3 2 16 8 2" xfId="5861" xr:uid="{26961A8F-781D-477D-AA2A-18E8732486EC}"/>
    <cellStyle name="Normal 3 2 16 9" xfId="4154" xr:uid="{1D0AB3D1-D026-4919-9C16-01476784E56A}"/>
    <cellStyle name="Normal 3 2 17" xfId="260" xr:uid="{AAD6FBAE-0700-4145-82CD-254ACE8559BA}"/>
    <cellStyle name="Normal 3 2 17 2" xfId="700" xr:uid="{811DDA6C-F423-41AD-8DDB-DB00C761E17B}"/>
    <cellStyle name="Normal 3 2 17 2 2" xfId="2421" xr:uid="{24F75C95-1BEC-482A-9513-70E75FB9FB66}"/>
    <cellStyle name="Normal 3 2 17 2 2 2" xfId="6092" xr:uid="{3E8C414C-ED03-4EB4-8B94-613250D2952F}"/>
    <cellStyle name="Normal 3 2 17 2 3" xfId="4373" xr:uid="{D26FC448-AF0C-4965-9033-FE9C9C8EFAB4}"/>
    <cellStyle name="Normal 3 2 17 3" xfId="918" xr:uid="{9FAEDEAB-4130-4568-9136-188BA7B83E09}"/>
    <cellStyle name="Normal 3 2 17 3 2" xfId="2639" xr:uid="{13438D20-BB68-4808-BB66-0F65F81CBCF6}"/>
    <cellStyle name="Normal 3 2 17 3 2 2" xfId="6310" xr:uid="{950FC6D1-E36B-4470-BE1D-2C4A98FEBED6}"/>
    <cellStyle name="Normal 3 2 17 3 3" xfId="4591" xr:uid="{D2ADDD14-2562-4259-B1BE-B2FCA275C105}"/>
    <cellStyle name="Normal 3 2 17 4" xfId="1136" xr:uid="{20658ECE-58E0-4939-981E-C1B1126C8516}"/>
    <cellStyle name="Normal 3 2 17 4 2" xfId="2857" xr:uid="{98BE3D2A-BEC6-4014-8155-536E6C13EBE5}"/>
    <cellStyle name="Normal 3 2 17 4 2 2" xfId="6528" xr:uid="{31043214-3076-4717-9FF4-1C0A539A8B50}"/>
    <cellStyle name="Normal 3 2 17 4 3" xfId="4809" xr:uid="{F1C51303-40D2-4949-A0ED-268CF5CCDC7A}"/>
    <cellStyle name="Normal 3 2 17 5" xfId="1354" xr:uid="{F4177B1F-AAC8-4743-8C22-1CC2EA9DEB29}"/>
    <cellStyle name="Normal 3 2 17 5 2" xfId="3075" xr:uid="{29F35F76-E6EA-459E-BEE9-B09F88B3154C}"/>
    <cellStyle name="Normal 3 2 17 5 2 2" xfId="6746" xr:uid="{6ACD9849-E6BB-4B6D-9B38-13D72126C02E}"/>
    <cellStyle name="Normal 3 2 17 5 3" xfId="5027" xr:uid="{7265CD9C-DA58-41F1-9136-10BEC0BDABA2}"/>
    <cellStyle name="Normal 3 2 17 6" xfId="1572" xr:uid="{3835FED5-84E9-43B8-9823-EE2CCB36F539}"/>
    <cellStyle name="Normal 3 2 17 6 2" xfId="3293" xr:uid="{2839357C-BFF2-4152-BBAD-2EAFEDF207B8}"/>
    <cellStyle name="Normal 3 2 17 6 2 2" xfId="6964" xr:uid="{39512BA4-A77B-404D-ABE5-9763F8917F6C}"/>
    <cellStyle name="Normal 3 2 17 6 3" xfId="5245" xr:uid="{AE484A42-62B3-4E40-8096-E45C6736AD17}"/>
    <cellStyle name="Normal 3 2 17 7" xfId="1791" xr:uid="{FCFEF875-53C1-4907-BD8D-B4853049CF5F}"/>
    <cellStyle name="Normal 3 2 17 7 2" xfId="3512" xr:uid="{824AE952-D66D-437B-98FB-EE58218B1DCC}"/>
    <cellStyle name="Normal 3 2 17 7 2 2" xfId="7183" xr:uid="{73F904FA-D328-4665-AAA0-7AD984B4E215}"/>
    <cellStyle name="Normal 3 2 17 7 3" xfId="5463" xr:uid="{9669DECC-0918-44E7-B435-B0463331CABA}"/>
    <cellStyle name="Normal 3 2 17 8" xfId="2203" xr:uid="{692AA8E3-90AB-4180-A44C-571DA58CB38F}"/>
    <cellStyle name="Normal 3 2 17 8 2" xfId="5874" xr:uid="{F48953E1-4FF4-40A0-848F-449E5D0DD539}"/>
    <cellStyle name="Normal 3 2 17 9" xfId="4167" xr:uid="{FDDF953F-9D2A-4540-A25C-A47C57B57C18}"/>
    <cellStyle name="Normal 3 2 18" xfId="300" xr:uid="{A8666440-BA0F-4CFB-930B-31C540F0329D}"/>
    <cellStyle name="Normal 3 2 18 2" xfId="1998" xr:uid="{A7AA695C-E2C6-4524-BF8A-0155C5C75D00}"/>
    <cellStyle name="Normal 3 2 18 2 2" xfId="5669" xr:uid="{30AB10D9-57D7-4F73-9F54-73B617447241}"/>
    <cellStyle name="Normal 3 2 18 3" xfId="3974" xr:uid="{9B910036-A3F3-4FE9-BBE6-0BAE1FA19B0C}"/>
    <cellStyle name="Normal 3 2 19" xfId="495" xr:uid="{D95C1874-EC19-47BB-A027-C1C12C8AEE62}"/>
    <cellStyle name="Normal 3 2 19 2" xfId="2216" xr:uid="{1544977A-9711-4040-A73C-C44929D4D3F3}"/>
    <cellStyle name="Normal 3 2 19 2 2" xfId="5887" xr:uid="{072EAA77-9903-4DC4-A4D1-4A852643D9C6}"/>
    <cellStyle name="Normal 3 2 19 3" xfId="4180" xr:uid="{44CAE9F1-6FF7-4529-90DB-E9DF04907CCE}"/>
    <cellStyle name="Normal 3 2 2" xfId="59" xr:uid="{A1B2FCEB-21C4-431D-9D47-EACB475144F4}"/>
    <cellStyle name="Normal 3 2 2 10" xfId="176" xr:uid="{753C218E-B064-455B-B188-3310AF6C3275}"/>
    <cellStyle name="Normal 3 2 2 10 10" xfId="3905" xr:uid="{5F8C4DAE-E69F-47AE-B056-C3BEC742D052}"/>
    <cellStyle name="Normal 3 2 2 10 2" xfId="422" xr:uid="{1D57DEA6-7EB6-4A19-9E9B-80DB21A1BFCC}"/>
    <cellStyle name="Normal 3 2 2 10 2 2" xfId="2121" xr:uid="{7C086508-D727-45C9-A782-957A76AB9067}"/>
    <cellStyle name="Normal 3 2 2 10 2 2 2" xfId="5792" xr:uid="{32E27B27-C957-4376-9B3A-73D2E7D9E699}"/>
    <cellStyle name="Normal 3 2 2 10 2 3" xfId="4085" xr:uid="{1684D335-E91E-4A98-AE39-424F96E8676D}"/>
    <cellStyle name="Normal 3 2 2 10 3" xfId="618" xr:uid="{880F80A6-02F2-4C5D-8892-C4199EE92A9A}"/>
    <cellStyle name="Normal 3 2 2 10 3 2" xfId="2339" xr:uid="{D95ECA45-EED2-4325-8853-FF3AD525CC8C}"/>
    <cellStyle name="Normal 3 2 2 10 3 2 2" xfId="6010" xr:uid="{919B01BB-3DCE-4106-A301-4735471A6EDE}"/>
    <cellStyle name="Normal 3 2 2 10 3 3" xfId="4291" xr:uid="{35A1F6CB-79B2-4B0C-B309-6E4B98F2BEBD}"/>
    <cellStyle name="Normal 3 2 2 10 4" xfId="836" xr:uid="{824DAC6D-F525-4976-A561-26D65B74FDDD}"/>
    <cellStyle name="Normal 3 2 2 10 4 2" xfId="2557" xr:uid="{F97CAC72-DB8C-4D44-B59D-F2B0832FF7F4}"/>
    <cellStyle name="Normal 3 2 2 10 4 2 2" xfId="6228" xr:uid="{B34B47A8-E86B-4CAF-B412-184AE2920F75}"/>
    <cellStyle name="Normal 3 2 2 10 4 3" xfId="4509" xr:uid="{F050DB33-2F3D-4E33-B5BF-8307EFB54A42}"/>
    <cellStyle name="Normal 3 2 2 10 5" xfId="1054" xr:uid="{539C63BD-BA3D-4AB9-AF55-AB8A4CF28051}"/>
    <cellStyle name="Normal 3 2 2 10 5 2" xfId="2775" xr:uid="{29EEAA9D-296C-4039-AB45-E4B4ABE331C9}"/>
    <cellStyle name="Normal 3 2 2 10 5 2 2" xfId="6446" xr:uid="{CD616BF3-35C9-4813-9496-F3C97F4F37CB}"/>
    <cellStyle name="Normal 3 2 2 10 5 3" xfId="4727" xr:uid="{970F3D4B-2A89-4440-AF40-E5A313D54A04}"/>
    <cellStyle name="Normal 3 2 2 10 6" xfId="1272" xr:uid="{4B6D7BFE-872C-45F1-BB26-8D5A05B5DC40}"/>
    <cellStyle name="Normal 3 2 2 10 6 2" xfId="2993" xr:uid="{99070C1A-595B-4D07-98DB-8706F356066A}"/>
    <cellStyle name="Normal 3 2 2 10 6 2 2" xfId="6664" xr:uid="{F5855F5F-D463-45E2-9F2C-196CF43B4246}"/>
    <cellStyle name="Normal 3 2 2 10 6 3" xfId="4945" xr:uid="{60054D7D-0404-4FA2-8B4A-3A3FABAA70EE}"/>
    <cellStyle name="Normal 3 2 2 10 7" xfId="1490" xr:uid="{454BFD23-7E46-4808-9315-5DEC5BE754CD}"/>
    <cellStyle name="Normal 3 2 2 10 7 2" xfId="3211" xr:uid="{D700EFED-20DB-4822-8547-B216086B6D18}"/>
    <cellStyle name="Normal 3 2 2 10 7 2 2" xfId="6882" xr:uid="{FE17BDE3-B8F7-4B7E-B162-235C76D98C13}"/>
    <cellStyle name="Normal 3 2 2 10 7 3" xfId="5163" xr:uid="{3C63A491-EF73-4EAB-8FA1-6560FE632B1A}"/>
    <cellStyle name="Normal 3 2 2 10 8" xfId="1709" xr:uid="{A0C9C54E-30ED-4C3E-BCEF-8475F234DC68}"/>
    <cellStyle name="Normal 3 2 2 10 8 2" xfId="3430" xr:uid="{7483A1E9-06A7-4183-9A91-742499BFE0C8}"/>
    <cellStyle name="Normal 3 2 2 10 8 2 2" xfId="7101" xr:uid="{4290DC84-9C02-4C93-934E-DF691F76EAF9}"/>
    <cellStyle name="Normal 3 2 2 10 8 3" xfId="5381" xr:uid="{5B7DE074-79A9-483D-B072-C0F5A3E24873}"/>
    <cellStyle name="Normal 3 2 2 10 9" xfId="1929" xr:uid="{2E2E97E7-2164-4842-AB64-50EF69B80DD5}"/>
    <cellStyle name="Normal 3 2 2 10 9 2" xfId="5600" xr:uid="{98B42495-FD6E-4735-9F3B-B014C6BB818A}"/>
    <cellStyle name="Normal 3 2 2 11" xfId="189" xr:uid="{F60F6BA1-1E54-44AF-AC59-9CC8DD49B7EC}"/>
    <cellStyle name="Normal 3 2 2 11 10" xfId="3918" xr:uid="{FD182902-6061-4B72-AC9A-EFA3B03DF884}"/>
    <cellStyle name="Normal 3 2 2 11 2" xfId="435" xr:uid="{1D9E75D4-E48F-4D9D-95EC-5E8BD1CEC668}"/>
    <cellStyle name="Normal 3 2 2 11 2 2" xfId="2134" xr:uid="{5144FFA3-1991-4AB7-BEA5-4ACA623A4854}"/>
    <cellStyle name="Normal 3 2 2 11 2 2 2" xfId="5805" xr:uid="{B959FB12-3D83-4F5E-B63F-65D6C48C34BA}"/>
    <cellStyle name="Normal 3 2 2 11 2 3" xfId="4098" xr:uid="{08B29F22-70CE-4AF3-A7BC-A49D6FD3FA8D}"/>
    <cellStyle name="Normal 3 2 2 11 3" xfId="631" xr:uid="{E0B5FB02-CFE9-433B-A442-CDC17BF92943}"/>
    <cellStyle name="Normal 3 2 2 11 3 2" xfId="2352" xr:uid="{1207CA14-FD41-46BA-A34C-1CC906DE7129}"/>
    <cellStyle name="Normal 3 2 2 11 3 2 2" xfId="6023" xr:uid="{720A7A01-98F3-4528-B552-67682A51183E}"/>
    <cellStyle name="Normal 3 2 2 11 3 3" xfId="4304" xr:uid="{96284478-ED76-45E1-9B67-C2CFC6AED823}"/>
    <cellStyle name="Normal 3 2 2 11 4" xfId="849" xr:uid="{ADFFACF7-933D-4175-92B5-0C596D2B57DB}"/>
    <cellStyle name="Normal 3 2 2 11 4 2" xfId="2570" xr:uid="{C705A9F9-7DD9-453E-B12B-5C68A0064D8F}"/>
    <cellStyle name="Normal 3 2 2 11 4 2 2" xfId="6241" xr:uid="{713AC8F3-CC46-4C19-B2A6-D93B3A56C931}"/>
    <cellStyle name="Normal 3 2 2 11 4 3" xfId="4522" xr:uid="{E903C9E1-320B-4918-8015-B842D7EFA73C}"/>
    <cellStyle name="Normal 3 2 2 11 5" xfId="1067" xr:uid="{BAB91751-5E2A-4F3B-A5C0-2BE661995269}"/>
    <cellStyle name="Normal 3 2 2 11 5 2" xfId="2788" xr:uid="{2970D9E6-8F04-497E-BB17-239A3127F746}"/>
    <cellStyle name="Normal 3 2 2 11 5 2 2" xfId="6459" xr:uid="{B780203D-F56C-4B96-A0E5-6615C66F636A}"/>
    <cellStyle name="Normal 3 2 2 11 5 3" xfId="4740" xr:uid="{77675452-94CF-4341-AD20-6A8FE87D42FF}"/>
    <cellStyle name="Normal 3 2 2 11 6" xfId="1285" xr:uid="{451DE6AF-CBB8-4830-B506-EBC635494725}"/>
    <cellStyle name="Normal 3 2 2 11 6 2" xfId="3006" xr:uid="{B719BA5E-8B6F-4E9F-86C7-50527FF98F61}"/>
    <cellStyle name="Normal 3 2 2 11 6 2 2" xfId="6677" xr:uid="{E636DA2E-64D8-446D-994F-06834A2DE36F}"/>
    <cellStyle name="Normal 3 2 2 11 6 3" xfId="4958" xr:uid="{B329F1AF-F8B3-4888-BDE0-EC0DB4E4173D}"/>
    <cellStyle name="Normal 3 2 2 11 7" xfId="1503" xr:uid="{D9E73DF7-4E57-4EFA-878F-5803D91B4AEA}"/>
    <cellStyle name="Normal 3 2 2 11 7 2" xfId="3224" xr:uid="{A29612F1-1C76-4024-B4E8-4E2FAFB34BA7}"/>
    <cellStyle name="Normal 3 2 2 11 7 2 2" xfId="6895" xr:uid="{0316A088-C981-4AED-B9BB-4894560168DC}"/>
    <cellStyle name="Normal 3 2 2 11 7 3" xfId="5176" xr:uid="{124584B4-95A7-4516-9FC4-84B62D7AEE74}"/>
    <cellStyle name="Normal 3 2 2 11 8" xfId="1722" xr:uid="{C502216C-77C1-46EA-8610-94AFCED90E84}"/>
    <cellStyle name="Normal 3 2 2 11 8 2" xfId="3443" xr:uid="{409FB6A1-674C-4682-919E-97BFC93E2106}"/>
    <cellStyle name="Normal 3 2 2 11 8 2 2" xfId="7114" xr:uid="{3C44C6CD-5533-40BE-B053-E1B49C607781}"/>
    <cellStyle name="Normal 3 2 2 11 8 3" xfId="5394" xr:uid="{B764211E-11DA-4C6D-BD79-BEA319230BB8}"/>
    <cellStyle name="Normal 3 2 2 11 9" xfId="1942" xr:uid="{0530C8BE-E1B5-4513-8CED-F9E5A2BD2EC6}"/>
    <cellStyle name="Normal 3 2 2 11 9 2" xfId="5613" xr:uid="{759633CE-1516-46E8-9F34-7A7B28A90489}"/>
    <cellStyle name="Normal 3 2 2 12" xfId="202" xr:uid="{06610903-4821-4BC3-A914-0CF2488D7AD0}"/>
    <cellStyle name="Normal 3 2 2 12 10" xfId="3931" xr:uid="{57A0D778-EC3E-4E7B-B7C3-3AEC6D18C6D2}"/>
    <cellStyle name="Normal 3 2 2 12 2" xfId="448" xr:uid="{8389B50B-D142-4509-A590-35BB354C9B28}"/>
    <cellStyle name="Normal 3 2 2 12 2 2" xfId="2147" xr:uid="{0E683D6A-E44E-491C-BB45-0AFC54A64477}"/>
    <cellStyle name="Normal 3 2 2 12 2 2 2" xfId="5818" xr:uid="{63DE3549-EF22-4751-84C5-31D871481F38}"/>
    <cellStyle name="Normal 3 2 2 12 2 3" xfId="4111" xr:uid="{0CB85C2B-07E7-44F9-80B6-66989C0C243C}"/>
    <cellStyle name="Normal 3 2 2 12 3" xfId="644" xr:uid="{25D9B3F6-9BFF-4112-B758-A08335D23C2C}"/>
    <cellStyle name="Normal 3 2 2 12 3 2" xfId="2365" xr:uid="{F408728F-01F8-460D-92BE-02B799D04284}"/>
    <cellStyle name="Normal 3 2 2 12 3 2 2" xfId="6036" xr:uid="{6E27A447-FC94-4E33-96CF-4258C14792A4}"/>
    <cellStyle name="Normal 3 2 2 12 3 3" xfId="4317" xr:uid="{49C12646-330A-4115-B9A2-003B9819465E}"/>
    <cellStyle name="Normal 3 2 2 12 4" xfId="862" xr:uid="{707241FA-0F87-46AB-B0F1-04661EEFC7E6}"/>
    <cellStyle name="Normal 3 2 2 12 4 2" xfId="2583" xr:uid="{FBBB9584-5891-4C91-B8D6-DDAC7AE11F37}"/>
    <cellStyle name="Normal 3 2 2 12 4 2 2" xfId="6254" xr:uid="{5239A090-C4D3-46C9-80F6-32F6915BEF37}"/>
    <cellStyle name="Normal 3 2 2 12 4 3" xfId="4535" xr:uid="{DF04D648-8CDB-46E8-9689-60BED1D77712}"/>
    <cellStyle name="Normal 3 2 2 12 5" xfId="1080" xr:uid="{C32A9278-DB82-42F6-A33E-695C2CB7A49D}"/>
    <cellStyle name="Normal 3 2 2 12 5 2" xfId="2801" xr:uid="{59E1692E-77CF-4B8E-91D8-02C72DD8CA00}"/>
    <cellStyle name="Normal 3 2 2 12 5 2 2" xfId="6472" xr:uid="{8D36E154-5EE6-438F-A097-F97865E18AAF}"/>
    <cellStyle name="Normal 3 2 2 12 5 3" xfId="4753" xr:uid="{3C622B75-455C-4237-B46D-00A711FED917}"/>
    <cellStyle name="Normal 3 2 2 12 6" xfId="1298" xr:uid="{31D4D6EF-9608-4BF1-9D39-6F87C812CB87}"/>
    <cellStyle name="Normal 3 2 2 12 6 2" xfId="3019" xr:uid="{FFEBA735-431B-4224-835B-0B2868A9DB74}"/>
    <cellStyle name="Normal 3 2 2 12 6 2 2" xfId="6690" xr:uid="{B75CEBDE-33FA-46C0-8F38-73DA984B0DCD}"/>
    <cellStyle name="Normal 3 2 2 12 6 3" xfId="4971" xr:uid="{C81E699F-1B43-44FF-98A1-63C81F9F4984}"/>
    <cellStyle name="Normal 3 2 2 12 7" xfId="1516" xr:uid="{B831A853-709C-493B-9BE0-DE8D7B8A8B88}"/>
    <cellStyle name="Normal 3 2 2 12 7 2" xfId="3237" xr:uid="{B9CEA46A-B25C-4899-AAB2-740FCECD2A27}"/>
    <cellStyle name="Normal 3 2 2 12 7 2 2" xfId="6908" xr:uid="{3A43ABFE-52E1-466B-8480-3C99B858B989}"/>
    <cellStyle name="Normal 3 2 2 12 7 3" xfId="5189" xr:uid="{EBFFA0EC-AB10-4ADB-8402-B8D42CA9A3B0}"/>
    <cellStyle name="Normal 3 2 2 12 8" xfId="1735" xr:uid="{474710FB-D04D-4A44-9B8C-5382CE73DE2F}"/>
    <cellStyle name="Normal 3 2 2 12 8 2" xfId="3456" xr:uid="{D59B7BB6-9C8D-41D2-B776-7B8449AA20A4}"/>
    <cellStyle name="Normal 3 2 2 12 8 2 2" xfId="7127" xr:uid="{F50179E4-A334-4976-A615-2811F20349CE}"/>
    <cellStyle name="Normal 3 2 2 12 8 3" xfId="5407" xr:uid="{D0D72A64-24DD-420B-A617-58211E7A6DD4}"/>
    <cellStyle name="Normal 3 2 2 12 9" xfId="1955" xr:uid="{E03C3315-57A8-407F-83DE-618E094C9F94}"/>
    <cellStyle name="Normal 3 2 2 12 9 2" xfId="5626" xr:uid="{8B9F0366-E8D5-4F73-A478-811309B58F76}"/>
    <cellStyle name="Normal 3 2 2 13" xfId="227" xr:uid="{320843DC-855A-4CDD-BD43-4CAEF9EDA231}"/>
    <cellStyle name="Normal 3 2 2 13 10" xfId="3954" xr:uid="{E329C540-A0E1-4316-A83A-1FD8960CB1E8}"/>
    <cellStyle name="Normal 3 2 2 13 2" xfId="471" xr:uid="{2A375EC9-0446-444B-BFF3-A64D6C274EA2}"/>
    <cellStyle name="Normal 3 2 2 13 2 2" xfId="2170" xr:uid="{19A8E736-7DA2-47D5-8597-9138CAE0B450}"/>
    <cellStyle name="Normal 3 2 2 13 2 2 2" xfId="5841" xr:uid="{DF2FE94B-D28F-4E1C-9488-C3BA79287361}"/>
    <cellStyle name="Normal 3 2 2 13 2 3" xfId="4134" xr:uid="{27BAA5DA-9F95-4C80-A57B-AA5044CABDF4}"/>
    <cellStyle name="Normal 3 2 2 13 3" xfId="667" xr:uid="{059395AB-ABB5-475D-9F04-4A379090408A}"/>
    <cellStyle name="Normal 3 2 2 13 3 2" xfId="2388" xr:uid="{13CE1A0D-D3EC-4DAD-9D26-4A53C40DF438}"/>
    <cellStyle name="Normal 3 2 2 13 3 2 2" xfId="6059" xr:uid="{9603122A-4E3B-4F6F-A365-01406B996E2A}"/>
    <cellStyle name="Normal 3 2 2 13 3 3" xfId="4340" xr:uid="{B2AB0267-A1C7-4FCE-BD63-67B7F5559CCD}"/>
    <cellStyle name="Normal 3 2 2 13 4" xfId="885" xr:uid="{48B40A52-6024-4F8B-8FDE-D7C6A08E97DB}"/>
    <cellStyle name="Normal 3 2 2 13 4 2" xfId="2606" xr:uid="{12DC33DA-9E34-4007-BE21-0EDE8BA1E51E}"/>
    <cellStyle name="Normal 3 2 2 13 4 2 2" xfId="6277" xr:uid="{2387B310-BA24-4068-9944-DE94FD4D7545}"/>
    <cellStyle name="Normal 3 2 2 13 4 3" xfId="4558" xr:uid="{EB5955BC-E0AB-45DE-9474-40702589943B}"/>
    <cellStyle name="Normal 3 2 2 13 5" xfId="1103" xr:uid="{65F1EADD-7AFC-4750-9DA4-8EF0CA9B13D6}"/>
    <cellStyle name="Normal 3 2 2 13 5 2" xfId="2824" xr:uid="{0DAF782C-F084-4676-A3DC-B00D657D34F2}"/>
    <cellStyle name="Normal 3 2 2 13 5 2 2" xfId="6495" xr:uid="{05BBA26B-9461-4534-B9C5-09600A052F3E}"/>
    <cellStyle name="Normal 3 2 2 13 5 3" xfId="4776" xr:uid="{3B69CCA4-D4D0-40DB-A9F3-2FFDCAE6707C}"/>
    <cellStyle name="Normal 3 2 2 13 6" xfId="1321" xr:uid="{438B0188-B682-428F-A11E-4479E638BFFF}"/>
    <cellStyle name="Normal 3 2 2 13 6 2" xfId="3042" xr:uid="{B0D93F77-2B7B-4E5C-B324-9099E203FE1E}"/>
    <cellStyle name="Normal 3 2 2 13 6 2 2" xfId="6713" xr:uid="{DA7605B3-AE8E-4DFF-9106-79BA9A5FAFD1}"/>
    <cellStyle name="Normal 3 2 2 13 6 3" xfId="4994" xr:uid="{C856FFFC-7D4E-41CA-88D7-20B2B366B76B}"/>
    <cellStyle name="Normal 3 2 2 13 7" xfId="1539" xr:uid="{8BBD25B8-9C20-429C-BAC2-CE80EB5BA026}"/>
    <cellStyle name="Normal 3 2 2 13 7 2" xfId="3260" xr:uid="{FE8573A3-621C-4F16-9F06-9721658FAAD3}"/>
    <cellStyle name="Normal 3 2 2 13 7 2 2" xfId="6931" xr:uid="{2EFC6806-FCA1-483F-BC96-4507BA7208B3}"/>
    <cellStyle name="Normal 3 2 2 13 7 3" xfId="5212" xr:uid="{BDC30A31-B1CE-42BB-9E59-0BD4D551C240}"/>
    <cellStyle name="Normal 3 2 2 13 8" xfId="1758" xr:uid="{CF57E41A-4E43-48F9-A74D-B5BA59524917}"/>
    <cellStyle name="Normal 3 2 2 13 8 2" xfId="3479" xr:uid="{9CB858E7-F7E4-4048-8E6A-D9FEDF12FB60}"/>
    <cellStyle name="Normal 3 2 2 13 8 2 2" xfId="7150" xr:uid="{AE7C337D-40E6-4D16-9452-F484719A8BF4}"/>
    <cellStyle name="Normal 3 2 2 13 8 3" xfId="5430" xr:uid="{9DD1DAC9-AB80-4B81-B28A-AFC6D33D8DBA}"/>
    <cellStyle name="Normal 3 2 2 13 9" xfId="1978" xr:uid="{9B8B88E3-C33B-4589-B6C0-4829ADFB9114}"/>
    <cellStyle name="Normal 3 2 2 13 9 2" xfId="5649" xr:uid="{24CA820D-9EE2-4A43-866C-E143BBDEED58}"/>
    <cellStyle name="Normal 3 2 2 14" xfId="240" xr:uid="{76D5AFF8-773A-4174-9013-016948F73727}"/>
    <cellStyle name="Normal 3 2 2 14 10" xfId="3967" xr:uid="{6F4CF1E6-ADED-4F1C-AF21-3AA7E3527683}"/>
    <cellStyle name="Normal 3 2 2 14 2" xfId="484" xr:uid="{024E12B7-7E2E-48A4-B6D3-BF4BEBDFEF67}"/>
    <cellStyle name="Normal 3 2 2 14 2 2" xfId="2183" xr:uid="{643DBBFC-9890-4CD4-A74E-565CFC975CC9}"/>
    <cellStyle name="Normal 3 2 2 14 2 2 2" xfId="5854" xr:uid="{800378A0-8942-4279-8E4F-6229EC5EC5E4}"/>
    <cellStyle name="Normal 3 2 2 14 2 3" xfId="4147" xr:uid="{2944641F-BE3F-4C29-ABA0-316A1C2327E5}"/>
    <cellStyle name="Normal 3 2 2 14 3" xfId="680" xr:uid="{CA8BAE8B-2147-47C0-8A9B-1641CA028D60}"/>
    <cellStyle name="Normal 3 2 2 14 3 2" xfId="2401" xr:uid="{B6F0730C-642C-4A39-8A59-799A17231F77}"/>
    <cellStyle name="Normal 3 2 2 14 3 2 2" xfId="6072" xr:uid="{08510D06-8D85-47A3-8980-9C03233391D9}"/>
    <cellStyle name="Normal 3 2 2 14 3 3" xfId="4353" xr:uid="{9E8E66B8-BDAA-405C-A9DA-A7A24567D696}"/>
    <cellStyle name="Normal 3 2 2 14 4" xfId="898" xr:uid="{1699A13E-5F32-4984-8731-08F69D448878}"/>
    <cellStyle name="Normal 3 2 2 14 4 2" xfId="2619" xr:uid="{410AEC33-7DAD-4C3F-81A6-20F355E95ED8}"/>
    <cellStyle name="Normal 3 2 2 14 4 2 2" xfId="6290" xr:uid="{C681DFFE-7A36-41A5-A6A4-27EC72CE6869}"/>
    <cellStyle name="Normal 3 2 2 14 4 3" xfId="4571" xr:uid="{8ECFA7EF-41DD-40F0-9067-AB2111981B31}"/>
    <cellStyle name="Normal 3 2 2 14 5" xfId="1116" xr:uid="{2197EDDC-B831-46CA-9EFC-ACAB53CDBEC6}"/>
    <cellStyle name="Normal 3 2 2 14 5 2" xfId="2837" xr:uid="{F55DAC35-0E38-46D4-9580-371F4E78027D}"/>
    <cellStyle name="Normal 3 2 2 14 5 2 2" xfId="6508" xr:uid="{D88506FC-92FA-40CB-8F23-0C17FD581EB5}"/>
    <cellStyle name="Normal 3 2 2 14 5 3" xfId="4789" xr:uid="{AFAE7776-5543-475D-8644-F41C6B8A8EB2}"/>
    <cellStyle name="Normal 3 2 2 14 6" xfId="1334" xr:uid="{1ACFCA63-641D-4BE6-90B4-91FF272DC3F4}"/>
    <cellStyle name="Normal 3 2 2 14 6 2" xfId="3055" xr:uid="{C3F2562C-B914-4BA8-BB2D-65B482257186}"/>
    <cellStyle name="Normal 3 2 2 14 6 2 2" xfId="6726" xr:uid="{4BE23392-70E8-49FD-A9F8-B4B0F6CA54BA}"/>
    <cellStyle name="Normal 3 2 2 14 6 3" xfId="5007" xr:uid="{A362D17D-CE84-4547-BF1A-BE58F62C96E9}"/>
    <cellStyle name="Normal 3 2 2 14 7" xfId="1552" xr:uid="{6A96E16C-A949-4014-998C-4DDD4C6AD5C2}"/>
    <cellStyle name="Normal 3 2 2 14 7 2" xfId="3273" xr:uid="{72218BE2-4078-4DEB-B51D-44C2AE468525}"/>
    <cellStyle name="Normal 3 2 2 14 7 2 2" xfId="6944" xr:uid="{D7DE66E0-3371-451C-A153-B1C51E780D68}"/>
    <cellStyle name="Normal 3 2 2 14 7 3" xfId="5225" xr:uid="{7539F0B9-5738-4ECD-A0CE-CCA1FD02701E}"/>
    <cellStyle name="Normal 3 2 2 14 8" xfId="1771" xr:uid="{40F9288C-9E34-4097-A0BE-8FCDC7D367C0}"/>
    <cellStyle name="Normal 3 2 2 14 8 2" xfId="3492" xr:uid="{5DB0C3E9-F992-4FF6-B649-61CD6C62027E}"/>
    <cellStyle name="Normal 3 2 2 14 8 2 2" xfId="7163" xr:uid="{90EA2492-248F-4674-944D-414F7008E15F}"/>
    <cellStyle name="Normal 3 2 2 14 8 3" xfId="5443" xr:uid="{690A00FF-82E6-4184-B844-E9ADDD1B618A}"/>
    <cellStyle name="Normal 3 2 2 14 9" xfId="1991" xr:uid="{8EAB53B3-5FFE-4843-867E-76FDE28BBFE9}"/>
    <cellStyle name="Normal 3 2 2 14 9 2" xfId="5662" xr:uid="{5491CC8F-474A-43EB-91BC-5CE18783D43E}"/>
    <cellStyle name="Normal 3 2 2 15" xfId="253" xr:uid="{7F8341D2-26E1-40B6-94D3-AE40AEA46CF4}"/>
    <cellStyle name="Normal 3 2 2 15 2" xfId="693" xr:uid="{BEDDE1C1-E0F9-4EF8-B934-205A9D7A379B}"/>
    <cellStyle name="Normal 3 2 2 15 2 2" xfId="2414" xr:uid="{9606E66D-AEF0-4E4D-B0A1-F95EAC3EDBC5}"/>
    <cellStyle name="Normal 3 2 2 15 2 2 2" xfId="6085" xr:uid="{F5E75293-BAC4-43C6-B79A-43EDA73F1B72}"/>
    <cellStyle name="Normal 3 2 2 15 2 3" xfId="4366" xr:uid="{17D1CE97-B39E-4AEA-B0FF-345584BFF0AA}"/>
    <cellStyle name="Normal 3 2 2 15 3" xfId="911" xr:uid="{80C6EB96-9929-4A0A-B180-266636BE69DC}"/>
    <cellStyle name="Normal 3 2 2 15 3 2" xfId="2632" xr:uid="{479181C0-B790-4324-B498-4B33D8052D5F}"/>
    <cellStyle name="Normal 3 2 2 15 3 2 2" xfId="6303" xr:uid="{DFAAA1F4-FF1D-44D7-AD79-83E5B6F6EBD8}"/>
    <cellStyle name="Normal 3 2 2 15 3 3" xfId="4584" xr:uid="{3D5EE7E3-45E5-4F0C-A054-99B5548180BE}"/>
    <cellStyle name="Normal 3 2 2 15 4" xfId="1129" xr:uid="{E1CCC875-F5F3-45D9-96F6-714C9C39427C}"/>
    <cellStyle name="Normal 3 2 2 15 4 2" xfId="2850" xr:uid="{AFB577CE-3571-412D-A8CB-3EF6BE8D34F0}"/>
    <cellStyle name="Normal 3 2 2 15 4 2 2" xfId="6521" xr:uid="{2FDE81C2-224A-4390-BFA7-687DD5B0BC88}"/>
    <cellStyle name="Normal 3 2 2 15 4 3" xfId="4802" xr:uid="{94E36D33-7363-4372-8DBD-F3E11498FFA4}"/>
    <cellStyle name="Normal 3 2 2 15 5" xfId="1347" xr:uid="{5A6B8A3E-6340-4874-8204-5B0D5BCFA7B2}"/>
    <cellStyle name="Normal 3 2 2 15 5 2" xfId="3068" xr:uid="{F5491DA7-CF9E-48AA-A99E-3E4B58BDF29F}"/>
    <cellStyle name="Normal 3 2 2 15 5 2 2" xfId="6739" xr:uid="{A129DF7D-4784-4C60-B8D1-66E6985D83AC}"/>
    <cellStyle name="Normal 3 2 2 15 5 3" xfId="5020" xr:uid="{BF512370-4CA7-4389-9141-F5E0AF964DB1}"/>
    <cellStyle name="Normal 3 2 2 15 6" xfId="1565" xr:uid="{85946501-80BF-46E1-8CB7-6EA799064F93}"/>
    <cellStyle name="Normal 3 2 2 15 6 2" xfId="3286" xr:uid="{CDE21E20-1B03-4418-ABD4-C0F7D62ABA48}"/>
    <cellStyle name="Normal 3 2 2 15 6 2 2" xfId="6957" xr:uid="{A760A7FA-D29E-4773-986D-63D62C80AA36}"/>
    <cellStyle name="Normal 3 2 2 15 6 3" xfId="5238" xr:uid="{543AEA87-D01B-40FD-9CD5-2186EA4B1933}"/>
    <cellStyle name="Normal 3 2 2 15 7" xfId="1784" xr:uid="{24429D34-9286-4A9F-80D8-720ACB6F20DB}"/>
    <cellStyle name="Normal 3 2 2 15 7 2" xfId="3505" xr:uid="{E12F19FB-93E4-44A6-91D1-F0C0525206DB}"/>
    <cellStyle name="Normal 3 2 2 15 7 2 2" xfId="7176" xr:uid="{5444AAC0-AB4C-46BD-A3CD-00573792D237}"/>
    <cellStyle name="Normal 3 2 2 15 7 3" xfId="5456" xr:uid="{6BE41C39-8A65-459D-89CA-F73CDC629E52}"/>
    <cellStyle name="Normal 3 2 2 15 8" xfId="2196" xr:uid="{372AD7D7-1D1B-42CA-8188-EB542406306E}"/>
    <cellStyle name="Normal 3 2 2 15 8 2" xfId="5867" xr:uid="{20ABACAF-2299-4B1A-8355-C3504759E560}"/>
    <cellStyle name="Normal 3 2 2 15 9" xfId="4160" xr:uid="{C1119896-6838-46E5-86C7-ACB1E139B22A}"/>
    <cellStyle name="Normal 3 2 2 16" xfId="266" xr:uid="{8E46E7B6-6EA8-4DA3-B868-170FEFCFA14D}"/>
    <cellStyle name="Normal 3 2 2 16 2" xfId="706" xr:uid="{87C5EF3B-6F89-43E5-973C-AA9FCE9A9DC5}"/>
    <cellStyle name="Normal 3 2 2 16 2 2" xfId="2427" xr:uid="{ECFC26DE-9B84-41E5-B73E-176F5F919E18}"/>
    <cellStyle name="Normal 3 2 2 16 2 2 2" xfId="6098" xr:uid="{1CBADE88-3BE6-426A-B7FB-DF35A1602518}"/>
    <cellStyle name="Normal 3 2 2 16 2 3" xfId="4379" xr:uid="{BD760F0F-25E9-425D-892C-DBB2459FDED3}"/>
    <cellStyle name="Normal 3 2 2 16 3" xfId="924" xr:uid="{57C94042-4DCC-42D7-9F91-551424BFB638}"/>
    <cellStyle name="Normal 3 2 2 16 3 2" xfId="2645" xr:uid="{3EC24854-89C7-454A-BAF8-F233ADAA3AF3}"/>
    <cellStyle name="Normal 3 2 2 16 3 2 2" xfId="6316" xr:uid="{2755CF02-EC8F-450E-9193-6BB77C2683D3}"/>
    <cellStyle name="Normal 3 2 2 16 3 3" xfId="4597" xr:uid="{213BC823-C21D-47DB-A76A-22AB200F7699}"/>
    <cellStyle name="Normal 3 2 2 16 4" xfId="1142" xr:uid="{486D62D4-1FE8-4224-BF4C-786E68895BD4}"/>
    <cellStyle name="Normal 3 2 2 16 4 2" xfId="2863" xr:uid="{0F915A57-D92C-4A9F-B8BC-497A8ACFB7C3}"/>
    <cellStyle name="Normal 3 2 2 16 4 2 2" xfId="6534" xr:uid="{F4871F38-8352-4C92-B4B3-3450FDA59BCB}"/>
    <cellStyle name="Normal 3 2 2 16 4 3" xfId="4815" xr:uid="{CA6E3127-C21B-4B56-A333-145135D6508D}"/>
    <cellStyle name="Normal 3 2 2 16 5" xfId="1360" xr:uid="{0A6246D1-E146-4E3D-8EE9-BBE5C87D681A}"/>
    <cellStyle name="Normal 3 2 2 16 5 2" xfId="3081" xr:uid="{60FA4AAC-4718-400A-B0BD-CB87B18D1F46}"/>
    <cellStyle name="Normal 3 2 2 16 5 2 2" xfId="6752" xr:uid="{832ABC05-7022-4605-8AB0-DD50D7DAFECF}"/>
    <cellStyle name="Normal 3 2 2 16 5 3" xfId="5033" xr:uid="{290F9165-D9C1-4522-8270-A9F8B106A91C}"/>
    <cellStyle name="Normal 3 2 2 16 6" xfId="1578" xr:uid="{ABE0085D-045D-486C-8FDB-157C975817C0}"/>
    <cellStyle name="Normal 3 2 2 16 6 2" xfId="3299" xr:uid="{28BB54E9-D607-41B9-9855-E81B43641FB1}"/>
    <cellStyle name="Normal 3 2 2 16 6 2 2" xfId="6970" xr:uid="{8E46A7ED-FFD1-4542-9C71-E957F27F2520}"/>
    <cellStyle name="Normal 3 2 2 16 6 3" xfId="5251" xr:uid="{D546653E-E297-4380-996B-E14B7982D515}"/>
    <cellStyle name="Normal 3 2 2 16 7" xfId="1797" xr:uid="{02DABA8D-249B-49EE-92AA-817E03AF7D4E}"/>
    <cellStyle name="Normal 3 2 2 16 7 2" xfId="3518" xr:uid="{A71F5E1D-593D-45FA-83C9-3EA3CD706BB3}"/>
    <cellStyle name="Normal 3 2 2 16 7 2 2" xfId="7189" xr:uid="{61F7E5CB-0845-460D-92BD-CB9B027BADAC}"/>
    <cellStyle name="Normal 3 2 2 16 7 3" xfId="5469" xr:uid="{D1F71337-5BAC-46D2-ACAE-F924B08C1441}"/>
    <cellStyle name="Normal 3 2 2 16 8" xfId="2209" xr:uid="{3596F975-B7F6-4F7E-B61A-5036B9591804}"/>
    <cellStyle name="Normal 3 2 2 16 8 2" xfId="5880" xr:uid="{105164A5-252E-46E6-94CC-45800EA44B34}"/>
    <cellStyle name="Normal 3 2 2 16 9" xfId="4173" xr:uid="{8C3087FC-E5D6-47ED-94E1-43991856EBDC}"/>
    <cellStyle name="Normal 3 2 2 17" xfId="306" xr:uid="{256CB6A6-1CB4-413D-9D6C-7B220AF212E8}"/>
    <cellStyle name="Normal 3 2 2 17 2" xfId="2004" xr:uid="{81AFCA6E-905A-4F9E-AE2C-57DDDCBE84FB}"/>
    <cellStyle name="Normal 3 2 2 17 2 2" xfId="5675" xr:uid="{D747B1D8-6C44-423F-82B7-5ED230891FE4}"/>
    <cellStyle name="Normal 3 2 2 17 3" xfId="3980" xr:uid="{C2C9EFAE-1850-47BA-A09A-7E39B5B0AABB}"/>
    <cellStyle name="Normal 3 2 2 18" xfId="501" xr:uid="{5FD358F5-E660-4A12-9CE9-9B57AF1DC208}"/>
    <cellStyle name="Normal 3 2 2 18 2" xfId="2222" xr:uid="{DF26685C-35F9-4D2C-AA1E-731520D92355}"/>
    <cellStyle name="Normal 3 2 2 18 2 2" xfId="5893" xr:uid="{9C40D5C7-E153-49BA-A03C-2BB137A2E46B}"/>
    <cellStyle name="Normal 3 2 2 18 3" xfId="4186" xr:uid="{01BB9220-4F61-4078-BE96-B76467511E33}"/>
    <cellStyle name="Normal 3 2 2 19" xfId="719" xr:uid="{6749FACD-D691-4758-AF5A-5CE2FFD721B4}"/>
    <cellStyle name="Normal 3 2 2 19 2" xfId="2440" xr:uid="{CBA01DEE-4EC4-409F-823F-579F3BDACDBC}"/>
    <cellStyle name="Normal 3 2 2 19 2 2" xfId="6111" xr:uid="{4D1F7EEE-6171-4128-9AE1-53432E475183}"/>
    <cellStyle name="Normal 3 2 2 19 3" xfId="4392" xr:uid="{1CEE1CC4-8CBD-4E0E-B88C-FD0B91C4D133}"/>
    <cellStyle name="Normal 3 2 2 2" xfId="72" xr:uid="{95CF9258-493C-421C-B986-38C9A952BC40}"/>
    <cellStyle name="Normal 3 2 2 2 10" xfId="3801" xr:uid="{A8255846-4E17-492C-A30A-46A4C0FA7AF8}"/>
    <cellStyle name="Normal 3 2 2 2 2" xfId="318" xr:uid="{F9C95904-8C49-4044-8C5A-2C1F7FC6B8F8}"/>
    <cellStyle name="Normal 3 2 2 2 2 2" xfId="2017" xr:uid="{354AD75C-93E5-4F00-B9B7-7DFFC1FCB5F2}"/>
    <cellStyle name="Normal 3 2 2 2 2 2 2" xfId="5688" xr:uid="{DCF51107-FB4E-41F7-B2B9-383AA430AE8A}"/>
    <cellStyle name="Normal 3 2 2 2 2 3" xfId="3988" xr:uid="{53A32165-740F-45B0-881F-0C8DE0368FB2}"/>
    <cellStyle name="Normal 3 2 2 2 3" xfId="514" xr:uid="{7E7E9088-3DA3-40AB-BA39-8D1C0A726150}"/>
    <cellStyle name="Normal 3 2 2 2 3 2" xfId="2235" xr:uid="{496EA887-2460-4110-8A5C-A2B5DC9C1CF5}"/>
    <cellStyle name="Normal 3 2 2 2 3 2 2" xfId="5906" xr:uid="{EEE426DA-DA5B-4231-8144-F7FC8FBE70DC}"/>
    <cellStyle name="Normal 3 2 2 2 3 3" xfId="4194" xr:uid="{DA7A4163-155C-41FE-8BB5-0937C2576A14}"/>
    <cellStyle name="Normal 3 2 2 2 4" xfId="732" xr:uid="{D49A6793-7EA0-47F3-BEB3-725CCCB4F025}"/>
    <cellStyle name="Normal 3 2 2 2 4 2" xfId="2453" xr:uid="{0E5F438B-C784-49C7-BFB4-F53179CEB4AB}"/>
    <cellStyle name="Normal 3 2 2 2 4 2 2" xfId="6124" xr:uid="{CE6AAA30-855F-4740-9C74-F2F3327CC8A1}"/>
    <cellStyle name="Normal 3 2 2 2 4 3" xfId="4405" xr:uid="{137EBCB5-C5E3-4392-B8BF-3B6E0F4532E8}"/>
    <cellStyle name="Normal 3 2 2 2 5" xfId="950" xr:uid="{FF6A1A21-C08A-4399-802B-76150D59C6BE}"/>
    <cellStyle name="Normal 3 2 2 2 5 2" xfId="2671" xr:uid="{99354265-3656-451C-B305-0A53CA2F1435}"/>
    <cellStyle name="Normal 3 2 2 2 5 2 2" xfId="6342" xr:uid="{13D1D52B-7405-4E41-8E4C-627B3536E8CB}"/>
    <cellStyle name="Normal 3 2 2 2 5 3" xfId="4623" xr:uid="{513C8BFF-C98B-471B-B3E8-1D57EFF31E18}"/>
    <cellStyle name="Normal 3 2 2 2 6" xfId="1168" xr:uid="{2BD1D944-9C0C-4B07-95E2-486F78DBC43A}"/>
    <cellStyle name="Normal 3 2 2 2 6 2" xfId="2889" xr:uid="{6FE672B1-E0F1-4AC4-9793-67260F0AA423}"/>
    <cellStyle name="Normal 3 2 2 2 6 2 2" xfId="6560" xr:uid="{6BFE9567-F334-4E43-823F-A864C2682145}"/>
    <cellStyle name="Normal 3 2 2 2 6 3" xfId="4841" xr:uid="{B5E84F88-42FB-4B5F-9A57-1422BE5CF423}"/>
    <cellStyle name="Normal 3 2 2 2 7" xfId="1386" xr:uid="{E54DE78C-6A07-4B7C-A9FC-049842D8B4DD}"/>
    <cellStyle name="Normal 3 2 2 2 7 2" xfId="3107" xr:uid="{019DBD5B-ABA5-4CFA-B19C-1990A86E2C41}"/>
    <cellStyle name="Normal 3 2 2 2 7 2 2" xfId="6778" xr:uid="{F98267B2-CB90-4844-A586-7300E3B4D8BD}"/>
    <cellStyle name="Normal 3 2 2 2 7 3" xfId="5059" xr:uid="{D2A0F5AA-196B-4252-BEA3-D40DDD0850B7}"/>
    <cellStyle name="Normal 3 2 2 2 8" xfId="1605" xr:uid="{C9A6A5BF-95D8-4464-8806-A79FF843B7AC}"/>
    <cellStyle name="Normal 3 2 2 2 8 2" xfId="3326" xr:uid="{5690405D-7C3A-4E28-A271-1DFF21588F53}"/>
    <cellStyle name="Normal 3 2 2 2 8 2 2" xfId="6997" xr:uid="{FC94A245-F053-4708-AABD-D598965AE98C}"/>
    <cellStyle name="Normal 3 2 2 2 8 3" xfId="5277" xr:uid="{6D22D597-B8C0-4B92-B6C4-75B9BE1635A9}"/>
    <cellStyle name="Normal 3 2 2 2 9" xfId="1825" xr:uid="{601276B4-A420-49E8-9800-0BF78F509E87}"/>
    <cellStyle name="Normal 3 2 2 2 9 2" xfId="5496" xr:uid="{45F539A6-11B0-41E5-85CD-24EF4429052E}"/>
    <cellStyle name="Normal 3 2 2 20" xfId="937" xr:uid="{0F75EA0E-EEF4-46B5-93D0-3E886C107CB7}"/>
    <cellStyle name="Normal 3 2 2 20 2" xfId="2658" xr:uid="{946B316D-2708-442B-BEFF-3B5A70403B37}"/>
    <cellStyle name="Normal 3 2 2 20 2 2" xfId="6329" xr:uid="{6582C0D7-2C3B-4960-B51D-DF7346F3885C}"/>
    <cellStyle name="Normal 3 2 2 20 3" xfId="4610" xr:uid="{A049B49B-D80B-4B17-A214-92687C2E3A7F}"/>
    <cellStyle name="Normal 3 2 2 21" xfId="1155" xr:uid="{8A79BD4B-001D-41A0-A51C-A44D304B0153}"/>
    <cellStyle name="Normal 3 2 2 21 2" xfId="2876" xr:uid="{2DB5660A-67A1-49A8-A60F-3869652679A7}"/>
    <cellStyle name="Normal 3 2 2 21 2 2" xfId="6547" xr:uid="{B413FCE0-CE31-4774-A813-69BF6867E9C8}"/>
    <cellStyle name="Normal 3 2 2 21 3" xfId="4828" xr:uid="{53240915-B1BC-4664-83B1-22331153923F}"/>
    <cellStyle name="Normal 3 2 2 22" xfId="1373" xr:uid="{C9312123-1850-429A-8BFC-17A096E08F1E}"/>
    <cellStyle name="Normal 3 2 2 22 2" xfId="3094" xr:uid="{732393C8-D0DF-4F09-9AE0-0B3B54BF1CFF}"/>
    <cellStyle name="Normal 3 2 2 22 2 2" xfId="6765" xr:uid="{31822CDA-09A5-474C-A1EA-70E0EE40570E}"/>
    <cellStyle name="Normal 3 2 2 22 3" xfId="5046" xr:uid="{E2197C0A-CC05-43AA-B0EA-32DB4602ECCA}"/>
    <cellStyle name="Normal 3 2 2 23" xfId="1592" xr:uid="{DE3469EF-E310-4529-A76E-AC667AB0AAB3}"/>
    <cellStyle name="Normal 3 2 2 23 2" xfId="3313" xr:uid="{3A852604-E568-458E-9F82-8726C70F2338}"/>
    <cellStyle name="Normal 3 2 2 23 2 2" xfId="6984" xr:uid="{3A5513BC-4DAC-4A37-A46D-033261A4D6A4}"/>
    <cellStyle name="Normal 3 2 2 23 3" xfId="5264" xr:uid="{D3C26FC1-00A9-4574-9B1B-87D32B05D4BC}"/>
    <cellStyle name="Normal 3 2 2 24" xfId="1812" xr:uid="{5E0009E7-FF50-4EEE-884A-2B7715FA3389}"/>
    <cellStyle name="Normal 3 2 2 24 2" xfId="5483" xr:uid="{EF565858-A9A5-47C0-A3FD-147938C96360}"/>
    <cellStyle name="Normal 3 2 2 25" xfId="3788" xr:uid="{4E784A07-6610-421E-87E6-A3D62F40E5DE}"/>
    <cellStyle name="Normal 3 2 2 3" xfId="85" xr:uid="{745C12B2-8547-410C-B32B-BEEFE36945C5}"/>
    <cellStyle name="Normal 3 2 2 3 10" xfId="3814" xr:uid="{A1CA3EBC-87EB-47AF-A200-698E1FFF2B61}"/>
    <cellStyle name="Normal 3 2 2 3 2" xfId="331" xr:uid="{5B749FAA-2D6B-42D8-9240-72403085AA09}"/>
    <cellStyle name="Normal 3 2 2 3 2 2" xfId="2030" xr:uid="{455F8809-A3A2-4F5F-BE88-ADB39734487E}"/>
    <cellStyle name="Normal 3 2 2 3 2 2 2" xfId="5701" xr:uid="{94226AD7-BC08-487A-B54A-A71E5EB2EC7A}"/>
    <cellStyle name="Normal 3 2 2 3 2 3" xfId="3997" xr:uid="{0340FE55-3FF2-42BA-9492-5788EDB8AC41}"/>
    <cellStyle name="Normal 3 2 2 3 3" xfId="527" xr:uid="{8D8C2714-8BB9-4F08-9FF6-B42E6F3BEF11}"/>
    <cellStyle name="Normal 3 2 2 3 3 2" xfId="2248" xr:uid="{E095E485-4825-45F9-BBF0-38C6A95DEB2E}"/>
    <cellStyle name="Normal 3 2 2 3 3 2 2" xfId="5919" xr:uid="{4F5390F9-0667-442A-A24B-C54B4D82DF48}"/>
    <cellStyle name="Normal 3 2 2 3 3 3" xfId="4203" xr:uid="{DF44AD17-8085-4983-A696-BCBBD24AA8ED}"/>
    <cellStyle name="Normal 3 2 2 3 4" xfId="745" xr:uid="{3FD3BBF5-0388-40FC-B2DC-F8F88E012425}"/>
    <cellStyle name="Normal 3 2 2 3 4 2" xfId="2466" xr:uid="{036FA223-5F11-42B4-BC4A-51D0F333396F}"/>
    <cellStyle name="Normal 3 2 2 3 4 2 2" xfId="6137" xr:uid="{C3110F4C-7F1D-42E8-8F60-C2CAEDD36C05}"/>
    <cellStyle name="Normal 3 2 2 3 4 3" xfId="4418" xr:uid="{DC2B04BA-94AF-4D83-BD92-674DC28FC342}"/>
    <cellStyle name="Normal 3 2 2 3 5" xfId="963" xr:uid="{F4079604-28D6-417D-A156-9F5FA9594CDD}"/>
    <cellStyle name="Normal 3 2 2 3 5 2" xfId="2684" xr:uid="{84443B7A-E9E8-4531-B46C-28733C0D3FA2}"/>
    <cellStyle name="Normal 3 2 2 3 5 2 2" xfId="6355" xr:uid="{795B7244-160D-4F86-A749-F2D35F978E5B}"/>
    <cellStyle name="Normal 3 2 2 3 5 3" xfId="4636" xr:uid="{5E011980-243A-4C0F-A449-ADBEAC6C2D17}"/>
    <cellStyle name="Normal 3 2 2 3 6" xfId="1181" xr:uid="{90F06B7A-9025-4D16-AD80-F6D7E9FF0333}"/>
    <cellStyle name="Normal 3 2 2 3 6 2" xfId="2902" xr:uid="{CE60E954-A3D1-4EA6-917A-5B5F4B34A81D}"/>
    <cellStyle name="Normal 3 2 2 3 6 2 2" xfId="6573" xr:uid="{302B1C7F-612C-4C13-A22D-D7E897709ECE}"/>
    <cellStyle name="Normal 3 2 2 3 6 3" xfId="4854" xr:uid="{CCDB95BB-1C55-41E1-94D3-926A1C0D4055}"/>
    <cellStyle name="Normal 3 2 2 3 7" xfId="1399" xr:uid="{4FC64C92-4D2F-410D-934D-1E65FA92DEF8}"/>
    <cellStyle name="Normal 3 2 2 3 7 2" xfId="3120" xr:uid="{630A68BA-422B-44D0-8842-21733B77F82A}"/>
    <cellStyle name="Normal 3 2 2 3 7 2 2" xfId="6791" xr:uid="{022D6360-3A86-4B03-9945-570095A3A43E}"/>
    <cellStyle name="Normal 3 2 2 3 7 3" xfId="5072" xr:uid="{8672712F-8BC6-48BC-95A7-7660B1D3B115}"/>
    <cellStyle name="Normal 3 2 2 3 8" xfId="1618" xr:uid="{83B1CE91-4B27-4EBC-81F2-62FB0AFC4377}"/>
    <cellStyle name="Normal 3 2 2 3 8 2" xfId="3339" xr:uid="{172EB01E-58F2-4D98-B7B7-428F546523EA}"/>
    <cellStyle name="Normal 3 2 2 3 8 2 2" xfId="7010" xr:uid="{62B777FB-D6EA-41BD-847C-B76B111C6588}"/>
    <cellStyle name="Normal 3 2 2 3 8 3" xfId="5290" xr:uid="{465D0DEB-C6A8-4308-903D-F0B52DB7470B}"/>
    <cellStyle name="Normal 3 2 2 3 9" xfId="1838" xr:uid="{F46DE058-D79C-4C88-9C79-C41DA2125B11}"/>
    <cellStyle name="Normal 3 2 2 3 9 2" xfId="5509" xr:uid="{3126686D-B6D2-4D07-BBF7-D0F5F729F6D5}"/>
    <cellStyle name="Normal 3 2 2 4" xfId="98" xr:uid="{7CC6CAA4-0494-4F73-9E52-22E3D83E1337}"/>
    <cellStyle name="Normal 3 2 2 4 10" xfId="3827" xr:uid="{F88E4568-44B0-4DF8-8847-DB1490A5B800}"/>
    <cellStyle name="Normal 3 2 2 4 2" xfId="344" xr:uid="{A9784F9C-D1CB-4E59-B873-B98FC87674C0}"/>
    <cellStyle name="Normal 3 2 2 4 2 2" xfId="2043" xr:uid="{D5EE85B3-B66C-49AD-967D-E818E641EF1D}"/>
    <cellStyle name="Normal 3 2 2 4 2 2 2" xfId="5714" xr:uid="{5FFD07B7-279F-4EA9-A861-1D8032094553}"/>
    <cellStyle name="Normal 3 2 2 4 2 3" xfId="4007" xr:uid="{F8EC2DEA-8F5A-4162-9E56-434E8EE8BE9A}"/>
    <cellStyle name="Normal 3 2 2 4 3" xfId="540" xr:uid="{137DD094-4393-48F6-884F-A180BEEFCFB5}"/>
    <cellStyle name="Normal 3 2 2 4 3 2" xfId="2261" xr:uid="{E9EA5C24-B722-4A26-A365-D12A8592668F}"/>
    <cellStyle name="Normal 3 2 2 4 3 2 2" xfId="5932" xr:uid="{2CD56AAD-37E1-4598-8BD5-EFEB2F1B06F0}"/>
    <cellStyle name="Normal 3 2 2 4 3 3" xfId="4213" xr:uid="{1B622CF5-3673-4841-A74D-AA47B92976EA}"/>
    <cellStyle name="Normal 3 2 2 4 4" xfId="758" xr:uid="{49246604-3394-4785-85A2-280C90812083}"/>
    <cellStyle name="Normal 3 2 2 4 4 2" xfId="2479" xr:uid="{290BD74D-ACDD-4229-9DD0-968BC8742930}"/>
    <cellStyle name="Normal 3 2 2 4 4 2 2" xfId="6150" xr:uid="{88FE6405-0EBB-466E-BF38-9C3CAE999D94}"/>
    <cellStyle name="Normal 3 2 2 4 4 3" xfId="4431" xr:uid="{DA581A25-502B-44E8-AA07-4C561999161E}"/>
    <cellStyle name="Normal 3 2 2 4 5" xfId="976" xr:uid="{34C10822-C919-4157-849D-4FCC0E7BC2F7}"/>
    <cellStyle name="Normal 3 2 2 4 5 2" xfId="2697" xr:uid="{8237B557-CF0F-46B7-977F-2F41A77F2946}"/>
    <cellStyle name="Normal 3 2 2 4 5 2 2" xfId="6368" xr:uid="{979D8A81-D24C-40BB-88DE-9113F94B347E}"/>
    <cellStyle name="Normal 3 2 2 4 5 3" xfId="4649" xr:uid="{96ABC807-E67F-4AC0-A40E-7F38570ACFC9}"/>
    <cellStyle name="Normal 3 2 2 4 6" xfId="1194" xr:uid="{D867D12A-A735-41FD-AC95-EFAE06D3BE96}"/>
    <cellStyle name="Normal 3 2 2 4 6 2" xfId="2915" xr:uid="{C89F00DF-3148-4C4A-9D57-9A17DD3AE658}"/>
    <cellStyle name="Normal 3 2 2 4 6 2 2" xfId="6586" xr:uid="{EB9F030F-622C-4819-9573-8AE18FE96824}"/>
    <cellStyle name="Normal 3 2 2 4 6 3" xfId="4867" xr:uid="{44193CBB-679D-4889-B995-56C1BE6D24ED}"/>
    <cellStyle name="Normal 3 2 2 4 7" xfId="1412" xr:uid="{005FB738-2C4B-43F0-81B5-E6E3BCA4B0E7}"/>
    <cellStyle name="Normal 3 2 2 4 7 2" xfId="3133" xr:uid="{06520219-5969-4531-8833-5E1D3090B7FE}"/>
    <cellStyle name="Normal 3 2 2 4 7 2 2" xfId="6804" xr:uid="{E1B32BF5-1F2C-4977-96A7-722E7C6A31DE}"/>
    <cellStyle name="Normal 3 2 2 4 7 3" xfId="5085" xr:uid="{1BE00A69-5692-40D8-AC1C-92D3758212CD}"/>
    <cellStyle name="Normal 3 2 2 4 8" xfId="1631" xr:uid="{1E62F8EE-57BE-4DEB-9F4A-3DE5075B9990}"/>
    <cellStyle name="Normal 3 2 2 4 8 2" xfId="3352" xr:uid="{33E8D195-F69F-45BE-8339-64B95C646682}"/>
    <cellStyle name="Normal 3 2 2 4 8 2 2" xfId="7023" xr:uid="{E9BCBFEE-F863-42D7-93F1-29A1B101291D}"/>
    <cellStyle name="Normal 3 2 2 4 8 3" xfId="5303" xr:uid="{C6C7AD54-269B-4E8C-8496-DA3AACBF396C}"/>
    <cellStyle name="Normal 3 2 2 4 9" xfId="1851" xr:uid="{51F80B32-E7F7-4C2E-BA6B-00B1DED546CF}"/>
    <cellStyle name="Normal 3 2 2 4 9 2" xfId="5522" xr:uid="{A3706232-49DD-4AB2-8B3C-A4707489960F}"/>
    <cellStyle name="Normal 3 2 2 5" xfId="111" xr:uid="{73C3C74D-F12B-44CF-BD03-5F012451A67F}"/>
    <cellStyle name="Normal 3 2 2 5 10" xfId="3840" xr:uid="{736F4142-07B7-47F4-8147-67839E695177}"/>
    <cellStyle name="Normal 3 2 2 5 2" xfId="357" xr:uid="{E9E5BA42-68F8-404D-A60C-4E64FA76E31D}"/>
    <cellStyle name="Normal 3 2 2 5 2 2" xfId="2056" xr:uid="{BF60D364-D4DC-4A64-937A-B4F02C5F4492}"/>
    <cellStyle name="Normal 3 2 2 5 2 2 2" xfId="5727" xr:uid="{FB3171B0-2FFD-4136-A344-8631824D4A4D}"/>
    <cellStyle name="Normal 3 2 2 5 2 3" xfId="4020" xr:uid="{1CC66EBE-BBF0-4762-8385-E919824A7B95}"/>
    <cellStyle name="Normal 3 2 2 5 3" xfId="553" xr:uid="{B61E9CE0-17C0-490E-B25B-C680067F5D78}"/>
    <cellStyle name="Normal 3 2 2 5 3 2" xfId="2274" xr:uid="{1BD28E3A-DAF1-4C6D-9910-AAF293AFF335}"/>
    <cellStyle name="Normal 3 2 2 5 3 2 2" xfId="5945" xr:uid="{F8482950-D9C9-4AFB-9810-F274EAB5EE23}"/>
    <cellStyle name="Normal 3 2 2 5 3 3" xfId="4226" xr:uid="{4BFB0A9F-73C0-42FC-BA29-1B711BC3BA28}"/>
    <cellStyle name="Normal 3 2 2 5 4" xfId="771" xr:uid="{7342ABAE-929A-465F-9718-D4BC9C8603C7}"/>
    <cellStyle name="Normal 3 2 2 5 4 2" xfId="2492" xr:uid="{40BE76C7-C0C3-4BAF-92FB-E6D43214A082}"/>
    <cellStyle name="Normal 3 2 2 5 4 2 2" xfId="6163" xr:uid="{59B0DE95-9552-403C-8365-4ECF094093A8}"/>
    <cellStyle name="Normal 3 2 2 5 4 3" xfId="4444" xr:uid="{6D90C821-DCF8-4954-841E-758CA8ADA44F}"/>
    <cellStyle name="Normal 3 2 2 5 5" xfId="989" xr:uid="{1ACB4BEA-ECCA-45A0-9C6C-CF66310580FA}"/>
    <cellStyle name="Normal 3 2 2 5 5 2" xfId="2710" xr:uid="{28FFBEA5-D4C1-4074-8F0E-834D89B8B473}"/>
    <cellStyle name="Normal 3 2 2 5 5 2 2" xfId="6381" xr:uid="{7DDA35A4-6DDC-4E77-B466-86E581AFB88C}"/>
    <cellStyle name="Normal 3 2 2 5 5 3" xfId="4662" xr:uid="{81F90131-78C7-4B8A-89C1-88B80F14D678}"/>
    <cellStyle name="Normal 3 2 2 5 6" xfId="1207" xr:uid="{A84DD458-1C0B-4CD1-8AD8-FC11A10E90F9}"/>
    <cellStyle name="Normal 3 2 2 5 6 2" xfId="2928" xr:uid="{5003B6E0-7993-4ACB-A88A-B619A7D8D7EE}"/>
    <cellStyle name="Normal 3 2 2 5 6 2 2" xfId="6599" xr:uid="{3A056924-3CA8-4552-9FE6-BC80FFB26AF7}"/>
    <cellStyle name="Normal 3 2 2 5 6 3" xfId="4880" xr:uid="{1AEA48D2-4582-4610-9576-CCE939B25021}"/>
    <cellStyle name="Normal 3 2 2 5 7" xfId="1425" xr:uid="{59358823-A4D0-4BF7-8A67-08D70BC26FB1}"/>
    <cellStyle name="Normal 3 2 2 5 7 2" xfId="3146" xr:uid="{8E2E1EE8-83A4-43BD-8A70-DEFD08769A28}"/>
    <cellStyle name="Normal 3 2 2 5 7 2 2" xfId="6817" xr:uid="{4629FBBE-C7A5-4CEA-85E0-E77E10134298}"/>
    <cellStyle name="Normal 3 2 2 5 7 3" xfId="5098" xr:uid="{619A35D3-9FCF-45C5-B266-1130FAFD7639}"/>
    <cellStyle name="Normal 3 2 2 5 8" xfId="1644" xr:uid="{F95D9865-5BFC-41A3-95F8-00BABF03D170}"/>
    <cellStyle name="Normal 3 2 2 5 8 2" xfId="3365" xr:uid="{DD96E7F3-E228-43E2-9FF8-40ED450FFB3F}"/>
    <cellStyle name="Normal 3 2 2 5 8 2 2" xfId="7036" xr:uid="{B0277CDD-5DD3-488D-BD2E-8A0A38E85E12}"/>
    <cellStyle name="Normal 3 2 2 5 8 3" xfId="5316" xr:uid="{6E6D4A81-4ABB-4F1C-9C71-32B21074F115}"/>
    <cellStyle name="Normal 3 2 2 5 9" xfId="1864" xr:uid="{F0D98330-9902-4D98-B023-93BE288A826F}"/>
    <cellStyle name="Normal 3 2 2 5 9 2" xfId="5535" xr:uid="{34625DC4-F71D-44C6-801F-CF3E8606BD7B}"/>
    <cellStyle name="Normal 3 2 2 6" xfId="124" xr:uid="{39EC6900-FF77-4603-B2B1-B4ACA8D5E4F0}"/>
    <cellStyle name="Normal 3 2 2 6 10" xfId="3853" xr:uid="{9C40291F-63AC-4BEB-925C-DA4614D64BAA}"/>
    <cellStyle name="Normal 3 2 2 6 2" xfId="370" xr:uid="{FF0B64D7-8385-48E0-B4F4-D58DEB136720}"/>
    <cellStyle name="Normal 3 2 2 6 2 2" xfId="2069" xr:uid="{056C7E91-8846-41AC-AA83-AEB835756E81}"/>
    <cellStyle name="Normal 3 2 2 6 2 2 2" xfId="5740" xr:uid="{58368E86-5EA8-482C-9AC2-DDE95D9D628C}"/>
    <cellStyle name="Normal 3 2 2 6 2 3" xfId="4033" xr:uid="{0E9B0E84-C8CF-4CBE-9BC9-1645919A2A46}"/>
    <cellStyle name="Normal 3 2 2 6 3" xfId="566" xr:uid="{BB295024-3990-41D1-AE7E-17B6A13BFD3F}"/>
    <cellStyle name="Normal 3 2 2 6 3 2" xfId="2287" xr:uid="{3A213305-234B-479D-BAFB-7F1C411C2058}"/>
    <cellStyle name="Normal 3 2 2 6 3 2 2" xfId="5958" xr:uid="{45E5AAA7-9556-402C-936C-A33311E8ACA5}"/>
    <cellStyle name="Normal 3 2 2 6 3 3" xfId="4239" xr:uid="{E2027106-C494-46A8-9BEB-0A4FCAC8B175}"/>
    <cellStyle name="Normal 3 2 2 6 4" xfId="784" xr:uid="{7FA5F075-8EA5-4794-9531-34F3EDF88482}"/>
    <cellStyle name="Normal 3 2 2 6 4 2" xfId="2505" xr:uid="{10AB462F-4C9B-49E9-9F56-0A1FA5C26234}"/>
    <cellStyle name="Normal 3 2 2 6 4 2 2" xfId="6176" xr:uid="{80A8F026-D763-4CCD-833A-D634461C687E}"/>
    <cellStyle name="Normal 3 2 2 6 4 3" xfId="4457" xr:uid="{549EADCF-88F7-4736-B09B-88633F601648}"/>
    <cellStyle name="Normal 3 2 2 6 5" xfId="1002" xr:uid="{3DF0A242-2E28-4204-8D20-0E8DD47208D6}"/>
    <cellStyle name="Normal 3 2 2 6 5 2" xfId="2723" xr:uid="{39C447F3-B42B-43BC-A2DA-73160AA6A452}"/>
    <cellStyle name="Normal 3 2 2 6 5 2 2" xfId="6394" xr:uid="{6847204F-E336-4929-8F56-5BFF8723029D}"/>
    <cellStyle name="Normal 3 2 2 6 5 3" xfId="4675" xr:uid="{CB9A3FCA-AE4F-42D1-BC7E-07C075864CB7}"/>
    <cellStyle name="Normal 3 2 2 6 6" xfId="1220" xr:uid="{49E1BACB-DDB1-403E-9BC8-C8D8A6521612}"/>
    <cellStyle name="Normal 3 2 2 6 6 2" xfId="2941" xr:uid="{032B42ED-E5A8-4E31-8F07-D32FEA6FB455}"/>
    <cellStyle name="Normal 3 2 2 6 6 2 2" xfId="6612" xr:uid="{98345164-C876-44A1-9DFC-94A03490437C}"/>
    <cellStyle name="Normal 3 2 2 6 6 3" xfId="4893" xr:uid="{86974EE1-D447-4AE7-929D-2AD26C51A287}"/>
    <cellStyle name="Normal 3 2 2 6 7" xfId="1438" xr:uid="{726EBC2A-65DC-40BA-BC3C-2D10F363742A}"/>
    <cellStyle name="Normal 3 2 2 6 7 2" xfId="3159" xr:uid="{9A7F3FF2-288B-405C-B6A8-B40A41BB1066}"/>
    <cellStyle name="Normal 3 2 2 6 7 2 2" xfId="6830" xr:uid="{85B81F78-E401-4827-A1CC-1E0ADFF24A5E}"/>
    <cellStyle name="Normal 3 2 2 6 7 3" xfId="5111" xr:uid="{B41245F2-4A95-4B11-A91A-B290286DF9BB}"/>
    <cellStyle name="Normal 3 2 2 6 8" xfId="1657" xr:uid="{DFC4EDCE-04AA-426A-9452-386D9C1E8322}"/>
    <cellStyle name="Normal 3 2 2 6 8 2" xfId="3378" xr:uid="{970C5498-DE3D-4E16-9334-ADCE58368B01}"/>
    <cellStyle name="Normal 3 2 2 6 8 2 2" xfId="7049" xr:uid="{F2198403-4862-42FD-B3CC-7E06CAFD2E1F}"/>
    <cellStyle name="Normal 3 2 2 6 8 3" xfId="5329" xr:uid="{4935CB67-EBB8-4425-9AAF-5D6AF5E6541E}"/>
    <cellStyle name="Normal 3 2 2 6 9" xfId="1877" xr:uid="{6913A060-485E-46D0-B42E-09B9F530AE5D}"/>
    <cellStyle name="Normal 3 2 2 6 9 2" xfId="5548" xr:uid="{AE3D5D99-DB99-4A28-A681-C5E330224DBC}"/>
    <cellStyle name="Normal 3 2 2 7" xfId="137" xr:uid="{CF48851C-1C76-4275-877E-435A3FEA5E65}"/>
    <cellStyle name="Normal 3 2 2 7 10" xfId="3866" xr:uid="{EE4398C1-FE3B-4F22-8C35-A209F66A331C}"/>
    <cellStyle name="Normal 3 2 2 7 2" xfId="383" xr:uid="{F64EF7D4-7215-4828-AEBB-ACB1BA1D7AB9}"/>
    <cellStyle name="Normal 3 2 2 7 2 2" xfId="2082" xr:uid="{618E5793-7208-4CC4-9C7E-3C619F5F8C2F}"/>
    <cellStyle name="Normal 3 2 2 7 2 2 2" xfId="5753" xr:uid="{9830D476-C7B2-4B7D-970A-5BA14C1B36FC}"/>
    <cellStyle name="Normal 3 2 2 7 2 3" xfId="4046" xr:uid="{79D02B10-F49E-4458-B8F2-256420E892D1}"/>
    <cellStyle name="Normal 3 2 2 7 3" xfId="579" xr:uid="{CFB705B8-8E1C-4A07-AB27-6A96D2CBCAF4}"/>
    <cellStyle name="Normal 3 2 2 7 3 2" xfId="2300" xr:uid="{3EB0EE1A-1AB5-42C1-9040-67EAE291D434}"/>
    <cellStyle name="Normal 3 2 2 7 3 2 2" xfId="5971" xr:uid="{691AEF24-1165-4542-B863-3FD32A5C9388}"/>
    <cellStyle name="Normal 3 2 2 7 3 3" xfId="4252" xr:uid="{ABDDE34A-2AE1-416C-9210-ACCC7E65F73C}"/>
    <cellStyle name="Normal 3 2 2 7 4" xfId="797" xr:uid="{5747AFF4-4A87-4632-8A55-28B8E26F0076}"/>
    <cellStyle name="Normal 3 2 2 7 4 2" xfId="2518" xr:uid="{E89ADA36-1D7A-437F-BA8C-D56A87F7FBFE}"/>
    <cellStyle name="Normal 3 2 2 7 4 2 2" xfId="6189" xr:uid="{7855694C-70FC-469C-BCFB-230960E6D759}"/>
    <cellStyle name="Normal 3 2 2 7 4 3" xfId="4470" xr:uid="{ADF49FFC-89A9-453B-B6F6-5E9BC4360626}"/>
    <cellStyle name="Normal 3 2 2 7 5" xfId="1015" xr:uid="{12B9F7F3-0877-4815-B094-39D2DC96DEA4}"/>
    <cellStyle name="Normal 3 2 2 7 5 2" xfId="2736" xr:uid="{89294042-4B51-476E-94DE-A78A3F47FF93}"/>
    <cellStyle name="Normal 3 2 2 7 5 2 2" xfId="6407" xr:uid="{CF330B54-7BEE-47EA-9584-869347E268D2}"/>
    <cellStyle name="Normal 3 2 2 7 5 3" xfId="4688" xr:uid="{792D48C9-7D14-4816-9075-235F1AD2DF4D}"/>
    <cellStyle name="Normal 3 2 2 7 6" xfId="1233" xr:uid="{355900D2-005C-4BAD-8778-4483EBF1B6CB}"/>
    <cellStyle name="Normal 3 2 2 7 6 2" xfId="2954" xr:uid="{241C1425-AAB5-4418-9869-1D17FE230721}"/>
    <cellStyle name="Normal 3 2 2 7 6 2 2" xfId="6625" xr:uid="{05233630-DFEC-4142-A7FF-959EFAB21B60}"/>
    <cellStyle name="Normal 3 2 2 7 6 3" xfId="4906" xr:uid="{99034AD8-4F09-4DD3-8E2A-9A563152AC4F}"/>
    <cellStyle name="Normal 3 2 2 7 7" xfId="1451" xr:uid="{27B2CF79-60DD-4B42-911C-0F25BA617CAC}"/>
    <cellStyle name="Normal 3 2 2 7 7 2" xfId="3172" xr:uid="{3084AE5E-AAF9-4A59-81B6-6959C7C1C950}"/>
    <cellStyle name="Normal 3 2 2 7 7 2 2" xfId="6843" xr:uid="{441298FA-476B-43E2-BB0A-F4D7091EAE26}"/>
    <cellStyle name="Normal 3 2 2 7 7 3" xfId="5124" xr:uid="{51DF0718-B1AA-4BFC-A52D-686B5CD57B16}"/>
    <cellStyle name="Normal 3 2 2 7 8" xfId="1670" xr:uid="{CA9775C6-A4D7-4B87-94E3-E7E7A2A361D9}"/>
    <cellStyle name="Normal 3 2 2 7 8 2" xfId="3391" xr:uid="{23F8F1A7-0865-4401-8C00-A70734390BCE}"/>
    <cellStyle name="Normal 3 2 2 7 8 2 2" xfId="7062" xr:uid="{115C1177-9781-4F10-AF79-3090565F2556}"/>
    <cellStyle name="Normal 3 2 2 7 8 3" xfId="5342" xr:uid="{A79D0BFE-6F96-48E7-8277-35F44445A826}"/>
    <cellStyle name="Normal 3 2 2 7 9" xfId="1890" xr:uid="{7D3DCCA9-4FB9-47B6-BCE2-93571EC9D9E0}"/>
    <cellStyle name="Normal 3 2 2 7 9 2" xfId="5561" xr:uid="{3191B18D-CA40-4BF7-A497-E22EE71EE5AA}"/>
    <cellStyle name="Normal 3 2 2 8" xfId="150" xr:uid="{EB393741-7EFE-4768-8C7F-2AC81471DCA5}"/>
    <cellStyle name="Normal 3 2 2 8 10" xfId="3879" xr:uid="{C7C840CF-D522-4A12-BA14-3DCED70C402E}"/>
    <cellStyle name="Normal 3 2 2 8 2" xfId="396" xr:uid="{42F86A51-8822-4E4F-84BD-673C0850836F}"/>
    <cellStyle name="Normal 3 2 2 8 2 2" xfId="2095" xr:uid="{4A14307B-936B-41D4-92A4-ED6A1E58B4B0}"/>
    <cellStyle name="Normal 3 2 2 8 2 2 2" xfId="5766" xr:uid="{E27E650B-85B2-4174-9436-5A047EACF41A}"/>
    <cellStyle name="Normal 3 2 2 8 2 3" xfId="4059" xr:uid="{8FF492C5-AD0C-424B-8600-49A70B048BB4}"/>
    <cellStyle name="Normal 3 2 2 8 3" xfId="592" xr:uid="{8851763B-F827-4CA3-BAE4-F365A4D252C9}"/>
    <cellStyle name="Normal 3 2 2 8 3 2" xfId="2313" xr:uid="{1F7F2BD2-7DDE-45E9-861D-BD62056462A7}"/>
    <cellStyle name="Normal 3 2 2 8 3 2 2" xfId="5984" xr:uid="{9EA1BC2C-9E77-45B7-8C99-DE03AD94BF17}"/>
    <cellStyle name="Normal 3 2 2 8 3 3" xfId="4265" xr:uid="{26C42CA3-19ED-4938-AA32-58E0069C2548}"/>
    <cellStyle name="Normal 3 2 2 8 4" xfId="810" xr:uid="{5255A3B0-B0DD-46F4-A5C3-1BA522903D19}"/>
    <cellStyle name="Normal 3 2 2 8 4 2" xfId="2531" xr:uid="{6032B773-C894-40BC-B22D-F9D3FFFE2F21}"/>
    <cellStyle name="Normal 3 2 2 8 4 2 2" xfId="6202" xr:uid="{8F1F5734-8675-40D1-A967-FDDB3BEDB0EB}"/>
    <cellStyle name="Normal 3 2 2 8 4 3" xfId="4483" xr:uid="{EDE42C70-A9F2-4757-9FD3-1293BAFC8906}"/>
    <cellStyle name="Normal 3 2 2 8 5" xfId="1028" xr:uid="{55987F22-F427-4927-BBDA-FF127FE3B2AD}"/>
    <cellStyle name="Normal 3 2 2 8 5 2" xfId="2749" xr:uid="{96F1C31B-5440-46E5-A650-F2F27FD7EBB7}"/>
    <cellStyle name="Normal 3 2 2 8 5 2 2" xfId="6420" xr:uid="{9912C6A4-8E36-43CF-89E1-869652320770}"/>
    <cellStyle name="Normal 3 2 2 8 5 3" xfId="4701" xr:uid="{3EFC91D2-BD12-4CEA-BB3E-8BCFEA4A452C}"/>
    <cellStyle name="Normal 3 2 2 8 6" xfId="1246" xr:uid="{D11B5CFC-DE56-4883-980D-AEF28D07602B}"/>
    <cellStyle name="Normal 3 2 2 8 6 2" xfId="2967" xr:uid="{B4FC6DE7-C048-42EB-8323-F8224187B52D}"/>
    <cellStyle name="Normal 3 2 2 8 6 2 2" xfId="6638" xr:uid="{557C48AA-9B70-47DE-8AE0-16A329C9FBC5}"/>
    <cellStyle name="Normal 3 2 2 8 6 3" xfId="4919" xr:uid="{B4145974-E7FB-4B38-A226-6AE1DFE59E8A}"/>
    <cellStyle name="Normal 3 2 2 8 7" xfId="1464" xr:uid="{E534D8C8-6838-461B-B759-BD56D123CBF7}"/>
    <cellStyle name="Normal 3 2 2 8 7 2" xfId="3185" xr:uid="{38C99E62-0558-4C0A-9B3A-611A809AEF45}"/>
    <cellStyle name="Normal 3 2 2 8 7 2 2" xfId="6856" xr:uid="{FB5E724B-E979-4F03-AD2F-DF301F24757B}"/>
    <cellStyle name="Normal 3 2 2 8 7 3" xfId="5137" xr:uid="{C8CD5CE5-6CEA-4A00-94B2-FA8CEAE9ABD4}"/>
    <cellStyle name="Normal 3 2 2 8 8" xfId="1683" xr:uid="{CC5093A9-FFED-4FDB-A129-7592B12C616D}"/>
    <cellStyle name="Normal 3 2 2 8 8 2" xfId="3404" xr:uid="{1BDFAB71-0176-43E1-85B6-1D868573B673}"/>
    <cellStyle name="Normal 3 2 2 8 8 2 2" xfId="7075" xr:uid="{214BEC64-BDBC-46EE-86C6-D0D2A912C54F}"/>
    <cellStyle name="Normal 3 2 2 8 8 3" xfId="5355" xr:uid="{97A9D7E3-A4F3-416A-93C8-83C201ECF6D6}"/>
    <cellStyle name="Normal 3 2 2 8 9" xfId="1903" xr:uid="{3D108C5B-948B-43D2-951E-D113E18915E5}"/>
    <cellStyle name="Normal 3 2 2 8 9 2" xfId="5574" xr:uid="{1C22D8B8-5D67-4C77-B0D5-6E6523F877E6}"/>
    <cellStyle name="Normal 3 2 2 9" xfId="163" xr:uid="{D87DE2B8-2C95-44EE-B4FF-9A1DD5A3451D}"/>
    <cellStyle name="Normal 3 2 2 9 10" xfId="3892" xr:uid="{30391B94-7601-44C6-8065-C445292C619E}"/>
    <cellStyle name="Normal 3 2 2 9 2" xfId="409" xr:uid="{4DEEC629-DEA7-4AC5-9B31-D8378E4A28DC}"/>
    <cellStyle name="Normal 3 2 2 9 2 2" xfId="2108" xr:uid="{1B28B127-547F-4E5B-B1BE-9B4F9A7196BF}"/>
    <cellStyle name="Normal 3 2 2 9 2 2 2" xfId="5779" xr:uid="{A9ECB387-1216-4BF7-9F21-B5F8A223D276}"/>
    <cellStyle name="Normal 3 2 2 9 2 3" xfId="4072" xr:uid="{809E83C1-F707-4525-A9FC-F89338023F83}"/>
    <cellStyle name="Normal 3 2 2 9 3" xfId="605" xr:uid="{DB4BFFB0-2793-4C92-8EDD-74B421EE5620}"/>
    <cellStyle name="Normal 3 2 2 9 3 2" xfId="2326" xr:uid="{8F551772-589A-41AC-8EC1-F20A0422AD9A}"/>
    <cellStyle name="Normal 3 2 2 9 3 2 2" xfId="5997" xr:uid="{9FD70332-CD47-4E8B-BC19-B7A5A0BEF935}"/>
    <cellStyle name="Normal 3 2 2 9 3 3" xfId="4278" xr:uid="{0B4BF0F3-3288-45C8-B29C-00CD6C6CC4C5}"/>
    <cellStyle name="Normal 3 2 2 9 4" xfId="823" xr:uid="{10A9251C-069E-44E0-BCBD-F9000A135C58}"/>
    <cellStyle name="Normal 3 2 2 9 4 2" xfId="2544" xr:uid="{6AA8EE7C-1814-4EA1-BD42-5232974F2B10}"/>
    <cellStyle name="Normal 3 2 2 9 4 2 2" xfId="6215" xr:uid="{80679ACC-A0F2-436D-92EF-1365EA0CAC7A}"/>
    <cellStyle name="Normal 3 2 2 9 4 3" xfId="4496" xr:uid="{96E084B8-C662-46F9-B42B-D553376DE1FC}"/>
    <cellStyle name="Normal 3 2 2 9 5" xfId="1041" xr:uid="{8829082E-5650-4DF7-B776-3A852A2A2AD2}"/>
    <cellStyle name="Normal 3 2 2 9 5 2" xfId="2762" xr:uid="{41BE054A-A8A1-4731-9BB5-95892B0445E6}"/>
    <cellStyle name="Normal 3 2 2 9 5 2 2" xfId="6433" xr:uid="{15399FE9-8A66-4095-B638-323FDCFADC71}"/>
    <cellStyle name="Normal 3 2 2 9 5 3" xfId="4714" xr:uid="{0AB2E81E-4DAE-4FDC-8F41-45C551F5BE5E}"/>
    <cellStyle name="Normal 3 2 2 9 6" xfId="1259" xr:uid="{E266DBD2-9CBF-4602-95AF-CDAB3C03A38B}"/>
    <cellStyle name="Normal 3 2 2 9 6 2" xfId="2980" xr:uid="{37C9E111-7870-40DB-8199-13CA087C1C8E}"/>
    <cellStyle name="Normal 3 2 2 9 6 2 2" xfId="6651" xr:uid="{9E503094-80B1-45C6-90EE-EC3E1FCB9ADA}"/>
    <cellStyle name="Normal 3 2 2 9 6 3" xfId="4932" xr:uid="{A076F2D9-4E23-4419-91FF-11E1B87D9ABF}"/>
    <cellStyle name="Normal 3 2 2 9 7" xfId="1477" xr:uid="{2AFE865D-BA5A-46E3-98AD-8D75BAF87F59}"/>
    <cellStyle name="Normal 3 2 2 9 7 2" xfId="3198" xr:uid="{4D88DADC-63BC-4178-B4ED-ABA992DC388A}"/>
    <cellStyle name="Normal 3 2 2 9 7 2 2" xfId="6869" xr:uid="{3FF55420-A9C0-4F9D-B3FC-F36475100E15}"/>
    <cellStyle name="Normal 3 2 2 9 7 3" xfId="5150" xr:uid="{EFAB9B2F-4242-4C8F-910F-8CA4D30492CD}"/>
    <cellStyle name="Normal 3 2 2 9 8" xfId="1696" xr:uid="{6061210D-5411-4C4F-977C-9C42BAE48520}"/>
    <cellStyle name="Normal 3 2 2 9 8 2" xfId="3417" xr:uid="{42E87C40-BF25-4464-8073-6EC24807DFFC}"/>
    <cellStyle name="Normal 3 2 2 9 8 2 2" xfId="7088" xr:uid="{1AF928A7-BCDA-4625-ABE4-CA2041D4E819}"/>
    <cellStyle name="Normal 3 2 2 9 8 3" xfId="5368" xr:uid="{5DB67356-1E6C-4D39-9244-8CE25F971B2C}"/>
    <cellStyle name="Normal 3 2 2 9 9" xfId="1916" xr:uid="{F2522A33-5D2A-496D-8828-A30B5D662C1E}"/>
    <cellStyle name="Normal 3 2 2 9 9 2" xfId="5587" xr:uid="{EC3E8D0F-A248-4D35-A8FB-18273C58337C}"/>
    <cellStyle name="Normal 3 2 20" xfId="713" xr:uid="{8BA26F0D-BEC4-4E3D-B3C8-42E413B372BA}"/>
    <cellStyle name="Normal 3 2 20 2" xfId="2434" xr:uid="{738B7FE7-0A87-46F4-944B-0E8ADB45806D}"/>
    <cellStyle name="Normal 3 2 20 2 2" xfId="6105" xr:uid="{9640FDDF-4A49-4A29-BE87-EB54308C0A1A}"/>
    <cellStyle name="Normal 3 2 20 3" xfId="4386" xr:uid="{273BD492-36E8-4DE1-B687-67D62D8F4743}"/>
    <cellStyle name="Normal 3 2 21" xfId="931" xr:uid="{5A81D50E-FD1D-4498-8272-FEA318DAA642}"/>
    <cellStyle name="Normal 3 2 21 2" xfId="2652" xr:uid="{8AD972E8-F888-4698-AD49-479B6BB97F50}"/>
    <cellStyle name="Normal 3 2 21 2 2" xfId="6323" xr:uid="{E23DC1FC-8E19-46B3-8158-810F70B45ADE}"/>
    <cellStyle name="Normal 3 2 21 3" xfId="4604" xr:uid="{829FC6AA-C0D8-4B0F-9A66-D62428F2E327}"/>
    <cellStyle name="Normal 3 2 22" xfId="1149" xr:uid="{3DCFFF93-6337-49F7-BB08-44F1C2FF8AAC}"/>
    <cellStyle name="Normal 3 2 22 2" xfId="2870" xr:uid="{AFA85F3B-F5ED-45F8-BF7B-9293B567B00E}"/>
    <cellStyle name="Normal 3 2 22 2 2" xfId="6541" xr:uid="{511C03B2-E9D4-4F15-A38D-952FA307FC87}"/>
    <cellStyle name="Normal 3 2 22 3" xfId="4822" xr:uid="{0851B7C3-39BB-4A26-8401-A9EEA19711F0}"/>
    <cellStyle name="Normal 3 2 23" xfId="1367" xr:uid="{30B7666A-6B6C-43E9-8957-188EE0F7A050}"/>
    <cellStyle name="Normal 3 2 23 2" xfId="3088" xr:uid="{900A766D-30A8-42F8-9A6D-5657B95D1748}"/>
    <cellStyle name="Normal 3 2 23 2 2" xfId="6759" xr:uid="{3EC0DDF9-2BCD-4252-A1B0-72698C26F1AE}"/>
    <cellStyle name="Normal 3 2 23 3" xfId="5040" xr:uid="{3C4B289C-A696-4171-B132-8FC89937BBA5}"/>
    <cellStyle name="Normal 3 2 24" xfId="1586" xr:uid="{6D4D58F7-0FC7-4112-9F74-480ECE93BBA9}"/>
    <cellStyle name="Normal 3 2 24 2" xfId="3307" xr:uid="{95A6869B-0217-44F9-B5EA-7E6A178E4BDA}"/>
    <cellStyle name="Normal 3 2 24 2 2" xfId="6978" xr:uid="{F907F7B3-E0B3-4CCB-9BAE-E4B4F9119541}"/>
    <cellStyle name="Normal 3 2 24 3" xfId="5258" xr:uid="{92D1141A-71F7-463F-B9B4-C232202EB8F4}"/>
    <cellStyle name="Normal 3 2 25" xfId="1806" xr:uid="{46B2D9FD-2661-4AA0-8414-293E6D95E3DA}"/>
    <cellStyle name="Normal 3 2 25 2" xfId="5477" xr:uid="{25FFA0A7-D37D-4CB6-AEBE-D1CACCAC119E}"/>
    <cellStyle name="Normal 3 2 26" xfId="285" xr:uid="{416DACFD-476B-4790-A4E9-0AC2CE46FECF}"/>
    <cellStyle name="Normal 3 2 26 2" xfId="3782" xr:uid="{8E261CFC-907C-4309-857D-726697C779F7}"/>
    <cellStyle name="Normal 3 2 3" xfId="66" xr:uid="{516009F1-3D45-462D-83B5-CAD34CB4C614}"/>
    <cellStyle name="Normal 3 2 3 10" xfId="3795" xr:uid="{54C37F50-923B-4F81-84D3-606F3151F8E5}"/>
    <cellStyle name="Normal 3 2 3 2" xfId="312" xr:uid="{424310A1-B18B-4F3E-9933-D6A4FC4B0387}"/>
    <cellStyle name="Normal 3 2 3 2 2" xfId="2011" xr:uid="{2B7E3344-94ED-4299-A0F4-9997AF5E4537}"/>
    <cellStyle name="Normal 3 2 3 2 2 2" xfId="5682" xr:uid="{E949361B-0513-4E79-B750-24E17454DC08}"/>
    <cellStyle name="Normal 3 2 3 2 3" xfId="3984" xr:uid="{AD6389E6-8FC0-4FC9-8CB2-9D75CEE4A7B6}"/>
    <cellStyle name="Normal 3 2 3 3" xfId="508" xr:uid="{2C975A6D-1840-4E64-B767-50222FD5E169}"/>
    <cellStyle name="Normal 3 2 3 3 2" xfId="2229" xr:uid="{6725103E-7A2D-475B-AAED-B2D764E72E36}"/>
    <cellStyle name="Normal 3 2 3 3 2 2" xfId="5900" xr:uid="{8EF988ED-78A0-4729-B6AB-BB278E0F1E3D}"/>
    <cellStyle name="Normal 3 2 3 3 3" xfId="4190" xr:uid="{F801A973-016D-4F01-9AA1-4DF969DC2482}"/>
    <cellStyle name="Normal 3 2 3 4" xfId="726" xr:uid="{604ABF3C-2256-41BE-98D3-6069B147DD41}"/>
    <cellStyle name="Normal 3 2 3 4 2" xfId="2447" xr:uid="{2EF47FEF-2375-4C53-A2FB-34132A95CC08}"/>
    <cellStyle name="Normal 3 2 3 4 2 2" xfId="6118" xr:uid="{E6EE44EB-B1AB-4AE7-8AC9-89C9FB0E8DF9}"/>
    <cellStyle name="Normal 3 2 3 4 3" xfId="4399" xr:uid="{9DB3FEBC-C8A6-422D-9627-3C9225F2D183}"/>
    <cellStyle name="Normal 3 2 3 5" xfId="944" xr:uid="{40109E5F-C012-410E-B3DD-FFCFCCC9D171}"/>
    <cellStyle name="Normal 3 2 3 5 2" xfId="2665" xr:uid="{0725EF98-ABD4-446A-A9DA-44753EB2620D}"/>
    <cellStyle name="Normal 3 2 3 5 2 2" xfId="6336" xr:uid="{0F2B0883-0923-4B3C-9B9A-1ED154D757BA}"/>
    <cellStyle name="Normal 3 2 3 5 3" xfId="4617" xr:uid="{DBB857FD-CDFE-4FC5-B202-EE55D36ABDE9}"/>
    <cellStyle name="Normal 3 2 3 6" xfId="1162" xr:uid="{F4146956-8A47-4463-A25A-5896EC33567E}"/>
    <cellStyle name="Normal 3 2 3 6 2" xfId="2883" xr:uid="{9E62ACD8-DD2E-4B50-ADC8-2C5315536E8B}"/>
    <cellStyle name="Normal 3 2 3 6 2 2" xfId="6554" xr:uid="{B2088C4A-B77F-4337-B3EC-4F92496DCF04}"/>
    <cellStyle name="Normal 3 2 3 6 3" xfId="4835" xr:uid="{EE646B5C-0C57-47DE-A78A-3A1DAB5D3B05}"/>
    <cellStyle name="Normal 3 2 3 7" xfId="1380" xr:uid="{75F663FD-D3B2-4BD8-BFC3-C80EE957939E}"/>
    <cellStyle name="Normal 3 2 3 7 2" xfId="3101" xr:uid="{EF99A052-7223-478A-B1C2-2E5D33924438}"/>
    <cellStyle name="Normal 3 2 3 7 2 2" xfId="6772" xr:uid="{828D2017-4DB1-4908-9A0C-F821BABEA937}"/>
    <cellStyle name="Normal 3 2 3 7 3" xfId="5053" xr:uid="{E3191A04-E08E-4138-B777-411CF546B0D6}"/>
    <cellStyle name="Normal 3 2 3 8" xfId="1599" xr:uid="{6AA01644-8643-4F20-865F-FA560C8A5522}"/>
    <cellStyle name="Normal 3 2 3 8 2" xfId="3320" xr:uid="{B246C166-80BD-44D4-A256-68A3E0D67F8A}"/>
    <cellStyle name="Normal 3 2 3 8 2 2" xfId="6991" xr:uid="{D70B5308-2103-4309-B508-EC499315553A}"/>
    <cellStyle name="Normal 3 2 3 8 3" xfId="5271" xr:uid="{CA52B07A-4171-4970-801E-70528E556828}"/>
    <cellStyle name="Normal 3 2 3 9" xfId="1819" xr:uid="{323AF78E-CB87-4639-B128-6E428FEE285D}"/>
    <cellStyle name="Normal 3 2 3 9 2" xfId="5490" xr:uid="{2F7AFF1D-537C-4E91-A24E-019609D78F45}"/>
    <cellStyle name="Normal 3 2 4" xfId="79" xr:uid="{B9C30784-FC12-4F03-97D4-1E96B2195155}"/>
    <cellStyle name="Normal 3 2 4 10" xfId="3808" xr:uid="{2270AFD7-3F06-4B4F-A81E-62EAC0ECA8F8}"/>
    <cellStyle name="Normal 3 2 4 2" xfId="325" xr:uid="{C0779B03-163F-45E9-BCB8-DA5A46E2D716}"/>
    <cellStyle name="Normal 3 2 4 2 2" xfId="2024" xr:uid="{E3CD461C-7F83-4BB7-AE2A-31F338A8E9CC}"/>
    <cellStyle name="Normal 3 2 4 2 2 2" xfId="5695" xr:uid="{0BBFD023-AF9A-40E9-B4FF-CD4DF94C5A27}"/>
    <cellStyle name="Normal 3 2 4 2 3" xfId="3993" xr:uid="{250EDD68-AF7E-4602-B316-D48BD8884C00}"/>
    <cellStyle name="Normal 3 2 4 3" xfId="521" xr:uid="{12F85AF9-06D6-48E8-B53C-C00191798355}"/>
    <cellStyle name="Normal 3 2 4 3 2" xfId="2242" xr:uid="{759F24E4-8F17-430C-A07A-74FE855D5E2A}"/>
    <cellStyle name="Normal 3 2 4 3 2 2" xfId="5913" xr:uid="{37F441B5-E4D4-432A-A98F-EDD73FD0C807}"/>
    <cellStyle name="Normal 3 2 4 3 3" xfId="4199" xr:uid="{91E1487F-234B-4376-AF22-235982C56DFE}"/>
    <cellStyle name="Normal 3 2 4 4" xfId="739" xr:uid="{F9C8C208-C000-4E6D-96A5-5954F9E4B672}"/>
    <cellStyle name="Normal 3 2 4 4 2" xfId="2460" xr:uid="{DE686FA6-490F-4C3D-BD1E-5320F8478D24}"/>
    <cellStyle name="Normal 3 2 4 4 2 2" xfId="6131" xr:uid="{D3B8742D-7C54-4B76-B5EF-EE272F254AC6}"/>
    <cellStyle name="Normal 3 2 4 4 3" xfId="4412" xr:uid="{266DB5F0-DCB7-4C9E-9507-069EDB8FE282}"/>
    <cellStyle name="Normal 3 2 4 5" xfId="957" xr:uid="{04072382-B0AB-420F-B680-D26B07FA565B}"/>
    <cellStyle name="Normal 3 2 4 5 2" xfId="2678" xr:uid="{70AF60DC-50F8-45D6-8B39-B55E5A4558FA}"/>
    <cellStyle name="Normal 3 2 4 5 2 2" xfId="6349" xr:uid="{AFD07ABD-F39A-4C97-9CA6-18E059FBF515}"/>
    <cellStyle name="Normal 3 2 4 5 3" xfId="4630" xr:uid="{93E7DD61-7FB6-44F5-B048-9ECCC7D505F2}"/>
    <cellStyle name="Normal 3 2 4 6" xfId="1175" xr:uid="{2B2347F9-1AE7-4064-B264-9469A17112D9}"/>
    <cellStyle name="Normal 3 2 4 6 2" xfId="2896" xr:uid="{DC81A32F-2D56-4434-8646-FF6EB08C0342}"/>
    <cellStyle name="Normal 3 2 4 6 2 2" xfId="6567" xr:uid="{54728DED-B55F-4471-ADB1-412976C371D5}"/>
    <cellStyle name="Normal 3 2 4 6 3" xfId="4848" xr:uid="{6AFDC701-8896-44C4-B87F-D7DA989190D0}"/>
    <cellStyle name="Normal 3 2 4 7" xfId="1393" xr:uid="{EA612539-1D81-492A-B6F7-7DA3FE15526C}"/>
    <cellStyle name="Normal 3 2 4 7 2" xfId="3114" xr:uid="{9571B6E9-9761-4D1B-BB60-DEE23049E68D}"/>
    <cellStyle name="Normal 3 2 4 7 2 2" xfId="6785" xr:uid="{90989093-FD59-4A43-96D0-D3F4F487619D}"/>
    <cellStyle name="Normal 3 2 4 7 3" xfId="5066" xr:uid="{A9CCAA28-DD46-40BF-A920-0F5CFDDC6751}"/>
    <cellStyle name="Normal 3 2 4 8" xfId="1612" xr:uid="{A150A52E-D93E-4EA4-9123-70800DAB6503}"/>
    <cellStyle name="Normal 3 2 4 8 2" xfId="3333" xr:uid="{A69EAA62-191C-4295-BE07-1AC4159156C1}"/>
    <cellStyle name="Normal 3 2 4 8 2 2" xfId="7004" xr:uid="{1F113ABC-6CD6-4D0C-B573-607C4D73A7CA}"/>
    <cellStyle name="Normal 3 2 4 8 3" xfId="5284" xr:uid="{BCB11B87-45B2-4B3F-8BAD-14CE879A88E2}"/>
    <cellStyle name="Normal 3 2 4 9" xfId="1832" xr:uid="{A5626278-F0A9-4B4C-A131-1A6F9B8A3AC3}"/>
    <cellStyle name="Normal 3 2 4 9 2" xfId="5503" xr:uid="{18A84893-717D-4CC7-9F03-DC1A62014D61}"/>
    <cellStyle name="Normal 3 2 5" xfId="92" xr:uid="{BB716FF8-5BB9-4BCB-A943-B30A17973FED}"/>
    <cellStyle name="Normal 3 2 5 10" xfId="3821" xr:uid="{F49CCAC6-B5FE-49EE-9E9B-A57DDAA45A7D}"/>
    <cellStyle name="Normal 3 2 5 2" xfId="338" xr:uid="{5DC76BCE-07CE-4D0F-BCC3-3D52FA075AE6}"/>
    <cellStyle name="Normal 3 2 5 2 2" xfId="2037" xr:uid="{8365D2E3-0DE1-434E-AA75-CBB5E120D4EC}"/>
    <cellStyle name="Normal 3 2 5 2 2 2" xfId="5708" xr:uid="{1BB513EB-7669-4105-A44E-0C628BC55598}"/>
    <cellStyle name="Normal 3 2 5 2 3" xfId="4002" xr:uid="{8A04CF3A-1C5F-4643-A4B5-CA946EF411EC}"/>
    <cellStyle name="Normal 3 2 5 3" xfId="534" xr:uid="{ED2DD155-E676-492D-B422-104A937EAC16}"/>
    <cellStyle name="Normal 3 2 5 3 2" xfId="2255" xr:uid="{91168591-3FB1-4C07-BB45-1149159B184D}"/>
    <cellStyle name="Normal 3 2 5 3 2 2" xfId="5926" xr:uid="{3AD5142E-F63F-46D5-81A4-F7B7B74774DE}"/>
    <cellStyle name="Normal 3 2 5 3 3" xfId="4208" xr:uid="{DD883069-BA82-4488-8443-47491F79E4FC}"/>
    <cellStyle name="Normal 3 2 5 4" xfId="752" xr:uid="{D8737E5B-F97F-4DE2-9718-A896787080CB}"/>
    <cellStyle name="Normal 3 2 5 4 2" xfId="2473" xr:uid="{DA6B9EC6-FD57-49B8-B296-6E17660BE459}"/>
    <cellStyle name="Normal 3 2 5 4 2 2" xfId="6144" xr:uid="{824E0579-ADC0-408D-B50F-5E31A3C21114}"/>
    <cellStyle name="Normal 3 2 5 4 3" xfId="4425" xr:uid="{21AF5604-C194-4572-A9FE-A09A7E4EF1A2}"/>
    <cellStyle name="Normal 3 2 5 5" xfId="970" xr:uid="{127F82A4-5E06-4CFB-B7A9-DC726585A565}"/>
    <cellStyle name="Normal 3 2 5 5 2" xfId="2691" xr:uid="{89A9CC59-BB1D-4B54-AAB2-31682A14276A}"/>
    <cellStyle name="Normal 3 2 5 5 2 2" xfId="6362" xr:uid="{4D4D815A-D8FE-4473-9141-DEA093B4E04C}"/>
    <cellStyle name="Normal 3 2 5 5 3" xfId="4643" xr:uid="{4715F67B-A035-4425-8615-1436EA609A27}"/>
    <cellStyle name="Normal 3 2 5 6" xfId="1188" xr:uid="{EE7EC0A7-6C47-42C2-9F5D-8BB14484790D}"/>
    <cellStyle name="Normal 3 2 5 6 2" xfId="2909" xr:uid="{BFF69F3D-2D59-4BC5-AFF1-CFD573E7975C}"/>
    <cellStyle name="Normal 3 2 5 6 2 2" xfId="6580" xr:uid="{0068F0B0-4F32-4891-AEB8-BE09CE10FFF8}"/>
    <cellStyle name="Normal 3 2 5 6 3" xfId="4861" xr:uid="{BDC88657-BFF4-4008-A877-03B13B4BF66D}"/>
    <cellStyle name="Normal 3 2 5 7" xfId="1406" xr:uid="{480754BE-B7E0-47D5-A4DC-DA2660991678}"/>
    <cellStyle name="Normal 3 2 5 7 2" xfId="3127" xr:uid="{B6FAEB89-5160-4408-A892-9A77CFA6357E}"/>
    <cellStyle name="Normal 3 2 5 7 2 2" xfId="6798" xr:uid="{9E16855F-44EA-481A-B44B-FB344AD7BE45}"/>
    <cellStyle name="Normal 3 2 5 7 3" xfId="5079" xr:uid="{7C24E3C1-1B29-4742-904B-C44F95F559BB}"/>
    <cellStyle name="Normal 3 2 5 8" xfId="1625" xr:uid="{61E152F0-C3E8-441A-A516-CB96DAAF90C8}"/>
    <cellStyle name="Normal 3 2 5 8 2" xfId="3346" xr:uid="{47BC01A7-44B6-48C7-99DF-89F8B00B464C}"/>
    <cellStyle name="Normal 3 2 5 8 2 2" xfId="7017" xr:uid="{C4A11336-F385-4CE4-8973-8B38D57CC112}"/>
    <cellStyle name="Normal 3 2 5 8 3" xfId="5297" xr:uid="{35F4A962-C896-45D0-A394-06E35CD34479}"/>
    <cellStyle name="Normal 3 2 5 9" xfId="1845" xr:uid="{A37B0961-463F-414F-A5F7-A0270F00C6A2}"/>
    <cellStyle name="Normal 3 2 5 9 2" xfId="5516" xr:uid="{9B8E45BB-2F77-4707-9C67-7791F0C1819F}"/>
    <cellStyle name="Normal 3 2 6" xfId="105" xr:uid="{09EF2303-AAEF-4D6F-805D-E29535A2E5C7}"/>
    <cellStyle name="Normal 3 2 6 10" xfId="3834" xr:uid="{13FBDD22-E166-4EF3-B9E7-F3FBE15770F6}"/>
    <cellStyle name="Normal 3 2 6 2" xfId="351" xr:uid="{16ED0529-BDE2-4932-8A6F-CA4C00FBABBB}"/>
    <cellStyle name="Normal 3 2 6 2 2" xfId="2050" xr:uid="{D9D22355-8D92-496B-B33D-93955732F3E7}"/>
    <cellStyle name="Normal 3 2 6 2 2 2" xfId="5721" xr:uid="{315BDE18-6C42-4197-A882-17F6427F7823}"/>
    <cellStyle name="Normal 3 2 6 2 3" xfId="4014" xr:uid="{F46AF695-9045-402D-B768-3FA8250A5181}"/>
    <cellStyle name="Normal 3 2 6 3" xfId="547" xr:uid="{48F7FA6B-6BFB-4AAE-BEC1-6AF7DD229457}"/>
    <cellStyle name="Normal 3 2 6 3 2" xfId="2268" xr:uid="{E59F228B-577F-4130-B8BB-56CFE682921E}"/>
    <cellStyle name="Normal 3 2 6 3 2 2" xfId="5939" xr:uid="{275522C6-9983-4CFD-A4B8-876C39EA764A}"/>
    <cellStyle name="Normal 3 2 6 3 3" xfId="4220" xr:uid="{51416FD8-2542-4887-AC70-364BDA7974FF}"/>
    <cellStyle name="Normal 3 2 6 4" xfId="765" xr:uid="{3A7590AD-A011-4DFE-85DF-1E5F50ED5DEB}"/>
    <cellStyle name="Normal 3 2 6 4 2" xfId="2486" xr:uid="{2DEB6DFA-A3BC-41ED-9100-BE5C6D69952E}"/>
    <cellStyle name="Normal 3 2 6 4 2 2" xfId="6157" xr:uid="{DA886283-F26D-48D5-9E7F-A698064943C4}"/>
    <cellStyle name="Normal 3 2 6 4 3" xfId="4438" xr:uid="{C9BCF817-1A5E-436E-A5D5-4D1F4446B17B}"/>
    <cellStyle name="Normal 3 2 6 5" xfId="983" xr:uid="{50D20236-65E1-4BE6-95F1-28CD95878A36}"/>
    <cellStyle name="Normal 3 2 6 5 2" xfId="2704" xr:uid="{A8E48C1C-9233-47CC-9F63-EA7EB08C0FB4}"/>
    <cellStyle name="Normal 3 2 6 5 2 2" xfId="6375" xr:uid="{0C867D58-E7E5-40C7-ADFD-260EC9540D7D}"/>
    <cellStyle name="Normal 3 2 6 5 3" xfId="4656" xr:uid="{F891A599-54BC-4602-8DEB-CC85CB0055E2}"/>
    <cellStyle name="Normal 3 2 6 6" xfId="1201" xr:uid="{99B7D05A-9CA7-4793-967C-B45C3945EFAC}"/>
    <cellStyle name="Normal 3 2 6 6 2" xfId="2922" xr:uid="{9BB28DF5-495A-4F44-88E5-A34F345AE159}"/>
    <cellStyle name="Normal 3 2 6 6 2 2" xfId="6593" xr:uid="{D14A9205-0F75-46DA-94D1-0C37ED26AC70}"/>
    <cellStyle name="Normal 3 2 6 6 3" xfId="4874" xr:uid="{F2E3B197-507B-4253-8ED8-5130D5780FAB}"/>
    <cellStyle name="Normal 3 2 6 7" xfId="1419" xr:uid="{993AA5C5-AE70-4A36-A40E-EA7F1D54673F}"/>
    <cellStyle name="Normal 3 2 6 7 2" xfId="3140" xr:uid="{16714E35-8EA5-4060-9D45-00B3B5777A0C}"/>
    <cellStyle name="Normal 3 2 6 7 2 2" xfId="6811" xr:uid="{D12A83CB-0BAD-4BF5-B1C8-71FEACE38141}"/>
    <cellStyle name="Normal 3 2 6 7 3" xfId="5092" xr:uid="{C19FDA1D-1007-4AF5-8F17-EBD60D281484}"/>
    <cellStyle name="Normal 3 2 6 8" xfId="1638" xr:uid="{7753B642-98B5-44E5-9EBF-2D7DF3AE0436}"/>
    <cellStyle name="Normal 3 2 6 8 2" xfId="3359" xr:uid="{97BB88CB-B4C0-48C9-862F-6DE4E2CCB01E}"/>
    <cellStyle name="Normal 3 2 6 8 2 2" xfId="7030" xr:uid="{A6ABF1D0-ADE1-4FF2-987B-A92A2225195A}"/>
    <cellStyle name="Normal 3 2 6 8 3" xfId="5310" xr:uid="{32E37A5B-65E8-4658-84DE-5D10D0C9C08F}"/>
    <cellStyle name="Normal 3 2 6 9" xfId="1858" xr:uid="{539CF750-BA3B-4CF6-B18A-A4A4D6BE1D90}"/>
    <cellStyle name="Normal 3 2 6 9 2" xfId="5529" xr:uid="{D36C2A1F-0742-4A33-9679-3B20FB71CC84}"/>
    <cellStyle name="Normal 3 2 7" xfId="118" xr:uid="{D700900F-60D2-4FCF-8465-FA7F116D6780}"/>
    <cellStyle name="Normal 3 2 7 10" xfId="3847" xr:uid="{1EEF6409-E91C-47AE-A730-341561D3205B}"/>
    <cellStyle name="Normal 3 2 7 2" xfId="364" xr:uid="{6D4B5792-AB39-47F9-945A-BF97EC2D3A18}"/>
    <cellStyle name="Normal 3 2 7 2 2" xfId="2063" xr:uid="{EE8A518B-1A20-4A98-BE70-D0BFFAD422F8}"/>
    <cellStyle name="Normal 3 2 7 2 2 2" xfId="5734" xr:uid="{4A4A588A-EF7F-432E-A683-5244F0F62E5D}"/>
    <cellStyle name="Normal 3 2 7 2 3" xfId="4027" xr:uid="{B3462391-4FBF-449D-B25B-685F00E8E12D}"/>
    <cellStyle name="Normal 3 2 7 3" xfId="560" xr:uid="{89AACF37-DB67-4C38-96E9-A3E96E7007C5}"/>
    <cellStyle name="Normal 3 2 7 3 2" xfId="2281" xr:uid="{5ABFCC6C-0E09-433D-B2D2-EE0BBACCEF24}"/>
    <cellStyle name="Normal 3 2 7 3 2 2" xfId="5952" xr:uid="{DADE3D44-1790-470C-9C15-2C4FD403CAD5}"/>
    <cellStyle name="Normal 3 2 7 3 3" xfId="4233" xr:uid="{A03CAC8F-023A-408A-8F14-6B1859743B9E}"/>
    <cellStyle name="Normal 3 2 7 4" xfId="778" xr:uid="{78537D1B-912C-4E07-95E7-DAD2141C68C7}"/>
    <cellStyle name="Normal 3 2 7 4 2" xfId="2499" xr:uid="{E49449B1-9515-49E2-B89F-A770E5CD4DF0}"/>
    <cellStyle name="Normal 3 2 7 4 2 2" xfId="6170" xr:uid="{07B60FE8-93D1-4B28-859A-D67A0E33F84F}"/>
    <cellStyle name="Normal 3 2 7 4 3" xfId="4451" xr:uid="{2948ADE1-DA44-4A38-B6EB-FC42E6759302}"/>
    <cellStyle name="Normal 3 2 7 5" xfId="996" xr:uid="{A5BC1E5D-8CD1-4DE2-BD91-C80FF7C811A7}"/>
    <cellStyle name="Normal 3 2 7 5 2" xfId="2717" xr:uid="{1921540A-A683-4FEA-955E-B3DDEBBA9397}"/>
    <cellStyle name="Normal 3 2 7 5 2 2" xfId="6388" xr:uid="{6CFBA88D-35DC-4787-AEF0-C758AC6EFD2F}"/>
    <cellStyle name="Normal 3 2 7 5 3" xfId="4669" xr:uid="{3AC5C446-43AF-4BC4-B956-1DF332237410}"/>
    <cellStyle name="Normal 3 2 7 6" xfId="1214" xr:uid="{5A38B788-853A-4288-B453-C2916F3C8930}"/>
    <cellStyle name="Normal 3 2 7 6 2" xfId="2935" xr:uid="{0F086D4A-9175-48F5-9CAD-15DC20628EEB}"/>
    <cellStyle name="Normal 3 2 7 6 2 2" xfId="6606" xr:uid="{2298A0AB-E6EF-4745-AF75-6920DE1C866F}"/>
    <cellStyle name="Normal 3 2 7 6 3" xfId="4887" xr:uid="{3643D46E-7AA9-41B7-8C54-09284ABB7575}"/>
    <cellStyle name="Normal 3 2 7 7" xfId="1432" xr:uid="{862D10F3-9CF0-475D-B91C-4D3147AFDCAC}"/>
    <cellStyle name="Normal 3 2 7 7 2" xfId="3153" xr:uid="{DC6B681F-F9DF-4A35-8401-094A6AC0F6DA}"/>
    <cellStyle name="Normal 3 2 7 7 2 2" xfId="6824" xr:uid="{BBB3ADBE-6BB6-4B14-BC2B-0F97DF21FF9D}"/>
    <cellStyle name="Normal 3 2 7 7 3" xfId="5105" xr:uid="{94547FFF-9CCC-4F3B-85F9-F61AA3E58471}"/>
    <cellStyle name="Normal 3 2 7 8" xfId="1651" xr:uid="{21BBEA6B-95C2-44CD-8C14-C4F6357B9F2D}"/>
    <cellStyle name="Normal 3 2 7 8 2" xfId="3372" xr:uid="{D4BF86BB-4217-4821-A519-81D518A7AEBB}"/>
    <cellStyle name="Normal 3 2 7 8 2 2" xfId="7043" xr:uid="{3F9371E6-85F5-48B2-8DA1-CCEC630354D5}"/>
    <cellStyle name="Normal 3 2 7 8 3" xfId="5323" xr:uid="{FB7CEE33-A983-4D51-97F5-A6EEE86A23E1}"/>
    <cellStyle name="Normal 3 2 7 9" xfId="1871" xr:uid="{5425BF2F-71F9-4124-9BFC-3234B3E26894}"/>
    <cellStyle name="Normal 3 2 7 9 2" xfId="5542" xr:uid="{A39B57FF-A963-476D-8971-9E3811351CF8}"/>
    <cellStyle name="Normal 3 2 8" xfId="131" xr:uid="{02C13687-084D-45C0-97BD-BF50BE659378}"/>
    <cellStyle name="Normal 3 2 8 10" xfId="3860" xr:uid="{72C6F2D1-4038-4B3A-A723-D5C024279F1F}"/>
    <cellStyle name="Normal 3 2 8 2" xfId="377" xr:uid="{A221384E-8285-4DFD-A2A4-0BEFC26A1D41}"/>
    <cellStyle name="Normal 3 2 8 2 2" xfId="2076" xr:uid="{7B3E47A7-2611-441F-BA51-5EFDBB9E9E15}"/>
    <cellStyle name="Normal 3 2 8 2 2 2" xfId="5747" xr:uid="{04E06354-1BD7-42ED-B4BD-9296FCBC0EA5}"/>
    <cellStyle name="Normal 3 2 8 2 3" xfId="4040" xr:uid="{7006ADDC-835B-4EF0-B134-7EBF7AB8C65E}"/>
    <cellStyle name="Normal 3 2 8 3" xfId="573" xr:uid="{E5380A22-3304-4309-9BE7-E97C0A71FE2F}"/>
    <cellStyle name="Normal 3 2 8 3 2" xfId="2294" xr:uid="{045424D4-AEDA-4308-BF19-B66EE12935B0}"/>
    <cellStyle name="Normal 3 2 8 3 2 2" xfId="5965" xr:uid="{14754CC7-2B8C-41F2-A68D-B50E9D8DC723}"/>
    <cellStyle name="Normal 3 2 8 3 3" xfId="4246" xr:uid="{BE61CDB7-08F4-4362-B381-6F07DB18E632}"/>
    <cellStyle name="Normal 3 2 8 4" xfId="791" xr:uid="{8CB1F740-9089-4462-B222-ACEEDFB100C2}"/>
    <cellStyle name="Normal 3 2 8 4 2" xfId="2512" xr:uid="{3EC60483-8C84-4DD0-8BA9-0A345A59FBA5}"/>
    <cellStyle name="Normal 3 2 8 4 2 2" xfId="6183" xr:uid="{3D92C3E5-B713-40DB-A92A-ABE7505FC820}"/>
    <cellStyle name="Normal 3 2 8 4 3" xfId="4464" xr:uid="{519E1805-61C0-42EB-96C8-1F829935D14A}"/>
    <cellStyle name="Normal 3 2 8 5" xfId="1009" xr:uid="{EF23D382-10AD-4CA1-B7E0-99F05E5486C4}"/>
    <cellStyle name="Normal 3 2 8 5 2" xfId="2730" xr:uid="{7E1C2B32-042B-482B-96D7-206005DCAC78}"/>
    <cellStyle name="Normal 3 2 8 5 2 2" xfId="6401" xr:uid="{39630987-7ABF-4C2A-B157-F32C6E58B68D}"/>
    <cellStyle name="Normal 3 2 8 5 3" xfId="4682" xr:uid="{3578C98B-46A5-441C-81E1-049858E9812E}"/>
    <cellStyle name="Normal 3 2 8 6" xfId="1227" xr:uid="{C1A73C50-BDF7-4258-9025-7047F9054FD5}"/>
    <cellStyle name="Normal 3 2 8 6 2" xfId="2948" xr:uid="{43504778-31CA-44FF-8961-728730ED4E6D}"/>
    <cellStyle name="Normal 3 2 8 6 2 2" xfId="6619" xr:uid="{74BF0967-7C16-400A-8309-283DF77985E1}"/>
    <cellStyle name="Normal 3 2 8 6 3" xfId="4900" xr:uid="{7C968563-D472-40BC-A3AB-101984878DA4}"/>
    <cellStyle name="Normal 3 2 8 7" xfId="1445" xr:uid="{7F47C841-7080-4E5B-B1A9-60EBB4513EAA}"/>
    <cellStyle name="Normal 3 2 8 7 2" xfId="3166" xr:uid="{9CD2575D-9696-4374-8F4B-67697CA88C7E}"/>
    <cellStyle name="Normal 3 2 8 7 2 2" xfId="6837" xr:uid="{F75FE26A-232D-4918-939E-FBD51E61BD6D}"/>
    <cellStyle name="Normal 3 2 8 7 3" xfId="5118" xr:uid="{60A909FC-F768-4629-925B-2E05B8D43AA9}"/>
    <cellStyle name="Normal 3 2 8 8" xfId="1664" xr:uid="{4DA202C0-B881-4868-AD68-3EA6E985C497}"/>
    <cellStyle name="Normal 3 2 8 8 2" xfId="3385" xr:uid="{DF9B5381-53C8-46AE-B501-6C356D3C6D23}"/>
    <cellStyle name="Normal 3 2 8 8 2 2" xfId="7056" xr:uid="{2BB0891F-CA04-4AA8-B678-71CAFB234DF8}"/>
    <cellStyle name="Normal 3 2 8 8 3" xfId="5336" xr:uid="{C28F1D7D-E88A-47F6-9EC4-CA26A7244CF3}"/>
    <cellStyle name="Normal 3 2 8 9" xfId="1884" xr:uid="{8A3D6791-1F2B-4692-A826-BE2C368CAAC3}"/>
    <cellStyle name="Normal 3 2 8 9 2" xfId="5555" xr:uid="{47FDB7B0-7728-4E78-AC99-93CBEE3D0C50}"/>
    <cellStyle name="Normal 3 2 9" xfId="144" xr:uid="{BCD88C98-A45D-4354-9503-895667EBE102}"/>
    <cellStyle name="Normal 3 2 9 10" xfId="3873" xr:uid="{E5D277D1-9E19-413E-851F-8D3B1816BA43}"/>
    <cellStyle name="Normal 3 2 9 2" xfId="390" xr:uid="{869CC37A-CD0E-47C0-9584-67AEAEAFC097}"/>
    <cellStyle name="Normal 3 2 9 2 2" xfId="2089" xr:uid="{523BD365-5AD8-4551-A0FF-1FB53B64D33B}"/>
    <cellStyle name="Normal 3 2 9 2 2 2" xfId="5760" xr:uid="{3CC94837-F70C-4AF1-A2B8-27ADE494C4C0}"/>
    <cellStyle name="Normal 3 2 9 2 3" xfId="4053" xr:uid="{14A72CC7-4802-44E6-9977-CAA16FFA94BB}"/>
    <cellStyle name="Normal 3 2 9 3" xfId="586" xr:uid="{21939D05-0F81-438C-9A2D-95835985CF34}"/>
    <cellStyle name="Normal 3 2 9 3 2" xfId="2307" xr:uid="{C1C73D2E-B9AA-420F-9DB8-9B1FBBD53381}"/>
    <cellStyle name="Normal 3 2 9 3 2 2" xfId="5978" xr:uid="{A334749C-677F-47E5-B892-499FEB0F3C4B}"/>
    <cellStyle name="Normal 3 2 9 3 3" xfId="4259" xr:uid="{2CD06095-9283-4AC4-8759-72E0583470D4}"/>
    <cellStyle name="Normal 3 2 9 4" xfId="804" xr:uid="{D1FF56DC-4472-44EC-8A83-B00AE387AD28}"/>
    <cellStyle name="Normal 3 2 9 4 2" xfId="2525" xr:uid="{87967B7B-ED5B-4F72-9B84-5D154AD0C01C}"/>
    <cellStyle name="Normal 3 2 9 4 2 2" xfId="6196" xr:uid="{DC1807DB-E0FC-4209-84A8-21072F29EFFB}"/>
    <cellStyle name="Normal 3 2 9 4 3" xfId="4477" xr:uid="{BC26C574-8877-4B4A-A513-67648EDB5288}"/>
    <cellStyle name="Normal 3 2 9 5" xfId="1022" xr:uid="{9F4D0BD7-7FB1-4B62-90D6-80A04B22A4DC}"/>
    <cellStyle name="Normal 3 2 9 5 2" xfId="2743" xr:uid="{6B7D9E97-7DB2-47B1-A6EB-A378BF5E24DD}"/>
    <cellStyle name="Normal 3 2 9 5 2 2" xfId="6414" xr:uid="{1241EE1D-A02C-4315-A45A-78BD8784E9D3}"/>
    <cellStyle name="Normal 3 2 9 5 3" xfId="4695" xr:uid="{1517410C-602A-489C-B7EF-0852CA958CC1}"/>
    <cellStyle name="Normal 3 2 9 6" xfId="1240" xr:uid="{A7FDD0B9-53A8-4BB3-85E8-284EF5B6B46E}"/>
    <cellStyle name="Normal 3 2 9 6 2" xfId="2961" xr:uid="{B0FF0609-1260-4E61-BCF6-ED3E6BFF22DD}"/>
    <cellStyle name="Normal 3 2 9 6 2 2" xfId="6632" xr:uid="{E86C1B80-0626-4F7B-93DA-842F8F4692CC}"/>
    <cellStyle name="Normal 3 2 9 6 3" xfId="4913" xr:uid="{21A9B262-5899-4926-B74D-637E23A9CE0E}"/>
    <cellStyle name="Normal 3 2 9 7" xfId="1458" xr:uid="{1C01379D-68E0-4DE5-9555-620E666BF284}"/>
    <cellStyle name="Normal 3 2 9 7 2" xfId="3179" xr:uid="{DB111BEE-A05B-4DB7-B4A3-99FBAC184ED4}"/>
    <cellStyle name="Normal 3 2 9 7 2 2" xfId="6850" xr:uid="{21A71BC0-9E57-4EFB-B3E6-DC1319252E7D}"/>
    <cellStyle name="Normal 3 2 9 7 3" xfId="5131" xr:uid="{A086085B-902C-42D4-AC44-C61AF95823D1}"/>
    <cellStyle name="Normal 3 2 9 8" xfId="1677" xr:uid="{8200B40C-3E49-4439-9873-CD37D4953444}"/>
    <cellStyle name="Normal 3 2 9 8 2" xfId="3398" xr:uid="{DBE46DD5-9BA3-46F9-BEF8-348BDC14FF05}"/>
    <cellStyle name="Normal 3 2 9 8 2 2" xfId="7069" xr:uid="{DADA26FA-126E-47EE-8822-D3F015B066EA}"/>
    <cellStyle name="Normal 3 2 9 8 3" xfId="5349" xr:uid="{8BADB618-2EFB-47BE-9AE4-072EC8B71DF9}"/>
    <cellStyle name="Normal 3 2 9 9" xfId="1897" xr:uid="{8A37B514-C910-411A-AC94-E56358591517}"/>
    <cellStyle name="Normal 3 2 9 9 2" xfId="5568" xr:uid="{67EFCCB1-CCE8-4369-A3F0-D7690BE24586}"/>
    <cellStyle name="Normal 3 20" xfId="52" xr:uid="{BE27C856-2F64-411A-B661-D3821946B687}"/>
    <cellStyle name="Normal 3 20 2" xfId="1995" xr:uid="{65E95A46-B5E5-4A56-8C2C-032518E89708}"/>
    <cellStyle name="Normal 3 20 2 2" xfId="5666" xr:uid="{A110AAE1-E338-48CA-AF30-1956385D39DD}"/>
    <cellStyle name="Normal 3 20 3" xfId="3971" xr:uid="{0E23C98F-1E83-4FE1-9513-0927A62C8B3D}"/>
    <cellStyle name="Normal 3 21" xfId="492" xr:uid="{292DBDAE-F04A-4F8F-913B-98D703CDEEF2}"/>
    <cellStyle name="Normal 3 21 2" xfId="2213" xr:uid="{E6636D40-7931-4217-87BF-6C6718BDBB91}"/>
    <cellStyle name="Normal 3 21 2 2" xfId="5884" xr:uid="{29CA22A6-58A5-4100-A5F1-9AEF8179B24D}"/>
    <cellStyle name="Normal 3 21 3" xfId="4177" xr:uid="{4C08A0EA-4B30-4535-85D5-425C36DC04FD}"/>
    <cellStyle name="Normal 3 22" xfId="710" xr:uid="{960978D5-BA8D-48A0-A961-EF030E411189}"/>
    <cellStyle name="Normal 3 22 2" xfId="2431" xr:uid="{9EBBD91B-A803-41A6-93AE-8D379F2657A5}"/>
    <cellStyle name="Normal 3 22 2 2" xfId="6102" xr:uid="{CC46EA26-898B-414D-ACE9-2F97BC6A62DE}"/>
    <cellStyle name="Normal 3 22 3" xfId="4383" xr:uid="{FB01E71F-D7DC-4E46-B5CE-A07BA9C0394B}"/>
    <cellStyle name="Normal 3 23" xfId="928" xr:uid="{0C2F1F22-BE84-46CE-8D98-F282FBA4D199}"/>
    <cellStyle name="Normal 3 23 2" xfId="2649" xr:uid="{6A13F12D-AB1A-43BF-9713-BB8A7A2FA4AC}"/>
    <cellStyle name="Normal 3 23 2 2" xfId="6320" xr:uid="{C7E17E9A-8B6F-41A8-9AE7-31459570ECD4}"/>
    <cellStyle name="Normal 3 23 3" xfId="4601" xr:uid="{A8AC75F7-ED0D-4A1D-8C55-720E8C5B283A}"/>
    <cellStyle name="Normal 3 24" xfId="1146" xr:uid="{968EC383-70BA-4691-9832-81213BF6B1FA}"/>
    <cellStyle name="Normal 3 24 2" xfId="2867" xr:uid="{73930919-799A-488C-BDF0-FF6C1D6ADBB1}"/>
    <cellStyle name="Normal 3 24 2 2" xfId="6538" xr:uid="{5F1CD671-ABE6-4AA2-B679-6326F751180F}"/>
    <cellStyle name="Normal 3 24 3" xfId="4819" xr:uid="{684571A4-7C19-4F26-9EFD-2A5EB98CB9F4}"/>
    <cellStyle name="Normal 3 25" xfId="1364" xr:uid="{1C13232E-30AB-4C3C-B424-AF1EF78839C2}"/>
    <cellStyle name="Normal 3 25 2" xfId="3085" xr:uid="{89E3E746-348B-4710-9AC4-97B6B9EA79A3}"/>
    <cellStyle name="Normal 3 25 2 2" xfId="6756" xr:uid="{76664BAA-00F5-4CC6-9953-36283A7212EE}"/>
    <cellStyle name="Normal 3 25 3" xfId="5037" xr:uid="{9A785C2A-CAC1-431D-8AD3-C6A3E2B5EDA8}"/>
    <cellStyle name="Normal 3 26" xfId="1583" xr:uid="{87DB6ED0-31B7-43C1-B390-96637B8EF168}"/>
    <cellStyle name="Normal 3 26 2" xfId="3304" xr:uid="{1C48A4EF-D70E-4597-893A-B63453F30012}"/>
    <cellStyle name="Normal 3 26 2 2" xfId="6975" xr:uid="{5DBB897A-D47A-4FC6-BD71-4F89C51E0F63}"/>
    <cellStyle name="Normal 3 26 3" xfId="5255" xr:uid="{8CF152C0-3A9A-4030-AC7B-087C94A054AF}"/>
    <cellStyle name="Normal 3 27" xfId="1803" xr:uid="{93FB82A6-D65D-42C1-87A1-A21B5E981A79}"/>
    <cellStyle name="Normal 3 27 2" xfId="5474" xr:uid="{F754A10D-FAFB-497D-BBAC-8A65A1E8D351}"/>
    <cellStyle name="Normal 3 28" xfId="3779" xr:uid="{C8A1DDFD-7BD9-4C18-A6F3-2FD8EE4AA349}"/>
    <cellStyle name="Normal 3 3" xfId="57" xr:uid="{52C2D2F5-57EF-48A1-B3F9-2FC2695E2EB1}"/>
    <cellStyle name="Normal 3 3 10" xfId="173" xr:uid="{7994E6DD-5754-4A9A-BB90-3423800584EA}"/>
    <cellStyle name="Normal 3 3 10 10" xfId="3902" xr:uid="{DD149B09-7502-488B-861A-17FF67878FE1}"/>
    <cellStyle name="Normal 3 3 10 2" xfId="419" xr:uid="{5627D283-B888-4F7E-BF40-A145B3B7A851}"/>
    <cellStyle name="Normal 3 3 10 2 2" xfId="2118" xr:uid="{0FFFFA09-9D0E-4609-ADFD-BD4E84F6809A}"/>
    <cellStyle name="Normal 3 3 10 2 2 2" xfId="5789" xr:uid="{21B175C1-2A7C-4119-B5B8-285A6B7D6CA2}"/>
    <cellStyle name="Normal 3 3 10 2 3" xfId="4082" xr:uid="{74D00FA5-485D-479E-8166-17CC5B561719}"/>
    <cellStyle name="Normal 3 3 10 3" xfId="615" xr:uid="{589F99CB-F5A0-4B9E-9876-A2432E3C3AA9}"/>
    <cellStyle name="Normal 3 3 10 3 2" xfId="2336" xr:uid="{6D21ED0E-9DC3-4D3D-B76B-214FDA5842D2}"/>
    <cellStyle name="Normal 3 3 10 3 2 2" xfId="6007" xr:uid="{81472DA3-9AA3-4F54-9DE1-0C3BA1DDF2F4}"/>
    <cellStyle name="Normal 3 3 10 3 3" xfId="4288" xr:uid="{479319D9-118A-46D0-8D03-6E0859158DD7}"/>
    <cellStyle name="Normal 3 3 10 4" xfId="833" xr:uid="{928280DE-FF26-4EEB-A1C8-21449A68962A}"/>
    <cellStyle name="Normal 3 3 10 4 2" xfId="2554" xr:uid="{CC72928F-EF65-4609-A800-1CF4F900ECE8}"/>
    <cellStyle name="Normal 3 3 10 4 2 2" xfId="6225" xr:uid="{713AF66C-E2B0-4337-AF08-9BF7DF3962A0}"/>
    <cellStyle name="Normal 3 3 10 4 3" xfId="4506" xr:uid="{C6DC4EAB-82B0-4463-A3F9-BCE1496569D6}"/>
    <cellStyle name="Normal 3 3 10 5" xfId="1051" xr:uid="{78BC6126-227F-488A-93A8-9D0A1BCF22D7}"/>
    <cellStyle name="Normal 3 3 10 5 2" xfId="2772" xr:uid="{320047D3-4A07-4D44-AC6F-2BB706D6621B}"/>
    <cellStyle name="Normal 3 3 10 5 2 2" xfId="6443" xr:uid="{B1E5F980-08B1-47EC-A429-384A952CF896}"/>
    <cellStyle name="Normal 3 3 10 5 3" xfId="4724" xr:uid="{3C1614B8-70B6-462F-8986-B1E7EB358865}"/>
    <cellStyle name="Normal 3 3 10 6" xfId="1269" xr:uid="{C540DCF6-D698-49C8-95A2-0989B9343CB0}"/>
    <cellStyle name="Normal 3 3 10 6 2" xfId="2990" xr:uid="{948479C5-BC41-4B44-A2DB-A2FF2302F06D}"/>
    <cellStyle name="Normal 3 3 10 6 2 2" xfId="6661" xr:uid="{373AD684-9657-404C-B738-3BEED01A438E}"/>
    <cellStyle name="Normal 3 3 10 6 3" xfId="4942" xr:uid="{5C40194A-2BBF-443E-88AE-34BA5512D24D}"/>
    <cellStyle name="Normal 3 3 10 7" xfId="1487" xr:uid="{53BBCDB7-047B-4532-9485-D25223E373EA}"/>
    <cellStyle name="Normal 3 3 10 7 2" xfId="3208" xr:uid="{20D57F42-14DB-4D1E-854D-D187FF1D39CE}"/>
    <cellStyle name="Normal 3 3 10 7 2 2" xfId="6879" xr:uid="{F9929EC8-11BD-4D81-9B73-8850FBB9B919}"/>
    <cellStyle name="Normal 3 3 10 7 3" xfId="5160" xr:uid="{4AF5DA45-2E08-4BBC-8EDA-DE3A247525E1}"/>
    <cellStyle name="Normal 3 3 10 8" xfId="1706" xr:uid="{5F6FB5D6-E9D2-4EEF-A5A7-01388CE99868}"/>
    <cellStyle name="Normal 3 3 10 8 2" xfId="3427" xr:uid="{371629AF-3FF1-4652-8462-F9941D531285}"/>
    <cellStyle name="Normal 3 3 10 8 2 2" xfId="7098" xr:uid="{C096D47F-14E8-4C4E-9C24-BADED6CBED21}"/>
    <cellStyle name="Normal 3 3 10 8 3" xfId="5378" xr:uid="{7FD6E43A-F8CC-4ABE-9F90-DC1A7DD17076}"/>
    <cellStyle name="Normal 3 3 10 9" xfId="1926" xr:uid="{84F4D666-2244-4CAD-85CD-E4D5045BF29B}"/>
    <cellStyle name="Normal 3 3 10 9 2" xfId="5597" xr:uid="{DDF81CA5-2F9B-4BE6-854D-7B98F5BE3A6B}"/>
    <cellStyle name="Normal 3 3 11" xfId="186" xr:uid="{8EE96142-49D1-4050-80F3-B624FD9EFE2E}"/>
    <cellStyle name="Normal 3 3 11 10" xfId="3915" xr:uid="{0ED70EB5-8B73-477D-93A5-549486DB9C5D}"/>
    <cellStyle name="Normal 3 3 11 2" xfId="432" xr:uid="{EBFFFA6D-377E-4FE2-B65E-5B072784D703}"/>
    <cellStyle name="Normal 3 3 11 2 2" xfId="2131" xr:uid="{D059F413-3FFB-44CA-BDBA-7BBDF0BF676E}"/>
    <cellStyle name="Normal 3 3 11 2 2 2" xfId="5802" xr:uid="{0717F4C9-F978-4A85-AE5B-BAE4C4CB5DEA}"/>
    <cellStyle name="Normal 3 3 11 2 3" xfId="4095" xr:uid="{EC4D901C-6A94-4C4D-87F5-A7C025A593E1}"/>
    <cellStyle name="Normal 3 3 11 3" xfId="628" xr:uid="{F3DA632E-4C1C-416B-8CB1-1793A9109B56}"/>
    <cellStyle name="Normal 3 3 11 3 2" xfId="2349" xr:uid="{ABDEC982-1ED0-4354-B019-650A024FB2CB}"/>
    <cellStyle name="Normal 3 3 11 3 2 2" xfId="6020" xr:uid="{5ADD07C8-A106-4257-8E2B-9B2832620698}"/>
    <cellStyle name="Normal 3 3 11 3 3" xfId="4301" xr:uid="{9F4EF126-F50A-4EAE-AF79-392E53845910}"/>
    <cellStyle name="Normal 3 3 11 4" xfId="846" xr:uid="{827FBCB9-0D61-4EBC-BDD5-CE9F649FC141}"/>
    <cellStyle name="Normal 3 3 11 4 2" xfId="2567" xr:uid="{0E333646-2D99-45AC-A2B6-1F65BFB50C53}"/>
    <cellStyle name="Normal 3 3 11 4 2 2" xfId="6238" xr:uid="{91E78302-2C60-4E9F-AF25-7E55870ADF57}"/>
    <cellStyle name="Normal 3 3 11 4 3" xfId="4519" xr:uid="{C443CF05-7CB7-49C1-9E9A-3DC291A2BD45}"/>
    <cellStyle name="Normal 3 3 11 5" xfId="1064" xr:uid="{6B17418C-20AD-4423-80FF-77ADFF2C7F0E}"/>
    <cellStyle name="Normal 3 3 11 5 2" xfId="2785" xr:uid="{418FC17B-5435-4A07-B966-BBC70C4E2054}"/>
    <cellStyle name="Normal 3 3 11 5 2 2" xfId="6456" xr:uid="{A8DC0B9C-B7A9-4A4C-B467-1424E9774326}"/>
    <cellStyle name="Normal 3 3 11 5 3" xfId="4737" xr:uid="{9277BA8D-4756-41B6-A1D3-F0C21CF5352B}"/>
    <cellStyle name="Normal 3 3 11 6" xfId="1282" xr:uid="{17021BD3-58DC-42D7-99C3-AE64AF8EE93C}"/>
    <cellStyle name="Normal 3 3 11 6 2" xfId="3003" xr:uid="{2105B6B3-F91E-4A16-B3DF-68E9899BBBB5}"/>
    <cellStyle name="Normal 3 3 11 6 2 2" xfId="6674" xr:uid="{DF9E0F28-7381-44D3-BD78-0BAFF08568A6}"/>
    <cellStyle name="Normal 3 3 11 6 3" xfId="4955" xr:uid="{6CC1D2A3-12A9-4E68-8BB2-82956D7377D5}"/>
    <cellStyle name="Normal 3 3 11 7" xfId="1500" xr:uid="{607DF826-7E38-462E-8072-AEEE0DC26332}"/>
    <cellStyle name="Normal 3 3 11 7 2" xfId="3221" xr:uid="{9891384B-5E82-4D8A-9A30-37B04C9D2985}"/>
    <cellStyle name="Normal 3 3 11 7 2 2" xfId="6892" xr:uid="{1711F700-438B-46F7-95E5-A734A61E8C97}"/>
    <cellStyle name="Normal 3 3 11 7 3" xfId="5173" xr:uid="{A2F14B0A-6135-4603-B096-8F7E797D6A0E}"/>
    <cellStyle name="Normal 3 3 11 8" xfId="1719" xr:uid="{C1244FC9-3EBE-4340-A148-49A561B3E757}"/>
    <cellStyle name="Normal 3 3 11 8 2" xfId="3440" xr:uid="{B312E450-7058-4DEB-82BF-F281BED999DF}"/>
    <cellStyle name="Normal 3 3 11 8 2 2" xfId="7111" xr:uid="{67DCC2A5-2124-4D4D-BFDE-5368D3D2A681}"/>
    <cellStyle name="Normal 3 3 11 8 3" xfId="5391" xr:uid="{1D299234-3087-4157-A323-BBABE4DB6D22}"/>
    <cellStyle name="Normal 3 3 11 9" xfId="1939" xr:uid="{9A791874-14E8-4650-AF75-EB1212392538}"/>
    <cellStyle name="Normal 3 3 11 9 2" xfId="5610" xr:uid="{0A258C93-6645-4860-B11A-7639C18D406D}"/>
    <cellStyle name="Normal 3 3 12" xfId="199" xr:uid="{1C042199-B27F-43AD-9AD3-3272C3EF9C5F}"/>
    <cellStyle name="Normal 3 3 12 10" xfId="3928" xr:uid="{458B8621-253A-4E3B-813C-E12D851F7378}"/>
    <cellStyle name="Normal 3 3 12 2" xfId="445" xr:uid="{0CF6D6B1-EF4D-4824-8E1B-FB6878196B57}"/>
    <cellStyle name="Normal 3 3 12 2 2" xfId="2144" xr:uid="{8F9BE69B-E606-449D-A430-174EBCD5F972}"/>
    <cellStyle name="Normal 3 3 12 2 2 2" xfId="5815" xr:uid="{1235045E-C396-43E8-8382-8135DB42F732}"/>
    <cellStyle name="Normal 3 3 12 2 3" xfId="4108" xr:uid="{9A439E37-0A74-43EE-A531-8645BA49BDEF}"/>
    <cellStyle name="Normal 3 3 12 3" xfId="641" xr:uid="{3AF2959B-86D8-4415-A018-8510AAE400CA}"/>
    <cellStyle name="Normal 3 3 12 3 2" xfId="2362" xr:uid="{0900561C-B06C-426D-83DC-619329B7F232}"/>
    <cellStyle name="Normal 3 3 12 3 2 2" xfId="6033" xr:uid="{220AFE38-AE9F-45D5-9BE3-B6D9E74DB60A}"/>
    <cellStyle name="Normal 3 3 12 3 3" xfId="4314" xr:uid="{F447CE0A-4AAD-4265-88C5-BF44914818A8}"/>
    <cellStyle name="Normal 3 3 12 4" xfId="859" xr:uid="{80591A6E-9C03-4915-896F-01541B501858}"/>
    <cellStyle name="Normal 3 3 12 4 2" xfId="2580" xr:uid="{093566B8-2AA0-41AC-9531-48EE9549DB46}"/>
    <cellStyle name="Normal 3 3 12 4 2 2" xfId="6251" xr:uid="{DF1F72C5-745A-4E42-A95B-A6336FC89224}"/>
    <cellStyle name="Normal 3 3 12 4 3" xfId="4532" xr:uid="{48ACBA30-74DC-44CC-9268-3064522D68A7}"/>
    <cellStyle name="Normal 3 3 12 5" xfId="1077" xr:uid="{EFE12222-6E8F-4CB6-B611-3B58F5575930}"/>
    <cellStyle name="Normal 3 3 12 5 2" xfId="2798" xr:uid="{8084508B-0290-442E-9F14-E9BC44620A13}"/>
    <cellStyle name="Normal 3 3 12 5 2 2" xfId="6469" xr:uid="{60068185-6DA9-45AF-9784-C1595FEB4EBF}"/>
    <cellStyle name="Normal 3 3 12 5 3" xfId="4750" xr:uid="{33D75F38-969D-40FE-A295-34296CE1064F}"/>
    <cellStyle name="Normal 3 3 12 6" xfId="1295" xr:uid="{2F286CDB-0564-4C61-8232-F5A0A4B4DB36}"/>
    <cellStyle name="Normal 3 3 12 6 2" xfId="3016" xr:uid="{D5740450-B02A-48D3-87AF-A413DA8E3D7E}"/>
    <cellStyle name="Normal 3 3 12 6 2 2" xfId="6687" xr:uid="{8D195DD4-7775-4EF0-8DBF-B1DD9067398E}"/>
    <cellStyle name="Normal 3 3 12 6 3" xfId="4968" xr:uid="{3B61D163-BC3D-43A0-9023-92F772A04653}"/>
    <cellStyle name="Normal 3 3 12 7" xfId="1513" xr:uid="{96A6FBA3-D185-4F55-9F3F-52A3BBFCBAE0}"/>
    <cellStyle name="Normal 3 3 12 7 2" xfId="3234" xr:uid="{5A4A8B74-CB80-41CF-B01E-813D054ED69F}"/>
    <cellStyle name="Normal 3 3 12 7 2 2" xfId="6905" xr:uid="{4F5CF0AB-2194-4920-83E0-D28649B506D8}"/>
    <cellStyle name="Normal 3 3 12 7 3" xfId="5186" xr:uid="{C8951783-94DB-45E3-9AFA-844E12651CED}"/>
    <cellStyle name="Normal 3 3 12 8" xfId="1732" xr:uid="{A3F389A8-FB2E-4A02-BC61-51C179AD6D31}"/>
    <cellStyle name="Normal 3 3 12 8 2" xfId="3453" xr:uid="{18B31239-D1A3-4458-B8FB-43ADCAFE8FDE}"/>
    <cellStyle name="Normal 3 3 12 8 2 2" xfId="7124" xr:uid="{B90CEA65-99B0-49B0-A3EB-3875854A9177}"/>
    <cellStyle name="Normal 3 3 12 8 3" xfId="5404" xr:uid="{D743500A-A9DD-4A0C-A435-5132CFE4AA60}"/>
    <cellStyle name="Normal 3 3 12 9" xfId="1952" xr:uid="{65A63616-A0C7-4017-9B46-43D48205AE66}"/>
    <cellStyle name="Normal 3 3 12 9 2" xfId="5623" xr:uid="{5A275476-2DC7-454E-8273-B1490AF59C87}"/>
    <cellStyle name="Normal 3 3 13" xfId="224" xr:uid="{409F713A-846C-4BC1-B93C-728229548512}"/>
    <cellStyle name="Normal 3 3 13 10" xfId="3951" xr:uid="{9D80CE92-F7D0-4B06-8C4B-B1D074A7B55E}"/>
    <cellStyle name="Normal 3 3 13 2" xfId="468" xr:uid="{4452ACBA-1127-4B90-B889-340A77868E3D}"/>
    <cellStyle name="Normal 3 3 13 2 2" xfId="2167" xr:uid="{081DABE4-D7D0-41D0-951C-E3B1A7142281}"/>
    <cellStyle name="Normal 3 3 13 2 2 2" xfId="5838" xr:uid="{3989B052-6CBC-4083-84A3-812CD1420E20}"/>
    <cellStyle name="Normal 3 3 13 2 3" xfId="4131" xr:uid="{9DACC0DB-2E02-4C9C-AF91-48B337F56E9E}"/>
    <cellStyle name="Normal 3 3 13 3" xfId="664" xr:uid="{3380C8C2-A5E6-4935-8205-14E68E208595}"/>
    <cellStyle name="Normal 3 3 13 3 2" xfId="2385" xr:uid="{8FC24526-290C-4051-9811-FB9EBBE93B4D}"/>
    <cellStyle name="Normal 3 3 13 3 2 2" xfId="6056" xr:uid="{B5245556-CDAE-4DCC-B285-DD92470DE6E7}"/>
    <cellStyle name="Normal 3 3 13 3 3" xfId="4337" xr:uid="{6873595C-D486-40AB-9562-E9B42D148840}"/>
    <cellStyle name="Normal 3 3 13 4" xfId="882" xr:uid="{A4DFC73B-6CBE-4F35-9866-81017AE15A5F}"/>
    <cellStyle name="Normal 3 3 13 4 2" xfId="2603" xr:uid="{C0B406A1-5C57-43BD-8BFB-5B57F0022C0C}"/>
    <cellStyle name="Normal 3 3 13 4 2 2" xfId="6274" xr:uid="{249E513A-D40D-4CE9-BBBD-1E367AFAC44D}"/>
    <cellStyle name="Normal 3 3 13 4 3" xfId="4555" xr:uid="{B777D746-B90F-44BD-B339-2F5C9AC67648}"/>
    <cellStyle name="Normal 3 3 13 5" xfId="1100" xr:uid="{B401E5CE-EE23-4265-BC5D-17CBC06FAA66}"/>
    <cellStyle name="Normal 3 3 13 5 2" xfId="2821" xr:uid="{405CA274-BC0C-4667-BBA6-B89C25220F3A}"/>
    <cellStyle name="Normal 3 3 13 5 2 2" xfId="6492" xr:uid="{FA001EE5-595F-4350-93C6-65C04603090C}"/>
    <cellStyle name="Normal 3 3 13 5 3" xfId="4773" xr:uid="{A279BD80-9C79-474B-B8FD-A7D35EC06B04}"/>
    <cellStyle name="Normal 3 3 13 6" xfId="1318" xr:uid="{B1D6DFFF-D1BD-45A2-B69E-D30BA40262FB}"/>
    <cellStyle name="Normal 3 3 13 6 2" xfId="3039" xr:uid="{0BD0C1E6-3950-4779-B920-48EAD69A33E3}"/>
    <cellStyle name="Normal 3 3 13 6 2 2" xfId="6710" xr:uid="{D24562C7-3694-4BDB-A7BE-1E726C2971C5}"/>
    <cellStyle name="Normal 3 3 13 6 3" xfId="4991" xr:uid="{0F24A494-DD52-4311-9924-2AE42C911DE5}"/>
    <cellStyle name="Normal 3 3 13 7" xfId="1536" xr:uid="{922F0C6B-3B7B-4C21-9121-F2E59757F9C8}"/>
    <cellStyle name="Normal 3 3 13 7 2" xfId="3257" xr:uid="{EE1E26C4-AD93-4A2F-934A-76F12179ECFF}"/>
    <cellStyle name="Normal 3 3 13 7 2 2" xfId="6928" xr:uid="{BAD49ED1-5207-43F0-8F0B-56014781F151}"/>
    <cellStyle name="Normal 3 3 13 7 3" xfId="5209" xr:uid="{4B238F1B-4E28-4DA0-AC95-326B1C4619D8}"/>
    <cellStyle name="Normal 3 3 13 8" xfId="1755" xr:uid="{08470725-C22C-482E-9EB8-4BEFF549D620}"/>
    <cellStyle name="Normal 3 3 13 8 2" xfId="3476" xr:uid="{558BB5E0-E676-4931-981F-04EA0FEECDC2}"/>
    <cellStyle name="Normal 3 3 13 8 2 2" xfId="7147" xr:uid="{E2850D7D-3898-4415-8A85-86B2AAC0DBB4}"/>
    <cellStyle name="Normal 3 3 13 8 3" xfId="5427" xr:uid="{1AD41105-60C9-4531-A434-913CBA976FC0}"/>
    <cellStyle name="Normal 3 3 13 9" xfId="1975" xr:uid="{4E01E29D-1F98-443B-A50B-9ACC4AD5D6AA}"/>
    <cellStyle name="Normal 3 3 13 9 2" xfId="5646" xr:uid="{E25E91D4-CD8B-4207-8E90-8564E6EE130B}"/>
    <cellStyle name="Normal 3 3 14" xfId="237" xr:uid="{E1C7AA74-33CB-4835-B284-9E42DF79356F}"/>
    <cellStyle name="Normal 3 3 14 10" xfId="3964" xr:uid="{024B23BB-4516-40AC-8270-56FB763B4096}"/>
    <cellStyle name="Normal 3 3 14 2" xfId="481" xr:uid="{D0B1A2CD-A17B-4897-9520-5613AB2E1DB9}"/>
    <cellStyle name="Normal 3 3 14 2 2" xfId="2180" xr:uid="{6E6347A2-47E2-4486-B27C-FBC230CBB504}"/>
    <cellStyle name="Normal 3 3 14 2 2 2" xfId="5851" xr:uid="{E1DA04A5-F8A5-4B30-B114-46AEB994CCE8}"/>
    <cellStyle name="Normal 3 3 14 2 3" xfId="4144" xr:uid="{6FBF9B41-E633-41E9-810C-FCA92FE91A69}"/>
    <cellStyle name="Normal 3 3 14 3" xfId="677" xr:uid="{97C7DECE-C5F9-4584-A29D-B9C1942C501F}"/>
    <cellStyle name="Normal 3 3 14 3 2" xfId="2398" xr:uid="{5596FEC2-7E69-403F-9A78-D26523952B45}"/>
    <cellStyle name="Normal 3 3 14 3 2 2" xfId="6069" xr:uid="{FF8075EA-01F2-4D09-BCC4-02552E7735A3}"/>
    <cellStyle name="Normal 3 3 14 3 3" xfId="4350" xr:uid="{10F8C162-0249-47F9-8763-8D992BDDF660}"/>
    <cellStyle name="Normal 3 3 14 4" xfId="895" xr:uid="{18F86010-ACBB-4E27-9E9C-7125CE2A271F}"/>
    <cellStyle name="Normal 3 3 14 4 2" xfId="2616" xr:uid="{24A07DC3-F445-44B0-8CC9-B2DA3394B5B6}"/>
    <cellStyle name="Normal 3 3 14 4 2 2" xfId="6287" xr:uid="{FD406974-4432-4888-A8FE-17F7E33B0F4A}"/>
    <cellStyle name="Normal 3 3 14 4 3" xfId="4568" xr:uid="{A62080A1-1EB2-47E7-A8AC-FC7D914D582B}"/>
    <cellStyle name="Normal 3 3 14 5" xfId="1113" xr:uid="{592E875E-3850-4143-99C6-A70909BBF538}"/>
    <cellStyle name="Normal 3 3 14 5 2" xfId="2834" xr:uid="{95E25E16-80AD-4E2C-8778-30EE4F74AC6D}"/>
    <cellStyle name="Normal 3 3 14 5 2 2" xfId="6505" xr:uid="{6AEFC1DA-FDC2-4926-BDEC-3C3A36E1CEDB}"/>
    <cellStyle name="Normal 3 3 14 5 3" xfId="4786" xr:uid="{51004F4D-5C1F-48AE-815B-7DA2921BD6A1}"/>
    <cellStyle name="Normal 3 3 14 6" xfId="1331" xr:uid="{C34E3C52-16B7-4FE4-B7D2-E43C35555EA8}"/>
    <cellStyle name="Normal 3 3 14 6 2" xfId="3052" xr:uid="{ED02C0D9-188A-4F91-B1CA-D19A48285D5A}"/>
    <cellStyle name="Normal 3 3 14 6 2 2" xfId="6723" xr:uid="{3A267B8E-5C2B-4D7F-863A-C96BCA7181C9}"/>
    <cellStyle name="Normal 3 3 14 6 3" xfId="5004" xr:uid="{10BC45FC-9701-4D20-8F88-CA2AA83575CB}"/>
    <cellStyle name="Normal 3 3 14 7" xfId="1549" xr:uid="{9054AE21-E93C-4159-BDA8-568AE0CAD7E5}"/>
    <cellStyle name="Normal 3 3 14 7 2" xfId="3270" xr:uid="{BC1AF349-2EC3-4D41-9DCB-087E82EDEBEB}"/>
    <cellStyle name="Normal 3 3 14 7 2 2" xfId="6941" xr:uid="{FF351E89-3C95-41DE-B3BC-2EA2B79DB09E}"/>
    <cellStyle name="Normal 3 3 14 7 3" xfId="5222" xr:uid="{2A471EDC-052F-42B8-991B-553868C95A69}"/>
    <cellStyle name="Normal 3 3 14 8" xfId="1768" xr:uid="{B8A76FE3-835C-4DDA-9262-B3BDE150E881}"/>
    <cellStyle name="Normal 3 3 14 8 2" xfId="3489" xr:uid="{82505D9C-74E4-4246-AC6C-7C82108523DE}"/>
    <cellStyle name="Normal 3 3 14 8 2 2" xfId="7160" xr:uid="{A847E9A5-1E06-42FC-86BB-43CFC77C3945}"/>
    <cellStyle name="Normal 3 3 14 8 3" xfId="5440" xr:uid="{E6A2EC84-7DA5-40FA-A12D-038BECF271E1}"/>
    <cellStyle name="Normal 3 3 14 9" xfId="1988" xr:uid="{DC85117A-9513-487A-A524-0E98A749E3CA}"/>
    <cellStyle name="Normal 3 3 14 9 2" xfId="5659" xr:uid="{7825B358-76CC-46ED-8ADE-CDEA6F8A047C}"/>
    <cellStyle name="Normal 3 3 15" xfId="250" xr:uid="{067D13BB-BE97-4296-A3D7-C33C7DF4F208}"/>
    <cellStyle name="Normal 3 3 15 2" xfId="690" xr:uid="{A350EE82-967A-4EFB-B0B0-8DAF4307BEDD}"/>
    <cellStyle name="Normal 3 3 15 2 2" xfId="2411" xr:uid="{ECA628F6-3057-47C6-859A-7C6FAE7201F5}"/>
    <cellStyle name="Normal 3 3 15 2 2 2" xfId="6082" xr:uid="{7062155B-7BF0-43E3-9C76-9AFAE6585A70}"/>
    <cellStyle name="Normal 3 3 15 2 3" xfId="4363" xr:uid="{E1F033FE-50C2-458D-9AAF-94D2A435E231}"/>
    <cellStyle name="Normal 3 3 15 3" xfId="908" xr:uid="{E285BB1B-5EE4-4383-B7B8-D4B5497BBE95}"/>
    <cellStyle name="Normal 3 3 15 3 2" xfId="2629" xr:uid="{7269BC34-013A-4086-9EFF-C4D5E50F30F7}"/>
    <cellStyle name="Normal 3 3 15 3 2 2" xfId="6300" xr:uid="{DCF1532D-7C68-472B-8C8E-BE38FC0A3CA8}"/>
    <cellStyle name="Normal 3 3 15 3 3" xfId="4581" xr:uid="{552A8463-5643-4F25-AF1D-BF6EC75F40E0}"/>
    <cellStyle name="Normal 3 3 15 4" xfId="1126" xr:uid="{3B182F1B-E8F7-4C51-9382-D653EE5D32CC}"/>
    <cellStyle name="Normal 3 3 15 4 2" xfId="2847" xr:uid="{467622ED-04F9-4FB0-BFE7-E4C81B0BAA2B}"/>
    <cellStyle name="Normal 3 3 15 4 2 2" xfId="6518" xr:uid="{42F4E11C-14F9-4DCA-9136-9A8899DF62F0}"/>
    <cellStyle name="Normal 3 3 15 4 3" xfId="4799" xr:uid="{04FDE42A-07FC-40D5-BBE8-E06B21A20ADA}"/>
    <cellStyle name="Normal 3 3 15 5" xfId="1344" xr:uid="{9D6FC4F7-1AC6-4481-A538-766F6B411D23}"/>
    <cellStyle name="Normal 3 3 15 5 2" xfId="3065" xr:uid="{C73314F6-83A3-477A-A4BA-6EB39F8FB598}"/>
    <cellStyle name="Normal 3 3 15 5 2 2" xfId="6736" xr:uid="{6FAA3314-B2D9-4116-8457-7F766DCCB663}"/>
    <cellStyle name="Normal 3 3 15 5 3" xfId="5017" xr:uid="{5AEDF0BC-B68A-4EDA-9F15-6A8C58B6044B}"/>
    <cellStyle name="Normal 3 3 15 6" xfId="1562" xr:uid="{04B69F9F-A1EF-469A-8AC6-4745F6036C41}"/>
    <cellStyle name="Normal 3 3 15 6 2" xfId="3283" xr:uid="{4429EC79-0305-4318-B65B-CB64A966A1D9}"/>
    <cellStyle name="Normal 3 3 15 6 2 2" xfId="6954" xr:uid="{552AF147-8C07-4DAF-8EB1-4FAA650CDAD2}"/>
    <cellStyle name="Normal 3 3 15 6 3" xfId="5235" xr:uid="{094AE254-FCF8-4C4F-8518-2EB60A511459}"/>
    <cellStyle name="Normal 3 3 15 7" xfId="1781" xr:uid="{FA613F1D-2522-4968-B5EB-92157008A8E2}"/>
    <cellStyle name="Normal 3 3 15 7 2" xfId="3502" xr:uid="{7CE4F55F-2D8A-4E43-80A4-F069EA55454B}"/>
    <cellStyle name="Normal 3 3 15 7 2 2" xfId="7173" xr:uid="{18B2EF3B-5FDA-4E93-979B-BE999508E856}"/>
    <cellStyle name="Normal 3 3 15 7 3" xfId="5453" xr:uid="{0F16EBC7-A628-40C8-A653-0559434267B9}"/>
    <cellStyle name="Normal 3 3 15 8" xfId="2193" xr:uid="{04B9CB07-4E0A-4605-9E82-16D01869E625}"/>
    <cellStyle name="Normal 3 3 15 8 2" xfId="5864" xr:uid="{70CF2D07-AA69-47CB-A89E-4D837EAE4C49}"/>
    <cellStyle name="Normal 3 3 15 9" xfId="4157" xr:uid="{1A3C8EAE-AD31-4DB1-ADA5-8811BB168080}"/>
    <cellStyle name="Normal 3 3 16" xfId="263" xr:uid="{230BD979-4EC2-467A-8FB2-6709305F9ECE}"/>
    <cellStyle name="Normal 3 3 16 2" xfId="703" xr:uid="{EB4AB424-50D3-4C4F-8AE2-F5129EB9A12B}"/>
    <cellStyle name="Normal 3 3 16 2 2" xfId="2424" xr:uid="{79495FE4-7AC7-4A27-A2E5-FF183CD8F92A}"/>
    <cellStyle name="Normal 3 3 16 2 2 2" xfId="6095" xr:uid="{8FF303D6-7430-42D3-922A-E8D79288CE39}"/>
    <cellStyle name="Normal 3 3 16 2 3" xfId="4376" xr:uid="{F89BA177-17E4-4034-9C87-25C6C3A2BAFD}"/>
    <cellStyle name="Normal 3 3 16 3" xfId="921" xr:uid="{3DCD6414-05E1-4326-A60D-339917F752AD}"/>
    <cellStyle name="Normal 3 3 16 3 2" xfId="2642" xr:uid="{CC1EEC03-75C0-4882-BFD4-2B7F14113F90}"/>
    <cellStyle name="Normal 3 3 16 3 2 2" xfId="6313" xr:uid="{9823C146-CA1A-4464-AE7A-3DC0AAB70831}"/>
    <cellStyle name="Normal 3 3 16 3 3" xfId="4594" xr:uid="{15EFEFD2-CF3B-44F7-8FA3-A8D2F34DE625}"/>
    <cellStyle name="Normal 3 3 16 4" xfId="1139" xr:uid="{0AF4CC47-6B42-4D63-A1F7-61AD136636CA}"/>
    <cellStyle name="Normal 3 3 16 4 2" xfId="2860" xr:uid="{F32E79D3-87D0-418C-8694-C048543E358D}"/>
    <cellStyle name="Normal 3 3 16 4 2 2" xfId="6531" xr:uid="{830A8A0E-9B69-4496-B6E5-45C2535BD7FA}"/>
    <cellStyle name="Normal 3 3 16 4 3" xfId="4812" xr:uid="{F186EA9A-B84E-432A-BE39-B8C372A6EEEA}"/>
    <cellStyle name="Normal 3 3 16 5" xfId="1357" xr:uid="{40DD6D73-6F66-4135-8665-A7C85AF40CAE}"/>
    <cellStyle name="Normal 3 3 16 5 2" xfId="3078" xr:uid="{38B545BF-6647-4ECE-9167-12F531F34776}"/>
    <cellStyle name="Normal 3 3 16 5 2 2" xfId="6749" xr:uid="{3A876FD4-9A64-4F8D-912A-1AAE14B196F3}"/>
    <cellStyle name="Normal 3 3 16 5 3" xfId="5030" xr:uid="{D8D32E71-99A3-43B6-BB69-913125E9790A}"/>
    <cellStyle name="Normal 3 3 16 6" xfId="1575" xr:uid="{DAEFE2C3-0B8B-452A-B0C8-BD922A784B18}"/>
    <cellStyle name="Normal 3 3 16 6 2" xfId="3296" xr:uid="{8607AFF6-F3DB-486F-AB2C-159AAFA7CC9F}"/>
    <cellStyle name="Normal 3 3 16 6 2 2" xfId="6967" xr:uid="{F9FCCC3C-EA54-4E9F-88FB-FB50900D55B5}"/>
    <cellStyle name="Normal 3 3 16 6 3" xfId="5248" xr:uid="{B9EB834C-8E88-49C8-8F38-E7E861E46FF8}"/>
    <cellStyle name="Normal 3 3 16 7" xfId="1794" xr:uid="{63B95CFF-A8A8-4F87-9A8B-A9EBDEE35177}"/>
    <cellStyle name="Normal 3 3 16 7 2" xfId="3515" xr:uid="{1BE4C60B-9125-47A7-BA8D-60B1310328EE}"/>
    <cellStyle name="Normal 3 3 16 7 2 2" xfId="7186" xr:uid="{990D8132-3B5E-4DEC-80C1-D76F8AD5D2D9}"/>
    <cellStyle name="Normal 3 3 16 7 3" xfId="5466" xr:uid="{CEEAFE81-4931-433E-BD7F-E4C36FB00218}"/>
    <cellStyle name="Normal 3 3 16 8" xfId="2206" xr:uid="{0091834A-A82A-4799-A4CB-8F31A4F30B28}"/>
    <cellStyle name="Normal 3 3 16 8 2" xfId="5877" xr:uid="{E5F3D2E8-3027-464D-9ED3-8A130742CA48}"/>
    <cellStyle name="Normal 3 3 16 9" xfId="4170" xr:uid="{76195918-D5AE-44C6-ACDD-EA93597FB212}"/>
    <cellStyle name="Normal 3 3 17" xfId="303" xr:uid="{7BA1DD8E-B937-4F5D-AF64-F7E783DC6E03}"/>
    <cellStyle name="Normal 3 3 17 2" xfId="2001" xr:uid="{07325841-BCEB-4DC4-BD10-A2A8902F4E48}"/>
    <cellStyle name="Normal 3 3 17 2 2" xfId="5672" xr:uid="{0618D3ED-C317-4A99-9D83-7BA8FC457F86}"/>
    <cellStyle name="Normal 3 3 17 3" xfId="3977" xr:uid="{677E8744-1A5F-4BAF-96FD-D29500912FF6}"/>
    <cellStyle name="Normal 3 3 18" xfId="498" xr:uid="{AA22433B-B8D1-4378-BBA6-01F1CEFEA7DF}"/>
    <cellStyle name="Normal 3 3 18 2" xfId="2219" xr:uid="{81123AEB-62A3-486C-897B-9FB29C9C3E83}"/>
    <cellStyle name="Normal 3 3 18 2 2" xfId="5890" xr:uid="{E2A6060D-CD04-46BE-97E8-F3B4D3514EB0}"/>
    <cellStyle name="Normal 3 3 18 3" xfId="4183" xr:uid="{8CF425E2-7E54-49EE-B6DF-135C693645A4}"/>
    <cellStyle name="Normal 3 3 19" xfId="716" xr:uid="{210C8CB0-0C3D-46BD-9C19-65BC23873727}"/>
    <cellStyle name="Normal 3 3 19 2" xfId="2437" xr:uid="{CB328062-6F4D-460C-A7E0-2A16E5FDEB7F}"/>
    <cellStyle name="Normal 3 3 19 2 2" xfId="6108" xr:uid="{765B801B-841C-4A0A-A726-78FB350D4E38}"/>
    <cellStyle name="Normal 3 3 19 3" xfId="4389" xr:uid="{F0E6480C-6374-48F5-AEF8-FF77DEC3E6E3}"/>
    <cellStyle name="Normal 3 3 2" xfId="69" xr:uid="{CCD8443D-B3F2-46CE-9DE8-EE8FF33CB1D6}"/>
    <cellStyle name="Normal 3 3 2 10" xfId="3798" xr:uid="{199DD56A-C668-4080-9EFF-A1AAFB2F3110}"/>
    <cellStyle name="Normal 3 3 2 2" xfId="315" xr:uid="{D55E2CE5-AB1F-46B6-85C0-E4F283F2799A}"/>
    <cellStyle name="Normal 3 3 2 2 2" xfId="2014" xr:uid="{0A32D89E-7AA9-4E66-ACFA-A75EC1DD328B}"/>
    <cellStyle name="Normal 3 3 2 2 2 2" xfId="5685" xr:uid="{E3CA33BA-A329-485C-A861-7A018049040F}"/>
    <cellStyle name="Normal 3 3 2 2 3" xfId="3986" xr:uid="{B5E143BA-C307-41D6-9E46-B2A278B35764}"/>
    <cellStyle name="Normal 3 3 2 3" xfId="511" xr:uid="{8018C7F5-7C9B-4951-B584-A65BF47E0257}"/>
    <cellStyle name="Normal 3 3 2 3 2" xfId="2232" xr:uid="{7D16F572-2136-4CC0-8230-11329773E39D}"/>
    <cellStyle name="Normal 3 3 2 3 2 2" xfId="5903" xr:uid="{19C23E00-9785-4470-8E7C-51BD31EDCBDB}"/>
    <cellStyle name="Normal 3 3 2 3 3" xfId="4192" xr:uid="{80E1FD00-7121-4942-9C8D-9EEEB17683E6}"/>
    <cellStyle name="Normal 3 3 2 4" xfId="729" xr:uid="{817026F0-58E7-4014-BC64-E0BF580BC290}"/>
    <cellStyle name="Normal 3 3 2 4 2" xfId="2450" xr:uid="{9CC9DC17-CCEF-410D-A94D-AC93429563E4}"/>
    <cellStyle name="Normal 3 3 2 4 2 2" xfId="6121" xr:uid="{B6D659D9-4E00-44C6-A538-3345248FB0C8}"/>
    <cellStyle name="Normal 3 3 2 4 3" xfId="4402" xr:uid="{9A6B95FC-5FC8-4F98-ABE6-5C47AB9E4DBF}"/>
    <cellStyle name="Normal 3 3 2 5" xfId="947" xr:uid="{DC15251F-FAB2-4124-87AF-E1DFD9D9E517}"/>
    <cellStyle name="Normal 3 3 2 5 2" xfId="2668" xr:uid="{35D0E9A2-C5C6-418D-8A2A-9105C6381F08}"/>
    <cellStyle name="Normal 3 3 2 5 2 2" xfId="6339" xr:uid="{813D3ABD-FA23-4DA3-B15E-7A16507EC322}"/>
    <cellStyle name="Normal 3 3 2 5 3" xfId="4620" xr:uid="{C32454BD-863B-467A-9A44-E1829E2F10B1}"/>
    <cellStyle name="Normal 3 3 2 6" xfId="1165" xr:uid="{F82DB97F-28C4-4677-9776-B9795E8F1FBA}"/>
    <cellStyle name="Normal 3 3 2 6 2" xfId="2886" xr:uid="{4E0D9183-5E5B-4593-96FE-683F34833C60}"/>
    <cellStyle name="Normal 3 3 2 6 2 2" xfId="6557" xr:uid="{A43379C1-1E45-425C-97A6-F3BE63F2B2FF}"/>
    <cellStyle name="Normal 3 3 2 6 3" xfId="4838" xr:uid="{05CB97CD-06BF-4145-9FE3-F2A0BB33B109}"/>
    <cellStyle name="Normal 3 3 2 7" xfId="1383" xr:uid="{99D6A31A-8CE0-4FDF-8F0E-783078B1206D}"/>
    <cellStyle name="Normal 3 3 2 7 2" xfId="3104" xr:uid="{51143FDB-BF16-4620-812C-E6412A041FFE}"/>
    <cellStyle name="Normal 3 3 2 7 2 2" xfId="6775" xr:uid="{A8691E0F-84B3-456E-A95D-FF39C66232BC}"/>
    <cellStyle name="Normal 3 3 2 7 3" xfId="5056" xr:uid="{8EFDEFF3-A47C-4516-BA4F-C38EF0C102C0}"/>
    <cellStyle name="Normal 3 3 2 8" xfId="1602" xr:uid="{EA9DE63D-FD2D-42CB-909E-4894AE5F11EC}"/>
    <cellStyle name="Normal 3 3 2 8 2" xfId="3323" xr:uid="{761AD2AC-A40B-4131-8C90-7D600D6808C0}"/>
    <cellStyle name="Normal 3 3 2 8 2 2" xfId="6994" xr:uid="{85DDDDE6-6BA8-4F13-A631-176B9120B2BB}"/>
    <cellStyle name="Normal 3 3 2 8 3" xfId="5274" xr:uid="{3C0BD866-A266-4DDE-9CF2-CEC5F2F1D7E9}"/>
    <cellStyle name="Normal 3 3 2 9" xfId="1822" xr:uid="{7920D822-FEF4-4598-9FB9-4B6F63FCBF4F}"/>
    <cellStyle name="Normal 3 3 2 9 2" xfId="5493" xr:uid="{93BC5679-54B1-4875-99BF-616D4DB5088F}"/>
    <cellStyle name="Normal 3 3 20" xfId="934" xr:uid="{FFD8C5C8-265C-40CE-A737-ED899F5D0B89}"/>
    <cellStyle name="Normal 3 3 20 2" xfId="2655" xr:uid="{9451EEC3-F587-4FD2-B09B-AA53CAE870E9}"/>
    <cellStyle name="Normal 3 3 20 2 2" xfId="6326" xr:uid="{99442554-4179-49A1-9E2C-C9EE2F7B75E8}"/>
    <cellStyle name="Normal 3 3 20 3" xfId="4607" xr:uid="{86513827-977C-4904-99CA-CAE9DE69CBF6}"/>
    <cellStyle name="Normal 3 3 21" xfId="1152" xr:uid="{4247AF77-3EF5-4853-A824-146EA69EE88B}"/>
    <cellStyle name="Normal 3 3 21 2" xfId="2873" xr:uid="{43102AF6-F5F2-4EC3-A7FB-F4996CF69293}"/>
    <cellStyle name="Normal 3 3 21 2 2" xfId="6544" xr:uid="{44082427-8108-4C63-87CB-F38150B79C06}"/>
    <cellStyle name="Normal 3 3 21 3" xfId="4825" xr:uid="{593450F6-0790-4055-A22D-EFE50F7506B0}"/>
    <cellStyle name="Normal 3 3 22" xfId="1370" xr:uid="{2D6D3B77-F7C4-4887-8C4B-194E8F34A9FA}"/>
    <cellStyle name="Normal 3 3 22 2" xfId="3091" xr:uid="{7138D278-D134-4C2A-9823-2CA1BA0EAAB5}"/>
    <cellStyle name="Normal 3 3 22 2 2" xfId="6762" xr:uid="{65934BEF-2FC7-4B7A-909B-4DA21AD893A4}"/>
    <cellStyle name="Normal 3 3 22 3" xfId="5043" xr:uid="{D6DA8DEA-3E4D-47A0-9E31-58C713BB47F2}"/>
    <cellStyle name="Normal 3 3 23" xfId="1589" xr:uid="{8C8E4C99-8DF4-4129-8AD9-624D54AECBEB}"/>
    <cellStyle name="Normal 3 3 23 2" xfId="3310" xr:uid="{137D3E4B-6D96-46A9-957D-97C6EC46BD2F}"/>
    <cellStyle name="Normal 3 3 23 2 2" xfId="6981" xr:uid="{642AFBCB-C2B5-48AA-9D0C-C2FE65B2D260}"/>
    <cellStyle name="Normal 3 3 23 3" xfId="5261" xr:uid="{1E2C6015-1BD2-4CD9-BA25-EB4C80B09EB2}"/>
    <cellStyle name="Normal 3 3 24" xfId="1809" xr:uid="{84D375FA-746B-41B5-90E8-8393D958087D}"/>
    <cellStyle name="Normal 3 3 24 2" xfId="5480" xr:uid="{F048D644-9420-4019-89D9-6D7E31874F9A}"/>
    <cellStyle name="Normal 3 3 25" xfId="3785" xr:uid="{7DED1DF5-D35E-430D-8224-D4360C91BAF8}"/>
    <cellStyle name="Normal 3 3 3" xfId="82" xr:uid="{E6AFA984-FED8-434E-AC0A-E4DABD0332AD}"/>
    <cellStyle name="Normal 3 3 3 10" xfId="3811" xr:uid="{7C1B84E2-76C2-4D0A-A3DE-F56DDE03BF84}"/>
    <cellStyle name="Normal 3 3 3 2" xfId="328" xr:uid="{80274558-142B-47EE-A6A0-4921D87BCF80}"/>
    <cellStyle name="Normal 3 3 3 2 2" xfId="2027" xr:uid="{53556E5D-BC26-4A8A-A3D0-32C4EB5BE08A}"/>
    <cellStyle name="Normal 3 3 3 2 2 2" xfId="5698" xr:uid="{A3232801-FEFE-41F7-9F16-1317515E3E94}"/>
    <cellStyle name="Normal 3 3 3 2 3" xfId="3995" xr:uid="{59E13711-A5E1-4C92-9096-A14F0F272BD7}"/>
    <cellStyle name="Normal 3 3 3 3" xfId="524" xr:uid="{5D7BC045-02EC-4252-B92E-4C62BA621C22}"/>
    <cellStyle name="Normal 3 3 3 3 2" xfId="2245" xr:uid="{037789DF-A437-4262-B1DD-5FD8AF55EF75}"/>
    <cellStyle name="Normal 3 3 3 3 2 2" xfId="5916" xr:uid="{C77A01A0-A24D-44E1-A822-F9A3BA80B7BE}"/>
    <cellStyle name="Normal 3 3 3 3 3" xfId="4201" xr:uid="{3AFB44D8-20C4-47F6-8382-183071AF8578}"/>
    <cellStyle name="Normal 3 3 3 4" xfId="742" xr:uid="{18D4DF81-9C92-4A52-B012-9402988FECEF}"/>
    <cellStyle name="Normal 3 3 3 4 2" xfId="2463" xr:uid="{920B3D8C-2BF8-4A5A-B2CF-BFFE06B68699}"/>
    <cellStyle name="Normal 3 3 3 4 2 2" xfId="6134" xr:uid="{CF16D730-9646-40C8-8C93-EF7D469D3BEE}"/>
    <cellStyle name="Normal 3 3 3 4 3" xfId="4415" xr:uid="{DE700A29-D07E-4ED5-BE34-24900DCC36CD}"/>
    <cellStyle name="Normal 3 3 3 5" xfId="960" xr:uid="{6E464C37-DB5E-4F1E-B85D-43F22029AFC2}"/>
    <cellStyle name="Normal 3 3 3 5 2" xfId="2681" xr:uid="{EE803A2F-911E-495D-B19F-67C90E87BA9E}"/>
    <cellStyle name="Normal 3 3 3 5 2 2" xfId="6352" xr:uid="{AC5493B1-B0E9-4E69-A09B-7FC6C0D8FBC5}"/>
    <cellStyle name="Normal 3 3 3 5 3" xfId="4633" xr:uid="{CB2054F0-92E9-4709-9E9E-9CEB960792DF}"/>
    <cellStyle name="Normal 3 3 3 6" xfId="1178" xr:uid="{8297C2E3-2F3B-4A60-B06E-093164D5CC55}"/>
    <cellStyle name="Normal 3 3 3 6 2" xfId="2899" xr:uid="{31727CD8-BD3C-48C9-B13A-CD4B7DDE63D1}"/>
    <cellStyle name="Normal 3 3 3 6 2 2" xfId="6570" xr:uid="{D17E1E30-4D3F-41C4-8DBE-4AE79F65CF34}"/>
    <cellStyle name="Normal 3 3 3 6 3" xfId="4851" xr:uid="{FC7837A9-4CDF-47BD-9D92-59A5C875E390}"/>
    <cellStyle name="Normal 3 3 3 7" xfId="1396" xr:uid="{6BDB6F8A-0F02-4519-943A-66948D0A5BA3}"/>
    <cellStyle name="Normal 3 3 3 7 2" xfId="3117" xr:uid="{A66C4C06-C437-4B88-BCF0-E4247235DAAC}"/>
    <cellStyle name="Normal 3 3 3 7 2 2" xfId="6788" xr:uid="{FCDDD74C-3F8D-4E56-8E69-043B50260BB8}"/>
    <cellStyle name="Normal 3 3 3 7 3" xfId="5069" xr:uid="{9531BCAB-20F2-47F0-A36D-61440A310913}"/>
    <cellStyle name="Normal 3 3 3 8" xfId="1615" xr:uid="{A311948E-C748-44CC-B082-46EFF689AB1F}"/>
    <cellStyle name="Normal 3 3 3 8 2" xfId="3336" xr:uid="{61948BC4-067D-423E-8A60-92593F187AE2}"/>
    <cellStyle name="Normal 3 3 3 8 2 2" xfId="7007" xr:uid="{D45B1912-623C-411B-B74D-EE4F05220BD4}"/>
    <cellStyle name="Normal 3 3 3 8 3" xfId="5287" xr:uid="{AF5DC712-A5A8-4437-B61C-4D5D3CE205B6}"/>
    <cellStyle name="Normal 3 3 3 9" xfId="1835" xr:uid="{4862F5E1-6036-441F-949C-E762AFC4F23C}"/>
    <cellStyle name="Normal 3 3 3 9 2" xfId="5506" xr:uid="{98343B5A-EA16-4DFF-A524-6D1108BB11F8}"/>
    <cellStyle name="Normal 3 3 4" xfId="95" xr:uid="{42580676-AEC8-4A07-92D8-AA431C3C57EB}"/>
    <cellStyle name="Normal 3 3 4 10" xfId="3824" xr:uid="{CAA3C725-BF15-42BF-ADC7-809BBC18BBA1}"/>
    <cellStyle name="Normal 3 3 4 2" xfId="341" xr:uid="{838D5C16-46D0-4BCD-AF59-20950DE0FAE3}"/>
    <cellStyle name="Normal 3 3 4 2 2" xfId="2040" xr:uid="{6DFD1051-0D3D-4713-9CB0-356A15F788E9}"/>
    <cellStyle name="Normal 3 3 4 2 2 2" xfId="5711" xr:uid="{E37F755B-EA97-4C26-B314-2AF5411486D0}"/>
    <cellStyle name="Normal 3 3 4 2 3" xfId="4004" xr:uid="{328F4479-734C-426D-B703-16011ECD39C7}"/>
    <cellStyle name="Normal 3 3 4 3" xfId="537" xr:uid="{B31F11FD-2259-475A-9797-CDDC340DAB91}"/>
    <cellStyle name="Normal 3 3 4 3 2" xfId="2258" xr:uid="{86051003-0E37-4676-94D5-FC09E6070689}"/>
    <cellStyle name="Normal 3 3 4 3 2 2" xfId="5929" xr:uid="{C944EF35-3453-46A8-9F4C-9BFA0AA2719D}"/>
    <cellStyle name="Normal 3 3 4 3 3" xfId="4210" xr:uid="{5BFBF454-1126-4710-B94C-88140B4060DF}"/>
    <cellStyle name="Normal 3 3 4 4" xfId="755" xr:uid="{87BDECB6-1589-4703-B2A9-42C18A4B50AF}"/>
    <cellStyle name="Normal 3 3 4 4 2" xfId="2476" xr:uid="{C77FBA3B-446A-4D01-904A-50584E2B69F4}"/>
    <cellStyle name="Normal 3 3 4 4 2 2" xfId="6147" xr:uid="{0590FF0F-3B9C-4030-A43A-2BE95C8CC996}"/>
    <cellStyle name="Normal 3 3 4 4 3" xfId="4428" xr:uid="{3039589D-AC85-482B-9A71-372C7F5D6269}"/>
    <cellStyle name="Normal 3 3 4 5" xfId="973" xr:uid="{A1D27A86-BD51-43BF-B5FA-469E6419F2A5}"/>
    <cellStyle name="Normal 3 3 4 5 2" xfId="2694" xr:uid="{7DE81931-F72B-45FB-8D56-CF173DD735F7}"/>
    <cellStyle name="Normal 3 3 4 5 2 2" xfId="6365" xr:uid="{12517E5F-0F44-4EF3-8080-C5121F8B5BDD}"/>
    <cellStyle name="Normal 3 3 4 5 3" xfId="4646" xr:uid="{CA89736A-32A5-46CC-A298-1C469CB7454F}"/>
    <cellStyle name="Normal 3 3 4 6" xfId="1191" xr:uid="{DED9946F-9829-4AE5-A0EA-72747A68E87E}"/>
    <cellStyle name="Normal 3 3 4 6 2" xfId="2912" xr:uid="{62651730-8F70-4F44-8F26-8650BAC565D9}"/>
    <cellStyle name="Normal 3 3 4 6 2 2" xfId="6583" xr:uid="{04C83531-C461-4E0B-AC19-A9ADA39A8192}"/>
    <cellStyle name="Normal 3 3 4 6 3" xfId="4864" xr:uid="{E8FB2EAB-DBE3-49C9-937F-357C70ED4361}"/>
    <cellStyle name="Normal 3 3 4 7" xfId="1409" xr:uid="{E6FB1A31-39F1-4201-8FE3-B1FD98CD47F1}"/>
    <cellStyle name="Normal 3 3 4 7 2" xfId="3130" xr:uid="{24B9ECFF-B45C-4F5B-8C30-AED4CA80178D}"/>
    <cellStyle name="Normal 3 3 4 7 2 2" xfId="6801" xr:uid="{A400EF4F-0488-40ED-B2D9-47297B3EC1A6}"/>
    <cellStyle name="Normal 3 3 4 7 3" xfId="5082" xr:uid="{8D49652D-0714-41ED-BC99-813AC9444982}"/>
    <cellStyle name="Normal 3 3 4 8" xfId="1628" xr:uid="{872406CF-E922-41D0-9D56-277A87FE00E2}"/>
    <cellStyle name="Normal 3 3 4 8 2" xfId="3349" xr:uid="{ADC1338E-EB18-4086-BC34-9F70521DDEC2}"/>
    <cellStyle name="Normal 3 3 4 8 2 2" xfId="7020" xr:uid="{EFB748F6-6DB3-4F21-B623-E63FBADD08C0}"/>
    <cellStyle name="Normal 3 3 4 8 3" xfId="5300" xr:uid="{DCAFFAA3-B895-42FF-BB83-9BD7E5CAD108}"/>
    <cellStyle name="Normal 3 3 4 9" xfId="1848" xr:uid="{C059C20A-4C78-49F7-8E1E-F6E4A0F606E1}"/>
    <cellStyle name="Normal 3 3 4 9 2" xfId="5519" xr:uid="{5ACEF0E6-48BE-48CF-ABE7-C77F1888F421}"/>
    <cellStyle name="Normal 3 3 5" xfId="108" xr:uid="{9B068160-26CD-4ECA-9070-E3B04F52AAE9}"/>
    <cellStyle name="Normal 3 3 5 10" xfId="3837" xr:uid="{069909E2-4577-488B-9C8C-C03136116268}"/>
    <cellStyle name="Normal 3 3 5 2" xfId="354" xr:uid="{8718D71F-AFC1-41F8-85C9-2FEA8F392294}"/>
    <cellStyle name="Normal 3 3 5 2 2" xfId="2053" xr:uid="{F58D998A-9D9B-4E31-93B4-60A2E31D7004}"/>
    <cellStyle name="Normal 3 3 5 2 2 2" xfId="5724" xr:uid="{AA8A58F3-785C-43DE-945D-784D51EEC6D3}"/>
    <cellStyle name="Normal 3 3 5 2 3" xfId="4017" xr:uid="{7D0A48D4-A537-4B89-8130-DCA55C34D1B3}"/>
    <cellStyle name="Normal 3 3 5 3" xfId="550" xr:uid="{F1B41F03-70C8-4C64-A73D-14F79D01A5CB}"/>
    <cellStyle name="Normal 3 3 5 3 2" xfId="2271" xr:uid="{77EAD997-938D-4138-88E6-E3710BFCFEDD}"/>
    <cellStyle name="Normal 3 3 5 3 2 2" xfId="5942" xr:uid="{BB0E192D-60B7-4468-8569-8B618D47DFB4}"/>
    <cellStyle name="Normal 3 3 5 3 3" xfId="4223" xr:uid="{19A6E55D-DE32-4620-8507-5586B030D236}"/>
    <cellStyle name="Normal 3 3 5 4" xfId="768" xr:uid="{435C19BF-52FB-4030-9E34-30FE4A927E94}"/>
    <cellStyle name="Normal 3 3 5 4 2" xfId="2489" xr:uid="{A6853310-0179-4E5A-B7D6-10706FF051C0}"/>
    <cellStyle name="Normal 3 3 5 4 2 2" xfId="6160" xr:uid="{C3E3D5FC-A1F5-4D05-8F81-C431084B2540}"/>
    <cellStyle name="Normal 3 3 5 4 3" xfId="4441" xr:uid="{ADCC99BE-0EBD-4221-A8AE-660C1E224DAB}"/>
    <cellStyle name="Normal 3 3 5 5" xfId="986" xr:uid="{CEE9A2E5-E721-4B1A-BE52-41B4AC8123F5}"/>
    <cellStyle name="Normal 3 3 5 5 2" xfId="2707" xr:uid="{70D1D9CF-72AE-4F94-9A7B-3BE5B3593DBC}"/>
    <cellStyle name="Normal 3 3 5 5 2 2" xfId="6378" xr:uid="{D0BD529B-4025-463C-8682-76D72C9872E5}"/>
    <cellStyle name="Normal 3 3 5 5 3" xfId="4659" xr:uid="{78C65081-2543-4A4B-8DF1-806EA8FEF55C}"/>
    <cellStyle name="Normal 3 3 5 6" xfId="1204" xr:uid="{D89D7F69-9D93-4EDB-B3A9-0FC26FCAEC96}"/>
    <cellStyle name="Normal 3 3 5 6 2" xfId="2925" xr:uid="{57A76CE0-92CC-4FA1-8A08-92F36CE2DE3A}"/>
    <cellStyle name="Normal 3 3 5 6 2 2" xfId="6596" xr:uid="{9CE7A335-7191-4CB8-949E-72B2C74E1CBC}"/>
    <cellStyle name="Normal 3 3 5 6 3" xfId="4877" xr:uid="{718A6535-BE73-4DCA-9866-3C9DFA97BCC7}"/>
    <cellStyle name="Normal 3 3 5 7" xfId="1422" xr:uid="{004A7F69-4FFE-4135-B1C7-2D6B3006892B}"/>
    <cellStyle name="Normal 3 3 5 7 2" xfId="3143" xr:uid="{20A9CA9E-192C-43E6-986A-E7AA2E14CF1B}"/>
    <cellStyle name="Normal 3 3 5 7 2 2" xfId="6814" xr:uid="{52892AE5-372D-4C51-B564-007D3645D145}"/>
    <cellStyle name="Normal 3 3 5 7 3" xfId="5095" xr:uid="{547375F4-F3DC-4B47-95FD-512284BF8692}"/>
    <cellStyle name="Normal 3 3 5 8" xfId="1641" xr:uid="{44CE8BB6-2AE7-462B-B674-8C7EA95B2634}"/>
    <cellStyle name="Normal 3 3 5 8 2" xfId="3362" xr:uid="{26F349AA-36BB-46B7-8895-977FCE8FB030}"/>
    <cellStyle name="Normal 3 3 5 8 2 2" xfId="7033" xr:uid="{516B6589-88A2-47ED-BECA-D00AAC7DDE36}"/>
    <cellStyle name="Normal 3 3 5 8 3" xfId="5313" xr:uid="{870944AD-366C-44C9-B4BC-5F741BAB35A2}"/>
    <cellStyle name="Normal 3 3 5 9" xfId="1861" xr:uid="{B7E21BFD-38E4-4E4B-AA95-DD2F6C25ACB4}"/>
    <cellStyle name="Normal 3 3 5 9 2" xfId="5532" xr:uid="{FA86E5E2-4BF0-4A73-BEFF-C2FF62DD7E69}"/>
    <cellStyle name="Normal 3 3 6" xfId="121" xr:uid="{4BB59252-EEA2-4960-96FD-F876FFA74FCA}"/>
    <cellStyle name="Normal 3 3 6 10" xfId="3850" xr:uid="{7E649C50-25C2-4DE6-A63D-54032C5E6AF9}"/>
    <cellStyle name="Normal 3 3 6 2" xfId="367" xr:uid="{6404C3E1-6204-4789-B382-BE74BEB4AAA4}"/>
    <cellStyle name="Normal 3 3 6 2 2" xfId="2066" xr:uid="{09ABC256-755B-4846-AECD-B804F119CAB5}"/>
    <cellStyle name="Normal 3 3 6 2 2 2" xfId="5737" xr:uid="{25882578-76AC-423A-935E-12420DCC5453}"/>
    <cellStyle name="Normal 3 3 6 2 3" xfId="4030" xr:uid="{BFC1E1FF-25CC-4B55-8EE8-BD5DB6F87821}"/>
    <cellStyle name="Normal 3 3 6 3" xfId="563" xr:uid="{8FEC4F51-D345-4702-8334-12D3055B2293}"/>
    <cellStyle name="Normal 3 3 6 3 2" xfId="2284" xr:uid="{B5A44327-D854-41FB-9E66-77309AF57506}"/>
    <cellStyle name="Normal 3 3 6 3 2 2" xfId="5955" xr:uid="{59636C09-FA2A-4252-ADDF-87D4276A03FB}"/>
    <cellStyle name="Normal 3 3 6 3 3" xfId="4236" xr:uid="{44543AD2-1171-4743-8A59-7DB8C49AE47B}"/>
    <cellStyle name="Normal 3 3 6 4" xfId="781" xr:uid="{A012AEE8-D16E-429E-B948-209620D16AEB}"/>
    <cellStyle name="Normal 3 3 6 4 2" xfId="2502" xr:uid="{46BF699F-72D1-4725-BCF4-FD9A9D7992C7}"/>
    <cellStyle name="Normal 3 3 6 4 2 2" xfId="6173" xr:uid="{0E628620-6B8B-4B5C-A6B7-3E98DE143FB2}"/>
    <cellStyle name="Normal 3 3 6 4 3" xfId="4454" xr:uid="{C5D7FBA9-39FA-4EA3-99AF-FE85956B57A1}"/>
    <cellStyle name="Normal 3 3 6 5" xfId="999" xr:uid="{227321AE-724D-49C6-95CD-68BF705BCF17}"/>
    <cellStyle name="Normal 3 3 6 5 2" xfId="2720" xr:uid="{D836B722-8C4B-4D42-95CA-4375D7F33017}"/>
    <cellStyle name="Normal 3 3 6 5 2 2" xfId="6391" xr:uid="{5672C504-6DAA-4D66-A28E-52E9AD37DEEE}"/>
    <cellStyle name="Normal 3 3 6 5 3" xfId="4672" xr:uid="{DA1837BD-5508-41A4-8E22-0D0C47497DFC}"/>
    <cellStyle name="Normal 3 3 6 6" xfId="1217" xr:uid="{A94C4B0C-A666-4990-A0C5-AE94A2646FCE}"/>
    <cellStyle name="Normal 3 3 6 6 2" xfId="2938" xr:uid="{EC8A0101-731F-40F9-AE73-72127BA89D87}"/>
    <cellStyle name="Normal 3 3 6 6 2 2" xfId="6609" xr:uid="{18B5C067-0D4B-4C02-A457-B1E24D012778}"/>
    <cellStyle name="Normal 3 3 6 6 3" xfId="4890" xr:uid="{6CA7662A-BDAA-4A53-87F6-CB9263DDE400}"/>
    <cellStyle name="Normal 3 3 6 7" xfId="1435" xr:uid="{18AC36C1-5123-4F58-BC52-A071E522CD99}"/>
    <cellStyle name="Normal 3 3 6 7 2" xfId="3156" xr:uid="{07677F9E-8441-4E90-8469-4E6BBCE8D051}"/>
    <cellStyle name="Normal 3 3 6 7 2 2" xfId="6827" xr:uid="{8855E3A1-8668-417C-BA8D-C7548D946923}"/>
    <cellStyle name="Normal 3 3 6 7 3" xfId="5108" xr:uid="{84187FAB-4B52-4A47-B5D9-DF6F5AD53087}"/>
    <cellStyle name="Normal 3 3 6 8" xfId="1654" xr:uid="{5A00DD7B-715C-44EB-A328-A913FB4ACE84}"/>
    <cellStyle name="Normal 3 3 6 8 2" xfId="3375" xr:uid="{FC47F702-1955-4113-870A-49D10F99807E}"/>
    <cellStyle name="Normal 3 3 6 8 2 2" xfId="7046" xr:uid="{005A0427-338E-4014-A964-10FBF69D7300}"/>
    <cellStyle name="Normal 3 3 6 8 3" xfId="5326" xr:uid="{C6207EEA-89C2-442D-8AA0-7AEF92D73E63}"/>
    <cellStyle name="Normal 3 3 6 9" xfId="1874" xr:uid="{B0C2375E-DF16-4B77-96F2-5E631B124E47}"/>
    <cellStyle name="Normal 3 3 6 9 2" xfId="5545" xr:uid="{56AD3337-15C8-4922-8C9A-0CDE39E93A76}"/>
    <cellStyle name="Normal 3 3 7" xfId="134" xr:uid="{2E1988A7-EF05-4B8E-A741-D804B1426A6C}"/>
    <cellStyle name="Normal 3 3 7 10" xfId="3863" xr:uid="{F86816D6-EDFC-4B13-9296-EF23A80B1397}"/>
    <cellStyle name="Normal 3 3 7 2" xfId="380" xr:uid="{A3B11B7A-7E0B-4B0D-9960-FBF6AB9F3F26}"/>
    <cellStyle name="Normal 3 3 7 2 2" xfId="2079" xr:uid="{168C7844-E014-4D93-8820-3CB232A19206}"/>
    <cellStyle name="Normal 3 3 7 2 2 2" xfId="5750" xr:uid="{457D803F-70FD-48CD-B11D-315F2A6667CA}"/>
    <cellStyle name="Normal 3 3 7 2 3" xfId="4043" xr:uid="{98CBDD0E-811F-4564-847E-1C0B204EE24B}"/>
    <cellStyle name="Normal 3 3 7 3" xfId="576" xr:uid="{4108BEB1-6376-4064-B862-FB0E05D7FC70}"/>
    <cellStyle name="Normal 3 3 7 3 2" xfId="2297" xr:uid="{F6F83E37-AE2B-42B5-9227-32019F5D5C13}"/>
    <cellStyle name="Normal 3 3 7 3 2 2" xfId="5968" xr:uid="{741607C3-97DB-4D0F-A1E6-046273737D7F}"/>
    <cellStyle name="Normal 3 3 7 3 3" xfId="4249" xr:uid="{C8C7D16F-C7F6-41DA-87DE-75BF39E16EBF}"/>
    <cellStyle name="Normal 3 3 7 4" xfId="794" xr:uid="{535D479C-1D96-4392-8FED-15C4C6483D2F}"/>
    <cellStyle name="Normal 3 3 7 4 2" xfId="2515" xr:uid="{FD4F0C7A-2546-4119-906E-B13223AE1F0D}"/>
    <cellStyle name="Normal 3 3 7 4 2 2" xfId="6186" xr:uid="{2AD183AC-FA17-4685-926C-B163D6AFCEB7}"/>
    <cellStyle name="Normal 3 3 7 4 3" xfId="4467" xr:uid="{F099A333-21F8-41BB-8D4F-A92AF3CB21DD}"/>
    <cellStyle name="Normal 3 3 7 5" xfId="1012" xr:uid="{CD5F3333-5F83-40C0-988C-835142705E75}"/>
    <cellStyle name="Normal 3 3 7 5 2" xfId="2733" xr:uid="{BC31679B-8148-4BA4-9C6B-CF80A6B5CA8C}"/>
    <cellStyle name="Normal 3 3 7 5 2 2" xfId="6404" xr:uid="{14BF7BDB-BC2E-4032-A2E2-3BF371C2BD83}"/>
    <cellStyle name="Normal 3 3 7 5 3" xfId="4685" xr:uid="{73F0423F-BB55-4A3F-B790-FDF7D500FB14}"/>
    <cellStyle name="Normal 3 3 7 6" xfId="1230" xr:uid="{E01EA655-871A-4ABD-AB66-B316A4CAE1EC}"/>
    <cellStyle name="Normal 3 3 7 6 2" xfId="2951" xr:uid="{3B8FA2FC-6951-4736-B0BB-4E9FB7AA5C70}"/>
    <cellStyle name="Normal 3 3 7 6 2 2" xfId="6622" xr:uid="{606F93B6-9C0C-4B85-8F10-79492E31C81B}"/>
    <cellStyle name="Normal 3 3 7 6 3" xfId="4903" xr:uid="{74C38CEB-FD93-4B7C-B794-A21403684D88}"/>
    <cellStyle name="Normal 3 3 7 7" xfId="1448" xr:uid="{72D069B2-727E-4E8B-BFEF-C9590C6A030A}"/>
    <cellStyle name="Normal 3 3 7 7 2" xfId="3169" xr:uid="{13721EB1-A36A-49E1-902A-D181AC510C7E}"/>
    <cellStyle name="Normal 3 3 7 7 2 2" xfId="6840" xr:uid="{FDB61D3A-F961-4026-B8B8-69E195CB665A}"/>
    <cellStyle name="Normal 3 3 7 7 3" xfId="5121" xr:uid="{BEF79E69-678E-4B71-9CAA-C1ABD657BE35}"/>
    <cellStyle name="Normal 3 3 7 8" xfId="1667" xr:uid="{C1747433-D769-46FA-8EAB-5170FFD22ACA}"/>
    <cellStyle name="Normal 3 3 7 8 2" xfId="3388" xr:uid="{3AB45F8A-1405-41F0-B808-A34D4CEB3E14}"/>
    <cellStyle name="Normal 3 3 7 8 2 2" xfId="7059" xr:uid="{925BDE60-A711-4168-8642-3491F96EB7C6}"/>
    <cellStyle name="Normal 3 3 7 8 3" xfId="5339" xr:uid="{D3809106-F43F-4530-B45A-B801A7EF8C02}"/>
    <cellStyle name="Normal 3 3 7 9" xfId="1887" xr:uid="{CFC13DA1-4642-4B47-B3C3-7AFFC0AA436C}"/>
    <cellStyle name="Normal 3 3 7 9 2" xfId="5558" xr:uid="{892432B8-E537-4F0C-897D-A359E15D92A9}"/>
    <cellStyle name="Normal 3 3 8" xfId="147" xr:uid="{4D9312E2-E8A0-4A3E-9EBB-ABDEFD667363}"/>
    <cellStyle name="Normal 3 3 8 10" xfId="3876" xr:uid="{CC6CACD0-C2E8-4502-A93D-8387B70ABC1B}"/>
    <cellStyle name="Normal 3 3 8 2" xfId="393" xr:uid="{1C1E4CF2-8386-43ED-B43E-83816224E35E}"/>
    <cellStyle name="Normal 3 3 8 2 2" xfId="2092" xr:uid="{AD352C07-396D-4120-BD26-7AFCC5A59BAC}"/>
    <cellStyle name="Normal 3 3 8 2 2 2" xfId="5763" xr:uid="{F54C3C74-E8A5-4575-8C93-AFE50B311C57}"/>
    <cellStyle name="Normal 3 3 8 2 3" xfId="4056" xr:uid="{74F6D5C4-BE3D-4AEE-85DF-D1A8218B4EF6}"/>
    <cellStyle name="Normal 3 3 8 3" xfId="589" xr:uid="{8AB4455D-AC33-46C9-BC3F-922711449B37}"/>
    <cellStyle name="Normal 3 3 8 3 2" xfId="2310" xr:uid="{D08CF2BE-E647-4714-A52D-E6060916B598}"/>
    <cellStyle name="Normal 3 3 8 3 2 2" xfId="5981" xr:uid="{BC200E9F-480E-46EE-B3F4-86C9746152DA}"/>
    <cellStyle name="Normal 3 3 8 3 3" xfId="4262" xr:uid="{D65B455D-C92D-4545-8FF2-D6A5A51ACB0B}"/>
    <cellStyle name="Normal 3 3 8 4" xfId="807" xr:uid="{DD5CE5D4-E722-4C22-AA24-20D9D505B083}"/>
    <cellStyle name="Normal 3 3 8 4 2" xfId="2528" xr:uid="{B5395D6A-1353-46F6-9582-90C042321BEF}"/>
    <cellStyle name="Normal 3 3 8 4 2 2" xfId="6199" xr:uid="{05EB19BA-A486-437B-9940-D9BF7B6A55CD}"/>
    <cellStyle name="Normal 3 3 8 4 3" xfId="4480" xr:uid="{57EF0857-DA37-4A81-AABC-D339F66B7B36}"/>
    <cellStyle name="Normal 3 3 8 5" xfId="1025" xr:uid="{218880BD-8168-4E26-9502-A0EEA13D2008}"/>
    <cellStyle name="Normal 3 3 8 5 2" xfId="2746" xr:uid="{6026E7F5-9986-4754-8BE0-F939A573D016}"/>
    <cellStyle name="Normal 3 3 8 5 2 2" xfId="6417" xr:uid="{561D0134-12FB-40CE-86E9-3296A6C0CB95}"/>
    <cellStyle name="Normal 3 3 8 5 3" xfId="4698" xr:uid="{4AA207C7-5417-4884-9B55-B253343766C1}"/>
    <cellStyle name="Normal 3 3 8 6" xfId="1243" xr:uid="{33E973D1-DA97-4C03-A90C-669389B0A97E}"/>
    <cellStyle name="Normal 3 3 8 6 2" xfId="2964" xr:uid="{A94C4A05-8173-4794-95BE-1E98AA0F50D7}"/>
    <cellStyle name="Normal 3 3 8 6 2 2" xfId="6635" xr:uid="{8A9E51F2-AA71-46D5-A792-2B4F1E82AC5A}"/>
    <cellStyle name="Normal 3 3 8 6 3" xfId="4916" xr:uid="{3F5C6255-F41C-4984-8187-9D0AA038FA15}"/>
    <cellStyle name="Normal 3 3 8 7" xfId="1461" xr:uid="{DD0EED20-CC0F-491B-A0C6-EAC9C6522787}"/>
    <cellStyle name="Normal 3 3 8 7 2" xfId="3182" xr:uid="{626CEEA5-A97F-461F-A70F-507A326862FB}"/>
    <cellStyle name="Normal 3 3 8 7 2 2" xfId="6853" xr:uid="{5335924D-907B-4948-BDF3-75FF1AC0322A}"/>
    <cellStyle name="Normal 3 3 8 7 3" xfId="5134" xr:uid="{28A1F2E7-6AFE-4FE9-89C7-66DEAC2AE8D8}"/>
    <cellStyle name="Normal 3 3 8 8" xfId="1680" xr:uid="{C58F6931-5951-4668-B98C-C53A5ED0449D}"/>
    <cellStyle name="Normal 3 3 8 8 2" xfId="3401" xr:uid="{89B39853-4D75-4D50-A1B4-DF65109C2675}"/>
    <cellStyle name="Normal 3 3 8 8 2 2" xfId="7072" xr:uid="{E13AB572-7AEB-4C77-9551-649260FF5EB6}"/>
    <cellStyle name="Normal 3 3 8 8 3" xfId="5352" xr:uid="{5A7FC47D-52D5-4B92-95A7-62549649B494}"/>
    <cellStyle name="Normal 3 3 8 9" xfId="1900" xr:uid="{2C5E26F6-EB05-4A65-9282-0800FAA8EC4D}"/>
    <cellStyle name="Normal 3 3 8 9 2" xfId="5571" xr:uid="{B0648829-D399-4358-A266-DE1E26319CB8}"/>
    <cellStyle name="Normal 3 3 9" xfId="160" xr:uid="{8F3141EA-A6B9-4D83-ACD9-E162FBA9CA67}"/>
    <cellStyle name="Normal 3 3 9 10" xfId="3889" xr:uid="{7407CA72-670D-43BB-B6DE-F852F78E26D3}"/>
    <cellStyle name="Normal 3 3 9 2" xfId="406" xr:uid="{532630AE-5814-4183-8720-D89A60DD4F1B}"/>
    <cellStyle name="Normal 3 3 9 2 2" xfId="2105" xr:uid="{A6FE3E6A-1D32-4BB7-AC8A-018146AF9F30}"/>
    <cellStyle name="Normal 3 3 9 2 2 2" xfId="5776" xr:uid="{35878CAA-DE79-4FEE-9096-EA7107192775}"/>
    <cellStyle name="Normal 3 3 9 2 3" xfId="4069" xr:uid="{122B6B3D-1C38-4E41-92FF-7CDE97F34F81}"/>
    <cellStyle name="Normal 3 3 9 3" xfId="602" xr:uid="{9B67F405-E5C7-4F2D-8EAF-3524390B7D40}"/>
    <cellStyle name="Normal 3 3 9 3 2" xfId="2323" xr:uid="{48C864A5-EC96-4001-8F4E-65AB389447AF}"/>
    <cellStyle name="Normal 3 3 9 3 2 2" xfId="5994" xr:uid="{7FA30C52-4C52-415A-872B-5ED31819006F}"/>
    <cellStyle name="Normal 3 3 9 3 3" xfId="4275" xr:uid="{25A76DD4-D5E2-4687-8EDA-AAD3E57E29B5}"/>
    <cellStyle name="Normal 3 3 9 4" xfId="820" xr:uid="{34E2D910-EE09-42AC-B92B-45A63E427D99}"/>
    <cellStyle name="Normal 3 3 9 4 2" xfId="2541" xr:uid="{D387F992-6C38-4515-994B-0EC337668574}"/>
    <cellStyle name="Normal 3 3 9 4 2 2" xfId="6212" xr:uid="{A2B279E1-CF3F-453F-9FE5-A3CFAF3ED0CB}"/>
    <cellStyle name="Normal 3 3 9 4 3" xfId="4493" xr:uid="{8551989B-D75C-4D1D-88F1-9534C50EE88B}"/>
    <cellStyle name="Normal 3 3 9 5" xfId="1038" xr:uid="{FF5ACAA8-E30B-4DC4-8DEB-02138E605163}"/>
    <cellStyle name="Normal 3 3 9 5 2" xfId="2759" xr:uid="{922EE7CF-5744-4D2D-8DF7-5F914AFB8F3D}"/>
    <cellStyle name="Normal 3 3 9 5 2 2" xfId="6430" xr:uid="{63F47BCE-326B-42B0-B828-ED18457F91A5}"/>
    <cellStyle name="Normal 3 3 9 5 3" xfId="4711" xr:uid="{F34C9DFC-3097-4225-B22E-F650006594C7}"/>
    <cellStyle name="Normal 3 3 9 6" xfId="1256" xr:uid="{E95B921A-BFA7-4AE3-8625-9ED4DEC5D6EC}"/>
    <cellStyle name="Normal 3 3 9 6 2" xfId="2977" xr:uid="{DE722D2F-E15B-469E-95D9-4739E9731057}"/>
    <cellStyle name="Normal 3 3 9 6 2 2" xfId="6648" xr:uid="{395938A6-8D06-4E75-B681-1AA39ECEED50}"/>
    <cellStyle name="Normal 3 3 9 6 3" xfId="4929" xr:uid="{9C669D66-3228-4F05-B0F9-4EEA9195C74C}"/>
    <cellStyle name="Normal 3 3 9 7" xfId="1474" xr:uid="{F107F7C5-B25E-438D-93F7-7922C02009B2}"/>
    <cellStyle name="Normal 3 3 9 7 2" xfId="3195" xr:uid="{0FCCC8C8-CE19-4C3A-8FCB-5D6206FFA8F2}"/>
    <cellStyle name="Normal 3 3 9 7 2 2" xfId="6866" xr:uid="{499867B3-9BB0-436B-BB53-590F6EAFC713}"/>
    <cellStyle name="Normal 3 3 9 7 3" xfId="5147" xr:uid="{DDD270C5-D27D-40BD-A6B3-F78C981C4C17}"/>
    <cellStyle name="Normal 3 3 9 8" xfId="1693" xr:uid="{519BA666-00CE-4151-A978-0835F8777EB7}"/>
    <cellStyle name="Normal 3 3 9 8 2" xfId="3414" xr:uid="{D4413519-438F-4F97-8762-D1008C9830E7}"/>
    <cellStyle name="Normal 3 3 9 8 2 2" xfId="7085" xr:uid="{B92C722F-F926-4AE0-AD01-5172AA529AA7}"/>
    <cellStyle name="Normal 3 3 9 8 3" xfId="5365" xr:uid="{F9A636FD-A52D-4C92-8319-10222FF736BF}"/>
    <cellStyle name="Normal 3 3 9 9" xfId="1913" xr:uid="{80DEA991-ADAC-4564-B038-03B7FA904A6A}"/>
    <cellStyle name="Normal 3 3 9 9 2" xfId="5584" xr:uid="{D56E286E-85F4-41E8-8DA0-91EB771A9983}"/>
    <cellStyle name="Normal 3 4" xfId="63" xr:uid="{F86DD2AF-17C0-47AA-A3DD-D6AC3268AE4E}"/>
    <cellStyle name="Normal 3 4 10" xfId="3792" xr:uid="{70D9EA96-A0C5-42B6-8072-2C9C57416478}"/>
    <cellStyle name="Normal 3 4 2" xfId="309" xr:uid="{1B4E478C-D6D6-4567-9F1D-54EFD963FA54}"/>
    <cellStyle name="Normal 3 4 2 2" xfId="2008" xr:uid="{F47F2A4B-DE29-43C0-B159-335885C079EC}"/>
    <cellStyle name="Normal 3 4 2 2 2" xfId="5679" xr:uid="{54161EC3-D742-4AAE-88BE-E26199D3626F}"/>
    <cellStyle name="Normal 3 4 2 3" xfId="3639" xr:uid="{FE90AEE4-3BD8-4D9D-97EC-656C39F2C2E4}"/>
    <cellStyle name="Normal 3 4 3" xfId="505" xr:uid="{6A17F97A-6C13-4461-A50B-EE13FDD60032}"/>
    <cellStyle name="Normal 3 4 3 2" xfId="2226" xr:uid="{C52B168C-AE1B-4222-805A-43174A966F6D}"/>
    <cellStyle name="Normal 3 4 3 2 2" xfId="5897" xr:uid="{0CBED18A-FC0A-426E-B79E-DDC8397DA492}"/>
    <cellStyle name="Normal 3 4 3 3" xfId="3613" xr:uid="{FFD0D855-DE36-415A-BD89-77D318EBA460}"/>
    <cellStyle name="Normal 3 4 4" xfId="723" xr:uid="{F9B90B6A-95D8-4DC1-9461-2150C86FF983}"/>
    <cellStyle name="Normal 3 4 4 2" xfId="2444" xr:uid="{D889E7E5-3D04-47E6-84F2-728753F5CA17}"/>
    <cellStyle name="Normal 3 4 4 2 2" xfId="6115" xr:uid="{9E33F259-B769-4B81-A7DA-F12F3454F840}"/>
    <cellStyle name="Normal 3 4 4 3" xfId="4396" xr:uid="{2A8232D4-4519-4BF3-8C56-73ACB72A6612}"/>
    <cellStyle name="Normal 3 4 5" xfId="941" xr:uid="{4BE03AC7-9781-440F-9845-53A4E41211D3}"/>
    <cellStyle name="Normal 3 4 5 2" xfId="2662" xr:uid="{68BABABB-FD10-4A7C-B431-CDA8E3B59B47}"/>
    <cellStyle name="Normal 3 4 5 2 2" xfId="6333" xr:uid="{B8BC38C2-2341-4E10-8B95-78D01269745D}"/>
    <cellStyle name="Normal 3 4 5 3" xfId="4614" xr:uid="{800CDD8D-DF80-464E-896F-375E4C8D7D5A}"/>
    <cellStyle name="Normal 3 4 6" xfId="1159" xr:uid="{E3E59A06-C7C9-4D1C-AA6E-1637B6ACFE2A}"/>
    <cellStyle name="Normal 3 4 6 2" xfId="2880" xr:uid="{CC5D6840-14DA-4D93-BB5F-88CA313AA845}"/>
    <cellStyle name="Normal 3 4 6 2 2" xfId="6551" xr:uid="{FB3F3619-866E-4887-BB79-F330475D9388}"/>
    <cellStyle name="Normal 3 4 6 3" xfId="4832" xr:uid="{BEEB63D2-1D66-4497-B7AD-F1C50EBCAD80}"/>
    <cellStyle name="Normal 3 4 7" xfId="1377" xr:uid="{E62C58F8-D0AC-4E84-953B-20D6FD73AC98}"/>
    <cellStyle name="Normal 3 4 7 2" xfId="3098" xr:uid="{18167BE9-5EB3-457C-B479-2BD3C3887902}"/>
    <cellStyle name="Normal 3 4 7 2 2" xfId="6769" xr:uid="{073A4416-7442-448E-9821-E60F069837B4}"/>
    <cellStyle name="Normal 3 4 7 3" xfId="5050" xr:uid="{1DED0CB5-89BB-4173-A791-C307F1C1CFCF}"/>
    <cellStyle name="Normal 3 4 8" xfId="1596" xr:uid="{B408AA9F-3AFD-42E5-A1C7-098E1EEC668B}"/>
    <cellStyle name="Normal 3 4 8 2" xfId="3317" xr:uid="{2CE46E75-0124-4915-BFF2-95E0FDB29D42}"/>
    <cellStyle name="Normal 3 4 8 2 2" xfId="6988" xr:uid="{7D1091FA-B29B-4E04-B35D-E1940A893147}"/>
    <cellStyle name="Normal 3 4 8 3" xfId="5268" xr:uid="{6672204F-000B-493F-9FAE-E451DF847D45}"/>
    <cellStyle name="Normal 3 4 9" xfId="1816" xr:uid="{8DBBF023-09FE-4267-A6CD-D548306E1F57}"/>
    <cellStyle name="Normal 3 4 9 2" xfId="5487" xr:uid="{AC42D838-B54B-4DE7-8C5E-9B59EA08CB0F}"/>
    <cellStyle name="Normal 3 5" xfId="76" xr:uid="{B6F450E7-C502-453E-9A04-AACEBEF7FFD7}"/>
    <cellStyle name="Normal 3 5 10" xfId="3805" xr:uid="{08FB06C8-865A-4863-868C-8511BFB2AA9C}"/>
    <cellStyle name="Normal 3 5 2" xfId="322" xr:uid="{FEF91CCE-8CBA-4C01-B8B1-BF8C43B641E2}"/>
    <cellStyle name="Normal 3 5 2 2" xfId="2021" xr:uid="{43BDA387-A068-4ACB-A933-88D078D7535D}"/>
    <cellStyle name="Normal 3 5 2 2 2" xfId="5692" xr:uid="{F7FDAAB8-0712-4A02-B5ED-21FBC582A017}"/>
    <cellStyle name="Normal 3 5 2 3" xfId="3991" xr:uid="{F15A82F3-2B07-49F1-B203-DD6BE9798669}"/>
    <cellStyle name="Normal 3 5 3" xfId="518" xr:uid="{7021D060-EB8C-4B6D-94F7-8CB8912707FD}"/>
    <cellStyle name="Normal 3 5 3 2" xfId="2239" xr:uid="{278C95FC-76CF-4082-8C3A-09ED4DF660FF}"/>
    <cellStyle name="Normal 3 5 3 2 2" xfId="5910" xr:uid="{93A50801-AD8A-440E-9223-6A7E7AF6D4B4}"/>
    <cellStyle name="Normal 3 5 3 3" xfId="4197" xr:uid="{A84B22DF-CA25-4BF2-81C0-76449CBAECE3}"/>
    <cellStyle name="Normal 3 5 4" xfId="736" xr:uid="{1F132975-82B9-44CA-A8FF-F39CFDA9A27F}"/>
    <cellStyle name="Normal 3 5 4 2" xfId="2457" xr:uid="{88908D80-7C45-4C73-B8A9-C59A779E020F}"/>
    <cellStyle name="Normal 3 5 4 2 2" xfId="6128" xr:uid="{71219713-0B97-42FB-AF23-7C03E97940C5}"/>
    <cellStyle name="Normal 3 5 4 3" xfId="4409" xr:uid="{92A3295F-9C11-4B7D-8AA5-4D83F6BB7FEB}"/>
    <cellStyle name="Normal 3 5 5" xfId="954" xr:uid="{203A3C9C-FFC9-4C96-BEEA-648670F5FE18}"/>
    <cellStyle name="Normal 3 5 5 2" xfId="2675" xr:uid="{0D9B9D35-A7F3-433D-86C0-ABF54E0785BD}"/>
    <cellStyle name="Normal 3 5 5 2 2" xfId="6346" xr:uid="{DD3281ED-B98F-45F0-8DBF-35BC912F6C73}"/>
    <cellStyle name="Normal 3 5 5 3" xfId="4627" xr:uid="{23AA9811-946F-4A4D-9864-8751D722EBFC}"/>
    <cellStyle name="Normal 3 5 6" xfId="1172" xr:uid="{9BB60B0E-7D49-41DE-845E-7FA1167B778C}"/>
    <cellStyle name="Normal 3 5 6 2" xfId="2893" xr:uid="{ED7010C7-9350-4267-9389-1A45F9BD891F}"/>
    <cellStyle name="Normal 3 5 6 2 2" xfId="6564" xr:uid="{E70CCB1E-4C1F-443D-BE0B-572E3806400A}"/>
    <cellStyle name="Normal 3 5 6 3" xfId="4845" xr:uid="{F2CE9926-49F3-4012-B915-693A2FC421F5}"/>
    <cellStyle name="Normal 3 5 7" xfId="1390" xr:uid="{AB46B0B6-97BE-432D-AAD3-D40AB4ED27E3}"/>
    <cellStyle name="Normal 3 5 7 2" xfId="3111" xr:uid="{8077DD56-D0B0-40E8-A908-F1843D23B5AD}"/>
    <cellStyle name="Normal 3 5 7 2 2" xfId="6782" xr:uid="{76EB472C-1D9B-4A61-A6BA-711EB0CB65C2}"/>
    <cellStyle name="Normal 3 5 7 3" xfId="5063" xr:uid="{18EED7F9-5FEA-4AA2-AE67-AFFF31CA782B}"/>
    <cellStyle name="Normal 3 5 8" xfId="1609" xr:uid="{A934D9B0-5ADA-4635-BCFC-D0C8CA54EBAA}"/>
    <cellStyle name="Normal 3 5 8 2" xfId="3330" xr:uid="{092F072F-3ECB-4A3C-8EE0-F0148849A855}"/>
    <cellStyle name="Normal 3 5 8 2 2" xfId="7001" xr:uid="{426D8D72-E54D-4FB4-8689-3502778AED57}"/>
    <cellStyle name="Normal 3 5 8 3" xfId="5281" xr:uid="{5FC253EE-17C3-4520-87B1-E155B7B4ADC2}"/>
    <cellStyle name="Normal 3 5 9" xfId="1829" xr:uid="{3252F75A-A746-445D-9B22-67FA2A0A458A}"/>
    <cellStyle name="Normal 3 5 9 2" xfId="5500" xr:uid="{D0DA009B-E8FD-4286-BC6F-6AB839AB6DDD}"/>
    <cellStyle name="Normal 3 6" xfId="89" xr:uid="{456665F9-CD8A-405B-92CA-EC7C7D5DCB5F}"/>
    <cellStyle name="Normal 3 6 10" xfId="3818" xr:uid="{6056B241-3D77-4981-B253-FFA280C5B88A}"/>
    <cellStyle name="Normal 3 6 2" xfId="335" xr:uid="{2B776C14-D805-4EE9-82E9-410684841627}"/>
    <cellStyle name="Normal 3 6 2 2" xfId="2034" xr:uid="{187BB9DC-53FD-4C82-B1D5-E7A5EFAE71D1}"/>
    <cellStyle name="Normal 3 6 2 2 2" xfId="5705" xr:uid="{49974710-3E1F-4F25-A4B1-C1020F75579F}"/>
    <cellStyle name="Normal 3 6 2 3" xfId="4000" xr:uid="{CF75FFBF-BF3A-4A35-AD4B-AE26C404EE25}"/>
    <cellStyle name="Normal 3 6 3" xfId="531" xr:uid="{7E0368C7-863E-49F3-B1B9-CE0EF97AC07E}"/>
    <cellStyle name="Normal 3 6 3 2" xfId="2252" xr:uid="{C5ABD4A3-8E26-4D78-89C1-A49E53823F93}"/>
    <cellStyle name="Normal 3 6 3 2 2" xfId="5923" xr:uid="{FC90DDB6-F180-4DF8-869A-DF6EFF30CE5A}"/>
    <cellStyle name="Normal 3 6 3 3" xfId="4206" xr:uid="{E00A2331-AA8F-4147-BC63-C3226877FF77}"/>
    <cellStyle name="Normal 3 6 4" xfId="749" xr:uid="{FF766640-DDB1-4058-B635-D5B868CCE2EC}"/>
    <cellStyle name="Normal 3 6 4 2" xfId="2470" xr:uid="{78A4AC2C-AE30-4B0C-84BC-AFCE1251E9ED}"/>
    <cellStyle name="Normal 3 6 4 2 2" xfId="6141" xr:uid="{FC64E23E-28EF-4F7E-88CC-6F1DD43C1AC3}"/>
    <cellStyle name="Normal 3 6 4 3" xfId="4422" xr:uid="{41C90C83-6631-47E5-8955-5304E6A37AF8}"/>
    <cellStyle name="Normal 3 6 5" xfId="967" xr:uid="{913A6679-3DDB-4B1D-8F52-B73A983C4477}"/>
    <cellStyle name="Normal 3 6 5 2" xfId="2688" xr:uid="{0BB9B480-C071-45C9-B11D-29D551EE13B4}"/>
    <cellStyle name="Normal 3 6 5 2 2" xfId="6359" xr:uid="{7A38379E-5800-45C3-AC96-7F27272DFD10}"/>
    <cellStyle name="Normal 3 6 5 3" xfId="4640" xr:uid="{5B3A761D-121E-4317-BF46-038AA2E78177}"/>
    <cellStyle name="Normal 3 6 6" xfId="1185" xr:uid="{38AD5845-0D06-4327-B927-886C78B7592D}"/>
    <cellStyle name="Normal 3 6 6 2" xfId="2906" xr:uid="{F0428748-CA92-495F-9682-8B71BD8E0530}"/>
    <cellStyle name="Normal 3 6 6 2 2" xfId="6577" xr:uid="{C6246173-D374-428A-AB82-1443D710789F}"/>
    <cellStyle name="Normal 3 6 6 3" xfId="4858" xr:uid="{973E49A3-2F07-433E-B033-3FE6AB647194}"/>
    <cellStyle name="Normal 3 6 7" xfId="1403" xr:uid="{FF9CF0EB-2BBC-4E1F-A167-9B5AEBA5ABA1}"/>
    <cellStyle name="Normal 3 6 7 2" xfId="3124" xr:uid="{CF064792-E27B-49A0-8CAF-94D54EEA6AF5}"/>
    <cellStyle name="Normal 3 6 7 2 2" xfId="6795" xr:uid="{7F7DA3E3-0B65-4C53-BF07-6949EC7F74E1}"/>
    <cellStyle name="Normal 3 6 7 3" xfId="5076" xr:uid="{A5D6A30A-2C7F-4DC2-B1A8-4030D0895E68}"/>
    <cellStyle name="Normal 3 6 8" xfId="1622" xr:uid="{D14DD49D-3BFC-435F-B3E0-CD672B4CC8B6}"/>
    <cellStyle name="Normal 3 6 8 2" xfId="3343" xr:uid="{BC7F8C57-250C-4F97-811B-D1B4B5C9FB2F}"/>
    <cellStyle name="Normal 3 6 8 2 2" xfId="7014" xr:uid="{53B0176E-DB1B-487F-8911-8E408F4CFA60}"/>
    <cellStyle name="Normal 3 6 8 3" xfId="5294" xr:uid="{BC37955A-3A1C-4CD0-A001-C1BF47C50410}"/>
    <cellStyle name="Normal 3 6 9" xfId="1842" xr:uid="{F46F9206-31E0-49E1-BED7-D9F46B8AA0DF}"/>
    <cellStyle name="Normal 3 6 9 2" xfId="5513" xr:uid="{B9489769-BFC2-41B7-8E12-896200283071}"/>
    <cellStyle name="Normal 3 7" xfId="102" xr:uid="{30C54D37-0170-48A6-A534-B53DFB52E51B}"/>
    <cellStyle name="Normal 3 7 10" xfId="3831" xr:uid="{A4E19EDE-D80E-44B7-B17D-BAA970CA8FB9}"/>
    <cellStyle name="Normal 3 7 2" xfId="348" xr:uid="{0C38CBA9-0437-4C71-976D-1BABBCBBE5B6}"/>
    <cellStyle name="Normal 3 7 2 2" xfId="2047" xr:uid="{23A1442D-83B4-4CEF-9396-6B4CC05456D1}"/>
    <cellStyle name="Normal 3 7 2 2 2" xfId="5718" xr:uid="{38B2AFBA-BE8A-4339-AC2A-F54040F1AC98}"/>
    <cellStyle name="Normal 3 7 2 3" xfId="4011" xr:uid="{77AA63E6-2100-4E03-B83C-7AB0D1D42763}"/>
    <cellStyle name="Normal 3 7 3" xfId="544" xr:uid="{0E34D847-B466-41BF-87BE-6CFC0B3A1BCB}"/>
    <cellStyle name="Normal 3 7 3 2" xfId="2265" xr:uid="{799972E0-22C5-481F-A9BF-05802BF6E5C1}"/>
    <cellStyle name="Normal 3 7 3 2 2" xfId="5936" xr:uid="{410E9A60-3549-4FA1-B3F0-9264F3710175}"/>
    <cellStyle name="Normal 3 7 3 3" xfId="4217" xr:uid="{F9921992-212B-432E-B651-8ECCCB716B84}"/>
    <cellStyle name="Normal 3 7 4" xfId="762" xr:uid="{A2DA8D83-81CB-4713-A992-2D92058187A2}"/>
    <cellStyle name="Normal 3 7 4 2" xfId="2483" xr:uid="{8EB038E2-E04A-4EFE-A62A-834D0DAF7C55}"/>
    <cellStyle name="Normal 3 7 4 2 2" xfId="6154" xr:uid="{37E85D6A-906B-4B33-84BE-ED8310407B20}"/>
    <cellStyle name="Normal 3 7 4 3" xfId="4435" xr:uid="{8E1929BA-750D-4BF9-A108-D72548559A6B}"/>
    <cellStyle name="Normal 3 7 5" xfId="980" xr:uid="{63ABD713-DCD4-42CE-BF87-06BDFD452ADF}"/>
    <cellStyle name="Normal 3 7 5 2" xfId="2701" xr:uid="{525E575B-6475-4AAA-A24D-F09CA8EDA23E}"/>
    <cellStyle name="Normal 3 7 5 2 2" xfId="6372" xr:uid="{F6A54106-CC5E-4CE5-9D12-247AEFA2AB23}"/>
    <cellStyle name="Normal 3 7 5 3" xfId="4653" xr:uid="{8EF38FA9-F4FC-48BD-BF33-EFE101616BD8}"/>
    <cellStyle name="Normal 3 7 6" xfId="1198" xr:uid="{FD399946-39EC-4E29-BF79-1DDB156E7C5D}"/>
    <cellStyle name="Normal 3 7 6 2" xfId="2919" xr:uid="{FADC236E-D9C0-4A93-8413-EEDC3BD74942}"/>
    <cellStyle name="Normal 3 7 6 2 2" xfId="6590" xr:uid="{8AD9E166-54BB-4D7B-8019-A323532F12CA}"/>
    <cellStyle name="Normal 3 7 6 3" xfId="4871" xr:uid="{E7271B73-14B2-4288-9254-B7EB2F718A84}"/>
    <cellStyle name="Normal 3 7 7" xfId="1416" xr:uid="{B6D1C3F6-2C8F-4D3C-9C11-9947EA99A30A}"/>
    <cellStyle name="Normal 3 7 7 2" xfId="3137" xr:uid="{054681D1-192D-44B2-A64C-B21F947978F2}"/>
    <cellStyle name="Normal 3 7 7 2 2" xfId="6808" xr:uid="{80274236-8741-4CD6-8173-3E3443F0A50A}"/>
    <cellStyle name="Normal 3 7 7 3" xfId="5089" xr:uid="{1E57210B-4C61-4160-95CC-60DF845ACA82}"/>
    <cellStyle name="Normal 3 7 8" xfId="1635" xr:uid="{CC896B75-8402-409F-A0D3-3645550D6C9C}"/>
    <cellStyle name="Normal 3 7 8 2" xfId="3356" xr:uid="{76157F74-98E1-4489-B377-165BED45F46B}"/>
    <cellStyle name="Normal 3 7 8 2 2" xfId="7027" xr:uid="{11AAD884-88DE-4BF7-80A8-5C3587B90CCE}"/>
    <cellStyle name="Normal 3 7 8 3" xfId="5307" xr:uid="{ED545A89-A683-4259-8835-47D9449370EB}"/>
    <cellStyle name="Normal 3 7 9" xfId="1855" xr:uid="{33DBDB7D-48D3-43C8-8A49-4F076E493AEC}"/>
    <cellStyle name="Normal 3 7 9 2" xfId="5526" xr:uid="{09192C6D-061A-4505-80E0-70AF23DBD64B}"/>
    <cellStyle name="Normal 3 8" xfId="115" xr:uid="{19A5AA99-8843-4BD5-B906-B0B68E591134}"/>
    <cellStyle name="Normal 3 8 10" xfId="3844" xr:uid="{FB37E5E4-962B-4DCD-80A1-B8FB6FF15071}"/>
    <cellStyle name="Normal 3 8 2" xfId="361" xr:uid="{3715CA5C-4354-4945-8F18-4EE2F4F842D4}"/>
    <cellStyle name="Normal 3 8 2 2" xfId="2060" xr:uid="{D617271E-7059-414E-A502-E91BAFDFEFB2}"/>
    <cellStyle name="Normal 3 8 2 2 2" xfId="5731" xr:uid="{BAE9E345-4B79-4452-BAA6-EBD29BBCB33D}"/>
    <cellStyle name="Normal 3 8 2 3" xfId="4024" xr:uid="{8B593B27-A88E-4252-A70B-45F935794469}"/>
    <cellStyle name="Normal 3 8 3" xfId="557" xr:uid="{FAFF39A7-F6EE-40CB-A5FE-D6CC8DB7A4FC}"/>
    <cellStyle name="Normal 3 8 3 2" xfId="2278" xr:uid="{48CBBCEC-DD36-4705-A1DC-B54FFC1E15ED}"/>
    <cellStyle name="Normal 3 8 3 2 2" xfId="5949" xr:uid="{76385C56-4734-48C0-8730-3A3CD0ABFB57}"/>
    <cellStyle name="Normal 3 8 3 3" xfId="4230" xr:uid="{ADB20AFA-7007-4D07-8631-8DA72A0570F2}"/>
    <cellStyle name="Normal 3 8 4" xfId="775" xr:uid="{4FD8AE9F-BF1C-46DC-9AB3-C918092C6838}"/>
    <cellStyle name="Normal 3 8 4 2" xfId="2496" xr:uid="{34EE7C94-2A2F-4F26-A904-607342565306}"/>
    <cellStyle name="Normal 3 8 4 2 2" xfId="6167" xr:uid="{5C6884C3-6F18-4C32-B31D-C3EA13BC96A7}"/>
    <cellStyle name="Normal 3 8 4 3" xfId="4448" xr:uid="{DA1742B7-2DBE-4AF6-8489-10818696726C}"/>
    <cellStyle name="Normal 3 8 5" xfId="993" xr:uid="{AFD9200B-DFF5-4AAF-89A5-3CA67838B7FB}"/>
    <cellStyle name="Normal 3 8 5 2" xfId="2714" xr:uid="{9B59992D-9ACC-4152-BA8C-078466E5399A}"/>
    <cellStyle name="Normal 3 8 5 2 2" xfId="6385" xr:uid="{ED96262F-FEE9-4EAB-B050-7DFECFBE5CDD}"/>
    <cellStyle name="Normal 3 8 5 3" xfId="4666" xr:uid="{E6180C8F-8879-4AF6-AC59-83378AD30956}"/>
    <cellStyle name="Normal 3 8 6" xfId="1211" xr:uid="{461B87CD-5E78-4E26-B123-00A3B674CD42}"/>
    <cellStyle name="Normal 3 8 6 2" xfId="2932" xr:uid="{E17046E6-9987-45A7-8B0C-3042A2E2469C}"/>
    <cellStyle name="Normal 3 8 6 2 2" xfId="6603" xr:uid="{EA3E96E0-F86D-4EEB-8297-392FDF79B0EC}"/>
    <cellStyle name="Normal 3 8 6 3" xfId="4884" xr:uid="{8BA173C5-36F7-4088-B562-27E743FDC59A}"/>
    <cellStyle name="Normal 3 8 7" xfId="1429" xr:uid="{CCE6BBB1-4C15-4A64-8C12-CAE6897CE28B}"/>
    <cellStyle name="Normal 3 8 7 2" xfId="3150" xr:uid="{D1B4EE01-B896-48D1-85ED-26F663C13230}"/>
    <cellStyle name="Normal 3 8 7 2 2" xfId="6821" xr:uid="{713F3682-8C77-4906-A335-7F8B1C50B101}"/>
    <cellStyle name="Normal 3 8 7 3" xfId="5102" xr:uid="{C8165E61-58B6-4FD8-AA8D-79C4D0DB5B29}"/>
    <cellStyle name="Normal 3 8 8" xfId="1648" xr:uid="{2782E09F-A8D3-445E-95BA-546B908B89BF}"/>
    <cellStyle name="Normal 3 8 8 2" xfId="3369" xr:uid="{4735A6C7-6A81-4ADB-9BF0-964F21BB2FF0}"/>
    <cellStyle name="Normal 3 8 8 2 2" xfId="7040" xr:uid="{D39CDCEF-CA79-41BF-AB5B-5F8672B62CE9}"/>
    <cellStyle name="Normal 3 8 8 3" xfId="5320" xr:uid="{37AAB4AA-2253-4014-BCCC-6178F35F0CE0}"/>
    <cellStyle name="Normal 3 8 9" xfId="1868" xr:uid="{73C9374C-1897-4845-8B6B-E80E32DAD0D7}"/>
    <cellStyle name="Normal 3 8 9 2" xfId="5539" xr:uid="{F416FAA4-1BA7-4177-997E-6E9E6007ED60}"/>
    <cellStyle name="Normal 3 9" xfId="128" xr:uid="{6C6535EA-B253-4A77-B977-AC23849EC77B}"/>
    <cellStyle name="Normal 3 9 10" xfId="3857" xr:uid="{9B41375A-AB2D-4AB9-9F8D-7A4CD405C047}"/>
    <cellStyle name="Normal 3 9 2" xfId="374" xr:uid="{7C827BD2-737A-4F9E-A66C-28FC5ADB9E88}"/>
    <cellStyle name="Normal 3 9 2 2" xfId="2073" xr:uid="{3166C775-5472-4156-8590-34B65B8B5BF6}"/>
    <cellStyle name="Normal 3 9 2 2 2" xfId="5744" xr:uid="{19D6E45B-9B70-451D-BA7A-9658735D7470}"/>
    <cellStyle name="Normal 3 9 2 3" xfId="4037" xr:uid="{DC715AAF-99BC-4486-8F8B-27621098DA5B}"/>
    <cellStyle name="Normal 3 9 3" xfId="570" xr:uid="{A7605490-E350-4581-80EF-63F1957715D6}"/>
    <cellStyle name="Normal 3 9 3 2" xfId="2291" xr:uid="{9E73CABB-0E14-484E-A2C3-9C7F33E9CDAB}"/>
    <cellStyle name="Normal 3 9 3 2 2" xfId="5962" xr:uid="{10AC1DE5-CA52-4693-A9B3-1277BA59D113}"/>
    <cellStyle name="Normal 3 9 3 3" xfId="4243" xr:uid="{97DA43BB-05B0-4670-9658-50D7AD4C975D}"/>
    <cellStyle name="Normal 3 9 4" xfId="788" xr:uid="{DDF5D7D8-3330-4EE3-8449-7B0FF5B4D5D0}"/>
    <cellStyle name="Normal 3 9 4 2" xfId="2509" xr:uid="{33BBC527-CA38-44F7-92F1-A1B7F415164A}"/>
    <cellStyle name="Normal 3 9 4 2 2" xfId="6180" xr:uid="{330F479B-9A5E-4BA8-BAC5-E742CA3EDA47}"/>
    <cellStyle name="Normal 3 9 4 3" xfId="4461" xr:uid="{45161679-95A2-4E2E-91C9-A46FA7DD0A6C}"/>
    <cellStyle name="Normal 3 9 5" xfId="1006" xr:uid="{F29593FC-04BA-4010-8A1E-A67A2FC8E043}"/>
    <cellStyle name="Normal 3 9 5 2" xfId="2727" xr:uid="{8884E701-602D-40E9-811F-3FCB60794253}"/>
    <cellStyle name="Normal 3 9 5 2 2" xfId="6398" xr:uid="{84BC11CE-6661-435E-99CA-6ABD551DA901}"/>
    <cellStyle name="Normal 3 9 5 3" xfId="4679" xr:uid="{DFB5F8EE-0AC9-47A0-A313-D3BE854A8173}"/>
    <cellStyle name="Normal 3 9 6" xfId="1224" xr:uid="{480EB4B6-0AD5-4960-9088-E5215E9029FB}"/>
    <cellStyle name="Normal 3 9 6 2" xfId="2945" xr:uid="{FDB91869-8D64-4616-8B6B-86132A7C1B4C}"/>
    <cellStyle name="Normal 3 9 6 2 2" xfId="6616" xr:uid="{00305545-482A-4B50-ACAF-8F26C9D98EF6}"/>
    <cellStyle name="Normal 3 9 6 3" xfId="4897" xr:uid="{1ECB1E29-0250-4106-B2BD-25AE02275CC1}"/>
    <cellStyle name="Normal 3 9 7" xfId="1442" xr:uid="{3526E598-8861-43E9-BAB7-A572EA72928C}"/>
    <cellStyle name="Normal 3 9 7 2" xfId="3163" xr:uid="{EB7D727F-9DB1-4F0D-874E-C7F258F600D3}"/>
    <cellStyle name="Normal 3 9 7 2 2" xfId="6834" xr:uid="{2A122E37-8C00-4FE4-9CEE-3A9995690A62}"/>
    <cellStyle name="Normal 3 9 7 3" xfId="5115" xr:uid="{A41D9862-567B-425A-BAA6-424F06E1CE82}"/>
    <cellStyle name="Normal 3 9 8" xfId="1661" xr:uid="{6AD91E2B-16D1-45AD-B774-7BDA4E5360CE}"/>
    <cellStyle name="Normal 3 9 8 2" xfId="3382" xr:uid="{DA310BEA-A769-457F-895E-E23F37F2E65E}"/>
    <cellStyle name="Normal 3 9 8 2 2" xfId="7053" xr:uid="{8DE9AFF5-AA25-44DA-97B6-851D70878D48}"/>
    <cellStyle name="Normal 3 9 8 3" xfId="5333" xr:uid="{C5710305-9A93-496E-A486-634CA8AF78A5}"/>
    <cellStyle name="Normal 3 9 9" xfId="1881" xr:uid="{428F615D-AD25-47BD-A9F9-BDAD9CECB0ED}"/>
    <cellStyle name="Normal 3 9 9 2" xfId="5552" xr:uid="{0E876D24-F809-4EEA-BB94-5373A5BD6BEB}"/>
    <cellStyle name="Normal 4" xfId="46" xr:uid="{0ECAED5A-513C-44F1-8291-7D4A7ED4265F}"/>
    <cellStyle name="Normal 4 10" xfId="142" xr:uid="{BB30947B-FB95-4B52-AFE6-A1E03F221020}"/>
    <cellStyle name="Normal 4 10 10" xfId="3871" xr:uid="{732D4C70-E545-45B6-8212-79C953DB6FE9}"/>
    <cellStyle name="Normal 4 10 2" xfId="388" xr:uid="{576660DF-0B92-4C61-ADCA-EAFAE881E344}"/>
    <cellStyle name="Normal 4 10 2 2" xfId="2087" xr:uid="{3206E4BE-414F-4694-929F-539760E274D6}"/>
    <cellStyle name="Normal 4 10 2 2 2" xfId="5758" xr:uid="{21B0101C-6CCC-4258-AAC4-857B7F015CF6}"/>
    <cellStyle name="Normal 4 10 2 3" xfId="4051" xr:uid="{DF725783-6DD1-4432-8B5B-64F4AF66C7A3}"/>
    <cellStyle name="Normal 4 10 3" xfId="584" xr:uid="{441B5846-A473-4882-A46A-2E1950827FCE}"/>
    <cellStyle name="Normal 4 10 3 2" xfId="2305" xr:uid="{77F95928-1311-4A5D-BEBC-1DC3411154A3}"/>
    <cellStyle name="Normal 4 10 3 2 2" xfId="5976" xr:uid="{D23A8A50-E429-4B39-9AAA-2A04A0E96E0B}"/>
    <cellStyle name="Normal 4 10 3 3" xfId="4257" xr:uid="{33D622E7-6406-46A8-986C-228BEA6DA685}"/>
    <cellStyle name="Normal 4 10 4" xfId="802" xr:uid="{FB3618F3-5059-4F2A-8DDE-E21AF8467859}"/>
    <cellStyle name="Normal 4 10 4 2" xfId="2523" xr:uid="{AED6BC2B-92EE-4FD9-AF16-27D56E2AA54B}"/>
    <cellStyle name="Normal 4 10 4 2 2" xfId="6194" xr:uid="{5691245C-2930-43C2-9602-1A92A4AD47A6}"/>
    <cellStyle name="Normal 4 10 4 3" xfId="4475" xr:uid="{3809A57A-E146-496E-8515-C7188DE7A46B}"/>
    <cellStyle name="Normal 4 10 5" xfId="1020" xr:uid="{151B160C-986F-4A83-B09E-1B6674C6C7C1}"/>
    <cellStyle name="Normal 4 10 5 2" xfId="2741" xr:uid="{8987E0FB-A880-4ABC-B7C7-9C866A14647F}"/>
    <cellStyle name="Normal 4 10 5 2 2" xfId="6412" xr:uid="{4A3F0AC8-7CA8-4C44-A201-1949B4FEA63D}"/>
    <cellStyle name="Normal 4 10 5 3" xfId="4693" xr:uid="{414A69F5-10E3-424E-A0DC-1C83547AB525}"/>
    <cellStyle name="Normal 4 10 6" xfId="1238" xr:uid="{C841DCCB-7197-431D-BCDF-BC0FB322EE91}"/>
    <cellStyle name="Normal 4 10 6 2" xfId="2959" xr:uid="{81581429-C78D-4531-B2CF-6FBDBF46A322}"/>
    <cellStyle name="Normal 4 10 6 2 2" xfId="6630" xr:uid="{F582BFBF-745F-4707-BCED-21CE5A62CAE3}"/>
    <cellStyle name="Normal 4 10 6 3" xfId="4911" xr:uid="{76C55F6B-913F-413A-A3AC-046BAD0960C1}"/>
    <cellStyle name="Normal 4 10 7" xfId="1456" xr:uid="{82894FB8-F083-4375-8D5F-C89B432CED39}"/>
    <cellStyle name="Normal 4 10 7 2" xfId="3177" xr:uid="{2F76349F-C589-490C-A313-1B59C4EE0698}"/>
    <cellStyle name="Normal 4 10 7 2 2" xfId="6848" xr:uid="{15EA4C75-ADF7-4C82-9461-412BBBE1900C}"/>
    <cellStyle name="Normal 4 10 7 3" xfId="5129" xr:uid="{71153F68-457A-4D34-9D87-A19414608EAD}"/>
    <cellStyle name="Normal 4 10 8" xfId="1675" xr:uid="{586797CC-870A-4CB9-9323-ADB8F37F7A40}"/>
    <cellStyle name="Normal 4 10 8 2" xfId="3396" xr:uid="{6BD3E638-B452-4E6F-8809-069555949A0B}"/>
    <cellStyle name="Normal 4 10 8 2 2" xfId="7067" xr:uid="{C2C8C8B6-1251-4933-99B7-FE36ACF77C59}"/>
    <cellStyle name="Normal 4 10 8 3" xfId="5347" xr:uid="{4877C66F-844F-457F-8814-C623BEA0B7BC}"/>
    <cellStyle name="Normal 4 10 9" xfId="1895" xr:uid="{C0E70154-6506-4F4C-AC5A-6F7303015354}"/>
    <cellStyle name="Normal 4 10 9 2" xfId="5566" xr:uid="{AD5C6C66-149A-4274-99F5-F4F63E025194}"/>
    <cellStyle name="Normal 4 11" xfId="155" xr:uid="{28F5931E-D8A6-4984-95E6-D1FAE7020F68}"/>
    <cellStyle name="Normal 4 11 10" xfId="3884" xr:uid="{2A7FC05E-760F-46FC-A81E-7FA7FC659F95}"/>
    <cellStyle name="Normal 4 11 2" xfId="401" xr:uid="{D6134FC1-56D5-4D68-8D97-942309DABD74}"/>
    <cellStyle name="Normal 4 11 2 2" xfId="2100" xr:uid="{D3C8DE0C-DB84-49E5-9507-A5027BC56E02}"/>
    <cellStyle name="Normal 4 11 2 2 2" xfId="5771" xr:uid="{2A6CBCC6-92A3-4811-971B-A7D9DFDF7F02}"/>
    <cellStyle name="Normal 4 11 2 3" xfId="4064" xr:uid="{8BC07215-CC35-438C-8C3E-6D0465787186}"/>
    <cellStyle name="Normal 4 11 3" xfId="597" xr:uid="{B7ED9ED5-EE2D-469F-913F-956CCCAB5140}"/>
    <cellStyle name="Normal 4 11 3 2" xfId="2318" xr:uid="{5BF992D6-0D7E-4F7F-9BD5-5912C9D67F4B}"/>
    <cellStyle name="Normal 4 11 3 2 2" xfId="5989" xr:uid="{5795B4C8-D90A-4A70-89D7-94F500E74257}"/>
    <cellStyle name="Normal 4 11 3 3" xfId="4270" xr:uid="{1A2BA3D7-1000-451C-9573-D44BCB13CFD7}"/>
    <cellStyle name="Normal 4 11 4" xfId="815" xr:uid="{5FB6EDDF-AE0E-4D24-BEEE-FB86A0C7A9BE}"/>
    <cellStyle name="Normal 4 11 4 2" xfId="2536" xr:uid="{CBDCABE1-07A6-4866-86AA-94A61196DC9B}"/>
    <cellStyle name="Normal 4 11 4 2 2" xfId="6207" xr:uid="{AB929DA5-D1CB-4D90-965B-6C6C9D1F1B77}"/>
    <cellStyle name="Normal 4 11 4 3" xfId="4488" xr:uid="{F3872234-7859-46CA-AE4E-DB0F2C3DFE65}"/>
    <cellStyle name="Normal 4 11 5" xfId="1033" xr:uid="{66C0B63D-043B-4295-BC8F-3CEDC1267534}"/>
    <cellStyle name="Normal 4 11 5 2" xfId="2754" xr:uid="{EBC73BA9-7DF9-4E41-BC19-48E0FB3F318C}"/>
    <cellStyle name="Normal 4 11 5 2 2" xfId="6425" xr:uid="{2CDB6330-7285-4732-83A8-C01336955D47}"/>
    <cellStyle name="Normal 4 11 5 3" xfId="4706" xr:uid="{C854A58F-8B78-4123-BF54-76C0993C9720}"/>
    <cellStyle name="Normal 4 11 6" xfId="1251" xr:uid="{4773545C-F583-46F9-AE47-3C91E053CEBE}"/>
    <cellStyle name="Normal 4 11 6 2" xfId="2972" xr:uid="{692C3C0C-08AA-47B1-9C9E-FB2F00693062}"/>
    <cellStyle name="Normal 4 11 6 2 2" xfId="6643" xr:uid="{EFABBD92-83F3-4337-AA9D-DC6DF74D3154}"/>
    <cellStyle name="Normal 4 11 6 3" xfId="4924" xr:uid="{D2BDEEBA-433B-4C6D-9F63-A6FB2A65419A}"/>
    <cellStyle name="Normal 4 11 7" xfId="1469" xr:uid="{DFB89223-BA1A-4618-8CE3-F1800FFD10DC}"/>
    <cellStyle name="Normal 4 11 7 2" xfId="3190" xr:uid="{C64A0D51-3153-4093-9140-C4784B9511B5}"/>
    <cellStyle name="Normal 4 11 7 2 2" xfId="6861" xr:uid="{E1093D80-1ED6-416B-98F8-50595DE3E6C1}"/>
    <cellStyle name="Normal 4 11 7 3" xfId="5142" xr:uid="{2A17656A-5E38-4108-AAFE-F7B0B4E05CDA}"/>
    <cellStyle name="Normal 4 11 8" xfId="1688" xr:uid="{7034A3EE-0D46-40D4-AE5D-6FD3B5BD507B}"/>
    <cellStyle name="Normal 4 11 8 2" xfId="3409" xr:uid="{CF6C2722-079A-4A3C-B93B-34B2BF30D9FE}"/>
    <cellStyle name="Normal 4 11 8 2 2" xfId="7080" xr:uid="{41E1EA47-BAF0-4869-AA69-AE2F96632E36}"/>
    <cellStyle name="Normal 4 11 8 3" xfId="5360" xr:uid="{FCD595E0-2CAB-4D83-8FFD-D46D4C94C41F}"/>
    <cellStyle name="Normal 4 11 9" xfId="1908" xr:uid="{64C79683-3730-481D-8E13-694A0DC977FA}"/>
    <cellStyle name="Normal 4 11 9 2" xfId="5579" xr:uid="{E1D17389-D058-4073-9A95-728AE981652D}"/>
    <cellStyle name="Normal 4 12" xfId="168" xr:uid="{BED61E09-BAF9-4B5C-AAA9-2598B5AF643F}"/>
    <cellStyle name="Normal 4 12 10" xfId="3897" xr:uid="{1028A4B1-E862-41BB-8B3B-AED2188DB946}"/>
    <cellStyle name="Normal 4 12 2" xfId="414" xr:uid="{8784D1ED-1D49-4B47-9FCA-19552F191282}"/>
    <cellStyle name="Normal 4 12 2 2" xfId="2113" xr:uid="{F089DC41-7900-4A94-9359-74C8340ED730}"/>
    <cellStyle name="Normal 4 12 2 2 2" xfId="5784" xr:uid="{858E7A01-87E1-469B-822B-C71CEAFFE9A1}"/>
    <cellStyle name="Normal 4 12 2 3" xfId="4077" xr:uid="{A2C42A10-3F16-457A-9FCF-7B372C80C41C}"/>
    <cellStyle name="Normal 4 12 3" xfId="610" xr:uid="{C2B68004-256C-44F2-97F7-FDA10987EF8B}"/>
    <cellStyle name="Normal 4 12 3 2" xfId="2331" xr:uid="{B594616F-FF81-4F19-9DA2-CEC1AAE9F8C7}"/>
    <cellStyle name="Normal 4 12 3 2 2" xfId="6002" xr:uid="{D2A21CE8-C0B6-4776-87DC-9D38C10FC5CE}"/>
    <cellStyle name="Normal 4 12 3 3" xfId="4283" xr:uid="{F40BC263-D0F8-4238-B34F-C49B90DBD477}"/>
    <cellStyle name="Normal 4 12 4" xfId="828" xr:uid="{10953B7E-D4AB-4655-A84A-7FFE263F2849}"/>
    <cellStyle name="Normal 4 12 4 2" xfId="2549" xr:uid="{7E71245F-CDD4-42B9-85A4-66BDC4FFCC58}"/>
    <cellStyle name="Normal 4 12 4 2 2" xfId="6220" xr:uid="{7DAD3D7C-4889-46B3-ADDB-A12E1535B5B4}"/>
    <cellStyle name="Normal 4 12 4 3" xfId="4501" xr:uid="{2D269480-D8E4-4506-9A0F-327B3ED6F345}"/>
    <cellStyle name="Normal 4 12 5" xfId="1046" xr:uid="{1FC623D9-FAA8-4D8F-BC1B-F3311D0252B5}"/>
    <cellStyle name="Normal 4 12 5 2" xfId="2767" xr:uid="{D6B14F71-C17F-4741-879D-153D346427BA}"/>
    <cellStyle name="Normal 4 12 5 2 2" xfId="6438" xr:uid="{FE0296EF-D3C7-4761-AFB1-86C8C4E2FC79}"/>
    <cellStyle name="Normal 4 12 5 3" xfId="4719" xr:uid="{A28CC494-FABF-4A2D-9FB1-D181ECC0DEB4}"/>
    <cellStyle name="Normal 4 12 6" xfId="1264" xr:uid="{F6F2C639-DC61-4CF9-AD05-AEF11529B861}"/>
    <cellStyle name="Normal 4 12 6 2" xfId="2985" xr:uid="{AA23AAEA-E2FA-4977-82CA-24ABDBF962C3}"/>
    <cellStyle name="Normal 4 12 6 2 2" xfId="6656" xr:uid="{1933C7AA-67E9-4431-8A2E-B4A4E7CD1E48}"/>
    <cellStyle name="Normal 4 12 6 3" xfId="4937" xr:uid="{86D49EB7-2BD0-4B7E-8CEA-880BDBAA726F}"/>
    <cellStyle name="Normal 4 12 7" xfId="1482" xr:uid="{7A08FB5C-40B8-41CA-A878-27B4AEA9B19F}"/>
    <cellStyle name="Normal 4 12 7 2" xfId="3203" xr:uid="{58F2E393-BCBC-4832-B2E6-3D9D3F0077DE}"/>
    <cellStyle name="Normal 4 12 7 2 2" xfId="6874" xr:uid="{A23F9718-4AEE-4E82-B87F-DB809FDF324E}"/>
    <cellStyle name="Normal 4 12 7 3" xfId="5155" xr:uid="{6CF1B9EC-3C3B-48E6-873C-8434D1BD6BCE}"/>
    <cellStyle name="Normal 4 12 8" xfId="1701" xr:uid="{2F802659-CEF6-4598-A8AA-52E67A254DBA}"/>
    <cellStyle name="Normal 4 12 8 2" xfId="3422" xr:uid="{DAEA5047-10C0-4820-8B48-22A676B3D3BD}"/>
    <cellStyle name="Normal 4 12 8 2 2" xfId="7093" xr:uid="{D2E18F7B-B88C-42ED-B623-E707E79DFE2C}"/>
    <cellStyle name="Normal 4 12 8 3" xfId="5373" xr:uid="{3E89ADED-89C0-404A-8E9D-4141566E0137}"/>
    <cellStyle name="Normal 4 12 9" xfId="1921" xr:uid="{D1FEC0FC-CE5E-4267-8E86-318D3BD58FF9}"/>
    <cellStyle name="Normal 4 12 9 2" xfId="5592" xr:uid="{864DCDC2-B6ED-4301-995D-671585820FDA}"/>
    <cellStyle name="Normal 4 13" xfId="181" xr:uid="{BF73C1EC-1D21-4DA9-A058-E0AF55C6E300}"/>
    <cellStyle name="Normal 4 13 10" xfId="3910" xr:uid="{ED9672C7-23D3-4CE7-8E27-709E5B292F71}"/>
    <cellStyle name="Normal 4 13 2" xfId="427" xr:uid="{72483E63-5312-457B-9765-F081D61256CD}"/>
    <cellStyle name="Normal 4 13 2 2" xfId="2126" xr:uid="{DA3E4D98-B2B1-412E-8AC8-7DCE5E120AA8}"/>
    <cellStyle name="Normal 4 13 2 2 2" xfId="5797" xr:uid="{00DA5277-F892-44A1-AFD5-1AD92A87B406}"/>
    <cellStyle name="Normal 4 13 2 3" xfId="4090" xr:uid="{55710075-E846-4B04-B764-ACB5AB91E94D}"/>
    <cellStyle name="Normal 4 13 3" xfId="623" xr:uid="{3709FBE2-3935-443C-B2DC-47238AD3BA4B}"/>
    <cellStyle name="Normal 4 13 3 2" xfId="2344" xr:uid="{32B7B7C9-AFC5-41A3-8200-32368838782C}"/>
    <cellStyle name="Normal 4 13 3 2 2" xfId="6015" xr:uid="{258B98F8-20D1-4C94-B624-FA28EAAC67E7}"/>
    <cellStyle name="Normal 4 13 3 3" xfId="4296" xr:uid="{08A3E4C9-A7EB-41EE-AE16-7BF01DBFBB56}"/>
    <cellStyle name="Normal 4 13 4" xfId="841" xr:uid="{237283A6-5FB1-442F-9ECF-4B2D34DAE46B}"/>
    <cellStyle name="Normal 4 13 4 2" xfId="2562" xr:uid="{F3B28A9D-EC7F-4AFF-87ED-79BDB3E74944}"/>
    <cellStyle name="Normal 4 13 4 2 2" xfId="6233" xr:uid="{11CB3146-079D-46C2-BE32-9AB4EAF6399D}"/>
    <cellStyle name="Normal 4 13 4 3" xfId="4514" xr:uid="{6FF9E7EE-9252-4D86-A922-992F9B456C1E}"/>
    <cellStyle name="Normal 4 13 5" xfId="1059" xr:uid="{965A2B1A-C22A-4587-8075-196F80493F0F}"/>
    <cellStyle name="Normal 4 13 5 2" xfId="2780" xr:uid="{C3D835CF-8A21-4A64-813F-5727B2B7ACE6}"/>
    <cellStyle name="Normal 4 13 5 2 2" xfId="6451" xr:uid="{4EB23F0D-DBF2-4D1A-9F3C-C8A048B64ED8}"/>
    <cellStyle name="Normal 4 13 5 3" xfId="4732" xr:uid="{5AFE5AE7-0EFC-4A59-8DBE-D3E7C16D9BD1}"/>
    <cellStyle name="Normal 4 13 6" xfId="1277" xr:uid="{80BC3A1F-729B-4BDE-820A-22284C5D26F2}"/>
    <cellStyle name="Normal 4 13 6 2" xfId="2998" xr:uid="{BA419F77-513B-4558-AF85-A67D335C9113}"/>
    <cellStyle name="Normal 4 13 6 2 2" xfId="6669" xr:uid="{C443CA4A-0208-4FC8-B2DD-49287BBC4349}"/>
    <cellStyle name="Normal 4 13 6 3" xfId="4950" xr:uid="{045BED12-6124-46CD-84E0-687733236BC6}"/>
    <cellStyle name="Normal 4 13 7" xfId="1495" xr:uid="{B0F34586-6439-476D-9594-93FC047F721C}"/>
    <cellStyle name="Normal 4 13 7 2" xfId="3216" xr:uid="{12E09EA1-983C-4B17-BAF5-4197CC3B980C}"/>
    <cellStyle name="Normal 4 13 7 2 2" xfId="6887" xr:uid="{BA8AE36A-7D49-4D45-A782-7DEA8AB71D7C}"/>
    <cellStyle name="Normal 4 13 7 3" xfId="5168" xr:uid="{ED37A397-AE5E-4AB9-9338-36F1D8174438}"/>
    <cellStyle name="Normal 4 13 8" xfId="1714" xr:uid="{228F2592-A87D-4C24-BC78-6A3B261E415A}"/>
    <cellStyle name="Normal 4 13 8 2" xfId="3435" xr:uid="{6DDEC520-E5FC-4026-940A-DEA72312B5E8}"/>
    <cellStyle name="Normal 4 13 8 2 2" xfId="7106" xr:uid="{19DE72E9-8D19-4D7C-A98E-E126BA44D49E}"/>
    <cellStyle name="Normal 4 13 8 3" xfId="5386" xr:uid="{C5D68C6B-1E4D-4573-9331-22C05966026D}"/>
    <cellStyle name="Normal 4 13 9" xfId="1934" xr:uid="{797A68D4-C34E-49AD-858F-EA9FDEE64EED}"/>
    <cellStyle name="Normal 4 13 9 2" xfId="5605" xr:uid="{7011A36E-FAD1-4214-98B7-047170F60C4A}"/>
    <cellStyle name="Normal 4 14" xfId="194" xr:uid="{1F61FE76-1BF7-422D-B73C-FC2E3B531DC1}"/>
    <cellStyle name="Normal 4 14 10" xfId="3923" xr:uid="{0CD5A68F-2F30-4373-86A5-8814AA6CA402}"/>
    <cellStyle name="Normal 4 14 2" xfId="440" xr:uid="{5977EE07-FD7E-4B41-B551-4D69287A6C27}"/>
    <cellStyle name="Normal 4 14 2 2" xfId="2139" xr:uid="{BBD81E8E-93DE-4EED-BF6B-22C3679EC1AF}"/>
    <cellStyle name="Normal 4 14 2 2 2" xfId="5810" xr:uid="{7BBEFBEA-F350-409B-A422-4ACC10DB1E22}"/>
    <cellStyle name="Normal 4 14 2 3" xfId="4103" xr:uid="{B2AFFB5E-C919-4944-8082-FA49F49F075A}"/>
    <cellStyle name="Normal 4 14 3" xfId="636" xr:uid="{83748772-075F-42A1-BA1E-9F0C6835629A}"/>
    <cellStyle name="Normal 4 14 3 2" xfId="2357" xr:uid="{54E8D2D8-F72B-4626-A93A-FC0D50E83AD5}"/>
    <cellStyle name="Normal 4 14 3 2 2" xfId="6028" xr:uid="{AD7DA8EB-1B38-4D20-A7E9-9FAB779ACE71}"/>
    <cellStyle name="Normal 4 14 3 3" xfId="4309" xr:uid="{D6032693-E90D-4C4A-85DC-C30ABD44B213}"/>
    <cellStyle name="Normal 4 14 4" xfId="854" xr:uid="{1219CD5C-5D7D-4EC8-A16C-1067888C6661}"/>
    <cellStyle name="Normal 4 14 4 2" xfId="2575" xr:uid="{61FEF2D3-FC4C-4118-B07E-5B12D7842294}"/>
    <cellStyle name="Normal 4 14 4 2 2" xfId="6246" xr:uid="{E49A65FC-B08D-4BF1-B128-812B24545674}"/>
    <cellStyle name="Normal 4 14 4 3" xfId="4527" xr:uid="{05C9F8D5-C5D1-4139-BFBF-1453DD07A1CC}"/>
    <cellStyle name="Normal 4 14 5" xfId="1072" xr:uid="{A8FD8D24-334E-46A8-B213-C8F392E969D0}"/>
    <cellStyle name="Normal 4 14 5 2" xfId="2793" xr:uid="{0445F324-671D-4AF8-A1F8-9A7514788878}"/>
    <cellStyle name="Normal 4 14 5 2 2" xfId="6464" xr:uid="{03C92E4B-5962-4C51-9ECF-F84361F334B2}"/>
    <cellStyle name="Normal 4 14 5 3" xfId="4745" xr:uid="{9C8B3CF2-FD56-4C51-A493-C799FBEFD1DC}"/>
    <cellStyle name="Normal 4 14 6" xfId="1290" xr:uid="{D396DF7A-32E2-4267-9DA0-061E91C1C3FA}"/>
    <cellStyle name="Normal 4 14 6 2" xfId="3011" xr:uid="{4CB1ACAB-0F55-4BB2-A233-CDC8735BCC29}"/>
    <cellStyle name="Normal 4 14 6 2 2" xfId="6682" xr:uid="{24DFC248-36EC-41BA-9A76-4D1C1DCEB120}"/>
    <cellStyle name="Normal 4 14 6 3" xfId="4963" xr:uid="{17FBCB5A-B03D-4311-B7C6-9E800C0163B1}"/>
    <cellStyle name="Normal 4 14 7" xfId="1508" xr:uid="{9B866022-C01F-4C20-9721-49B06308510C}"/>
    <cellStyle name="Normal 4 14 7 2" xfId="3229" xr:uid="{9CE75F50-8D7E-48C7-8241-E144E4DF1AFD}"/>
    <cellStyle name="Normal 4 14 7 2 2" xfId="6900" xr:uid="{C289D65B-61AD-49A0-B349-B8386BDA3BB1}"/>
    <cellStyle name="Normal 4 14 7 3" xfId="5181" xr:uid="{988E2A4B-83E1-493E-A1B7-B5F98B81F4D2}"/>
    <cellStyle name="Normal 4 14 8" xfId="1727" xr:uid="{2F06EF5E-A76E-4410-BD19-C8B4A448BDD8}"/>
    <cellStyle name="Normal 4 14 8 2" xfId="3448" xr:uid="{B04FB266-A635-490A-A580-72517A490E2C}"/>
    <cellStyle name="Normal 4 14 8 2 2" xfId="7119" xr:uid="{0CE7CE64-6C5E-41EA-8346-5AE9643ACFA0}"/>
    <cellStyle name="Normal 4 14 8 3" xfId="5399" xr:uid="{73AC786E-7F6A-4566-80A1-D092A06DE90A}"/>
    <cellStyle name="Normal 4 14 9" xfId="1947" xr:uid="{4EAE47B4-259C-479B-BFC3-568115F26213}"/>
    <cellStyle name="Normal 4 14 9 2" xfId="5618" xr:uid="{A27C8927-E509-4388-A324-C232C40910FA}"/>
    <cellStyle name="Normal 4 15" xfId="207" xr:uid="{5B340046-4731-49A3-A036-49ACE53397C5}"/>
    <cellStyle name="Normal 4 15 10" xfId="3934" xr:uid="{CEAED443-ED12-4A21-9CFC-6F72D8E99AD2}"/>
    <cellStyle name="Normal 4 15 2" xfId="451" xr:uid="{EA7A04F6-1FE2-449A-994C-61AB210564C1}"/>
    <cellStyle name="Normal 4 15 2 2" xfId="2150" xr:uid="{386F3A3D-2809-455A-8E57-471D8ABDAD8E}"/>
    <cellStyle name="Normal 4 15 2 2 2" xfId="5821" xr:uid="{4B5190FF-5830-460B-93EA-A3ED43DDD95F}"/>
    <cellStyle name="Normal 4 15 2 3" xfId="4114" xr:uid="{25F2F72C-6ACD-4496-9B6A-9575DEA6B2F9}"/>
    <cellStyle name="Normal 4 15 3" xfId="647" xr:uid="{84DBF74C-805C-4E43-A703-0ADA83615BC3}"/>
    <cellStyle name="Normal 4 15 3 2" xfId="2368" xr:uid="{68884B8F-56F9-4AD1-9227-8DF197E12BFD}"/>
    <cellStyle name="Normal 4 15 3 2 2" xfId="6039" xr:uid="{E7F25E6F-48E6-4446-9B5E-CEF733544B6C}"/>
    <cellStyle name="Normal 4 15 3 3" xfId="4320" xr:uid="{1395D9CC-9A3D-4757-9257-C3898C6BECF5}"/>
    <cellStyle name="Normal 4 15 4" xfId="865" xr:uid="{F1E35587-3B60-402B-9B59-8B7A580D9BD2}"/>
    <cellStyle name="Normal 4 15 4 2" xfId="2586" xr:uid="{7E3BB1EF-43A1-4EBE-982C-31168E96F48D}"/>
    <cellStyle name="Normal 4 15 4 2 2" xfId="6257" xr:uid="{C69EB518-5B34-4CB4-9A79-3F57DC3A10A7}"/>
    <cellStyle name="Normal 4 15 4 3" xfId="4538" xr:uid="{D105EED0-1AA0-435A-87FC-2D5301D1F33E}"/>
    <cellStyle name="Normal 4 15 5" xfId="1083" xr:uid="{2C000829-B85B-4C5A-BD7B-2CB25319DB63}"/>
    <cellStyle name="Normal 4 15 5 2" xfId="2804" xr:uid="{FBDDD188-5F5A-4F12-B816-3B62067BDAC7}"/>
    <cellStyle name="Normal 4 15 5 2 2" xfId="6475" xr:uid="{AF036342-0BD9-427D-91D7-BBF04ECF8FC1}"/>
    <cellStyle name="Normal 4 15 5 3" xfId="4756" xr:uid="{D21E5296-6166-4372-87FA-3427CA7B09C1}"/>
    <cellStyle name="Normal 4 15 6" xfId="1301" xr:uid="{AFAF5E02-DDA4-4330-B7E1-DEFF5B1EAA3A}"/>
    <cellStyle name="Normal 4 15 6 2" xfId="3022" xr:uid="{26976674-98C6-4441-8A75-8A33C8E76C23}"/>
    <cellStyle name="Normal 4 15 6 2 2" xfId="6693" xr:uid="{D7CF5771-3876-4C92-B498-CCBC336AACAC}"/>
    <cellStyle name="Normal 4 15 6 3" xfId="4974" xr:uid="{A8182F91-791B-43D2-8AF0-21A32069554F}"/>
    <cellStyle name="Normal 4 15 7" xfId="1519" xr:uid="{C4C18A1D-2D7A-4EB3-850D-6792F675902D}"/>
    <cellStyle name="Normal 4 15 7 2" xfId="3240" xr:uid="{BC686977-3013-4786-8136-473DA727C9AC}"/>
    <cellStyle name="Normal 4 15 7 2 2" xfId="6911" xr:uid="{F550949C-5820-48BC-B4D0-7314DBA7A3C8}"/>
    <cellStyle name="Normal 4 15 7 3" xfId="5192" xr:uid="{59E1DBF6-36B5-4BE0-A4BA-C4AF7180AABA}"/>
    <cellStyle name="Normal 4 15 8" xfId="1738" xr:uid="{58F05EE0-B6DA-418F-A7EE-B2E2B397223C}"/>
    <cellStyle name="Normal 4 15 8 2" xfId="3459" xr:uid="{BDF08785-4B57-4ED1-9E15-1CDF0447E466}"/>
    <cellStyle name="Normal 4 15 8 2 2" xfId="7130" xr:uid="{B9E568E6-917E-47CB-80C1-2CC3E489F456}"/>
    <cellStyle name="Normal 4 15 8 3" xfId="5410" xr:uid="{17212A26-D689-4B8E-B827-273D107A04A8}"/>
    <cellStyle name="Normal 4 15 9" xfId="1958" xr:uid="{62001419-E258-4DFE-8838-C07D35DE62F0}"/>
    <cellStyle name="Normal 4 15 9 2" xfId="5629" xr:uid="{2E9B3402-A433-49C0-AB16-F64E722186AD}"/>
    <cellStyle name="Normal 4 16" xfId="219" xr:uid="{BF1FAD9D-3B82-4E93-A6FE-EB9077A803E7}"/>
    <cellStyle name="Normal 4 16 10" xfId="3946" xr:uid="{58E6772D-ED63-43BD-867F-C6E7D3E71D79}"/>
    <cellStyle name="Normal 4 16 2" xfId="463" xr:uid="{DEA38FF5-9AA4-46EF-93B4-D8B9BB022210}"/>
    <cellStyle name="Normal 4 16 2 2" xfId="2162" xr:uid="{5EDEE4A5-B6A7-4054-849D-F44A8D952315}"/>
    <cellStyle name="Normal 4 16 2 2 2" xfId="5833" xr:uid="{222F3671-FF42-4EEE-9907-1B34479AC3D1}"/>
    <cellStyle name="Normal 4 16 2 3" xfId="4126" xr:uid="{0949F788-398B-4CE2-B908-92BDACDA1E8D}"/>
    <cellStyle name="Normal 4 16 3" xfId="659" xr:uid="{00D6A1E7-7EC2-48FE-A794-661A2FF70D59}"/>
    <cellStyle name="Normal 4 16 3 2" xfId="2380" xr:uid="{7F510EC0-A552-453B-9BA9-8127A772FF55}"/>
    <cellStyle name="Normal 4 16 3 2 2" xfId="6051" xr:uid="{062AD8CB-83FB-4222-9783-6F784A09A235}"/>
    <cellStyle name="Normal 4 16 3 3" xfId="4332" xr:uid="{44CD3E83-7252-4B1C-AE79-02AB95BA5216}"/>
    <cellStyle name="Normal 4 16 4" xfId="877" xr:uid="{A31FD120-4F5D-4161-A016-3EB9700DFAD2}"/>
    <cellStyle name="Normal 4 16 4 2" xfId="2598" xr:uid="{2C8B7DC7-E777-4688-A404-B5509E31A283}"/>
    <cellStyle name="Normal 4 16 4 2 2" xfId="6269" xr:uid="{4956DFE3-678F-4D6C-A8AA-64AD44186B7E}"/>
    <cellStyle name="Normal 4 16 4 3" xfId="4550" xr:uid="{5E287661-1DAA-4973-8BD2-F085F3BE90AD}"/>
    <cellStyle name="Normal 4 16 5" xfId="1095" xr:uid="{C0A728E7-2D02-4035-A376-AFDAC67FD604}"/>
    <cellStyle name="Normal 4 16 5 2" xfId="2816" xr:uid="{5BCB0947-3AAC-4F0D-820D-8881C2A3DC42}"/>
    <cellStyle name="Normal 4 16 5 2 2" xfId="6487" xr:uid="{F647FEAB-F13A-411E-910F-0865F65D1AB6}"/>
    <cellStyle name="Normal 4 16 5 3" xfId="4768" xr:uid="{768B1269-7C02-4094-BE6B-A27C13B2372C}"/>
    <cellStyle name="Normal 4 16 6" xfId="1313" xr:uid="{9BA73543-D1A8-40E9-AD14-5BD7A6F35AEA}"/>
    <cellStyle name="Normal 4 16 6 2" xfId="3034" xr:uid="{F318F60F-5E69-4E63-BBF3-EBCE027C359B}"/>
    <cellStyle name="Normal 4 16 6 2 2" xfId="6705" xr:uid="{45FE79B9-D727-402C-B259-CAD15855BD39}"/>
    <cellStyle name="Normal 4 16 6 3" xfId="4986" xr:uid="{EAA4B9BD-2A31-4880-ABBD-4CCC6361967A}"/>
    <cellStyle name="Normal 4 16 7" xfId="1531" xr:uid="{3ECB061F-97FA-4656-A242-DAA802F90BCC}"/>
    <cellStyle name="Normal 4 16 7 2" xfId="3252" xr:uid="{90606B9E-A987-4153-AF79-0FB1DB37E944}"/>
    <cellStyle name="Normal 4 16 7 2 2" xfId="6923" xr:uid="{62168801-F152-4D5D-9A40-8D32628CC531}"/>
    <cellStyle name="Normal 4 16 7 3" xfId="5204" xr:uid="{66818980-D6AA-4014-9F98-C973AE7C3451}"/>
    <cellStyle name="Normal 4 16 8" xfId="1750" xr:uid="{A7014378-E438-4DB6-9C79-5D73D7B1EF5A}"/>
    <cellStyle name="Normal 4 16 8 2" xfId="3471" xr:uid="{0A999381-C859-4012-9210-DBC16C447565}"/>
    <cellStyle name="Normal 4 16 8 2 2" xfId="7142" xr:uid="{0AE51FB9-A1DA-4198-AE8D-D4D876FC4154}"/>
    <cellStyle name="Normal 4 16 8 3" xfId="5422" xr:uid="{1122886F-9B1D-4514-975B-F27C39618AE1}"/>
    <cellStyle name="Normal 4 16 9" xfId="1970" xr:uid="{9BD5B77D-037C-465C-829D-7F030980BD49}"/>
    <cellStyle name="Normal 4 16 9 2" xfId="5641" xr:uid="{DE24131A-6611-4783-9C82-F8A0CF67055C}"/>
    <cellStyle name="Normal 4 17" xfId="232" xr:uid="{B2043A1A-56B2-474D-893A-9F4E2804229D}"/>
    <cellStyle name="Normal 4 17 10" xfId="3959" xr:uid="{9A1D2503-897F-4376-A1CD-343AF856CE9C}"/>
    <cellStyle name="Normal 4 17 2" xfId="476" xr:uid="{59484131-DC37-4CB9-B8A7-72B094CD48FA}"/>
    <cellStyle name="Normal 4 17 2 2" xfId="2175" xr:uid="{5A0BC007-CCF7-476B-B5C3-B36CE030888B}"/>
    <cellStyle name="Normal 4 17 2 2 2" xfId="5846" xr:uid="{1C9ED86B-55E7-4E20-92A8-32317E5A534F}"/>
    <cellStyle name="Normal 4 17 2 3" xfId="4139" xr:uid="{C70739B4-CDC2-4501-9471-768E6E187D8F}"/>
    <cellStyle name="Normal 4 17 3" xfId="672" xr:uid="{A5B64AD3-CF05-4211-AC79-38E4B3B383D1}"/>
    <cellStyle name="Normal 4 17 3 2" xfId="2393" xr:uid="{5D1EF185-9F56-4F09-A949-8718479497CB}"/>
    <cellStyle name="Normal 4 17 3 2 2" xfId="6064" xr:uid="{FBDD2D38-D24D-4B75-B253-5DFF107FF308}"/>
    <cellStyle name="Normal 4 17 3 3" xfId="4345" xr:uid="{FBF95ABF-7183-4C7F-A370-A37A7C912992}"/>
    <cellStyle name="Normal 4 17 4" xfId="890" xr:uid="{FA13B54E-676D-4EDF-A1E1-A202613E8ECB}"/>
    <cellStyle name="Normal 4 17 4 2" xfId="2611" xr:uid="{F1E4E5A2-B4BC-417A-8762-2DED214A1419}"/>
    <cellStyle name="Normal 4 17 4 2 2" xfId="6282" xr:uid="{EF724522-73DF-4BAA-BA5B-CC1FD15A6B9D}"/>
    <cellStyle name="Normal 4 17 4 3" xfId="4563" xr:uid="{72C8BADD-A013-4188-B2A0-99A2031C2632}"/>
    <cellStyle name="Normal 4 17 5" xfId="1108" xr:uid="{501857AC-6FCB-4C1A-9289-0A95538CA3FE}"/>
    <cellStyle name="Normal 4 17 5 2" xfId="2829" xr:uid="{BE4A63C5-B4E0-41B0-959B-AFEC107C6E2C}"/>
    <cellStyle name="Normal 4 17 5 2 2" xfId="6500" xr:uid="{8ED9E7F3-5E01-45EE-8362-296A07C3694D}"/>
    <cellStyle name="Normal 4 17 5 3" xfId="4781" xr:uid="{3B5C6221-62A2-465E-A289-C5C2BCD857E0}"/>
    <cellStyle name="Normal 4 17 6" xfId="1326" xr:uid="{86FF5DD5-1A08-4572-A41E-D3D1256EC571}"/>
    <cellStyle name="Normal 4 17 6 2" xfId="3047" xr:uid="{82073772-0EE8-4523-B582-6B99B5E2D39D}"/>
    <cellStyle name="Normal 4 17 6 2 2" xfId="6718" xr:uid="{FADC8C37-1EC0-4329-9313-25EDFB47E07C}"/>
    <cellStyle name="Normal 4 17 6 3" xfId="4999" xr:uid="{A3B25ADE-405D-415B-BDC6-650F34DF7DFC}"/>
    <cellStyle name="Normal 4 17 7" xfId="1544" xr:uid="{913649FD-304D-4D81-B623-F88511F17C29}"/>
    <cellStyle name="Normal 4 17 7 2" xfId="3265" xr:uid="{7F216D08-79A0-4CE0-A060-0D1CF7C243A8}"/>
    <cellStyle name="Normal 4 17 7 2 2" xfId="6936" xr:uid="{B0A0E110-CFDD-4E9A-B6A0-E09F51A022A1}"/>
    <cellStyle name="Normal 4 17 7 3" xfId="5217" xr:uid="{0F6C66F6-A771-42EC-B855-1173B804F8BE}"/>
    <cellStyle name="Normal 4 17 8" xfId="1763" xr:uid="{5474B2D4-109D-4B3A-858A-EEBC32106441}"/>
    <cellStyle name="Normal 4 17 8 2" xfId="3484" xr:uid="{08225965-99A8-4038-AE35-A7C1B8D730D4}"/>
    <cellStyle name="Normal 4 17 8 2 2" xfId="7155" xr:uid="{59FA37F8-66FD-4681-8EF9-CC089E2BE197}"/>
    <cellStyle name="Normal 4 17 8 3" xfId="5435" xr:uid="{E3850226-F025-48F5-B30B-38BE352768E6}"/>
    <cellStyle name="Normal 4 17 9" xfId="1983" xr:uid="{40A544ED-7E85-46D5-BABC-93EE762304B2}"/>
    <cellStyle name="Normal 4 17 9 2" xfId="5654" xr:uid="{DF00345F-ACC6-4F81-8B7B-4036CAAB755E}"/>
    <cellStyle name="Normal 4 18" xfId="245" xr:uid="{2EF4EA97-997F-4270-BDE9-72F227CB0A26}"/>
    <cellStyle name="Normal 4 18 2" xfId="685" xr:uid="{51E0C119-D133-4F6F-A8F2-29646B7D0797}"/>
    <cellStyle name="Normal 4 18 2 2" xfId="2406" xr:uid="{CC5F512E-D314-4876-861E-50384EF98AB5}"/>
    <cellStyle name="Normal 4 18 2 2 2" xfId="6077" xr:uid="{CFA69A28-6CE5-4E65-98DD-0FFD033CCB77}"/>
    <cellStyle name="Normal 4 18 2 3" xfId="4358" xr:uid="{556D10CD-4086-4A74-95C2-3F6B4FBD4C0E}"/>
    <cellStyle name="Normal 4 18 3" xfId="903" xr:uid="{3C2EB50B-9A2A-4832-BF9C-AEFC1409C512}"/>
    <cellStyle name="Normal 4 18 3 2" xfId="2624" xr:uid="{672C6BB3-2AAF-44DA-93A5-84ED434EB3FD}"/>
    <cellStyle name="Normal 4 18 3 2 2" xfId="6295" xr:uid="{21C4689D-1354-4D4F-8433-80969CEF792E}"/>
    <cellStyle name="Normal 4 18 3 3" xfId="4576" xr:uid="{43807827-B9D1-445C-A896-56B79008B969}"/>
    <cellStyle name="Normal 4 18 4" xfId="1121" xr:uid="{3AD04B1E-4438-4D5A-B535-A67D871B7400}"/>
    <cellStyle name="Normal 4 18 4 2" xfId="2842" xr:uid="{42660725-E739-4E24-8E01-686C11C89CEE}"/>
    <cellStyle name="Normal 4 18 4 2 2" xfId="6513" xr:uid="{34681DF2-5F68-4BC7-A2E0-69EC52957E2D}"/>
    <cellStyle name="Normal 4 18 4 3" xfId="4794" xr:uid="{1BAFC44E-E516-434C-97EE-8F85238A39EF}"/>
    <cellStyle name="Normal 4 18 5" xfId="1339" xr:uid="{83ED58D6-1B40-4FAF-8408-68A38040E853}"/>
    <cellStyle name="Normal 4 18 5 2" xfId="3060" xr:uid="{1E8EFAEA-DF9B-4964-BC7D-E76591B9847B}"/>
    <cellStyle name="Normal 4 18 5 2 2" xfId="6731" xr:uid="{6BEF7E7A-1790-45A2-8877-8524C6B99AAE}"/>
    <cellStyle name="Normal 4 18 5 3" xfId="5012" xr:uid="{11053B95-141D-4EDC-BC66-31F215F67562}"/>
    <cellStyle name="Normal 4 18 6" xfId="1557" xr:uid="{D73E2764-7F94-47ED-9593-6EB90F429110}"/>
    <cellStyle name="Normal 4 18 6 2" xfId="3278" xr:uid="{6668B1CB-C7DA-4C9E-B4CF-7D3812D8FF54}"/>
    <cellStyle name="Normal 4 18 6 2 2" xfId="6949" xr:uid="{065DBDFB-D13D-4AFB-8EA1-EEBF881BAE1A}"/>
    <cellStyle name="Normal 4 18 6 3" xfId="5230" xr:uid="{996510E0-7D2B-491E-BB6B-9493CA34CEBA}"/>
    <cellStyle name="Normal 4 18 7" xfId="1776" xr:uid="{6026DBE5-841B-4FCB-9452-8E7424A105DA}"/>
    <cellStyle name="Normal 4 18 7 2" xfId="3497" xr:uid="{893DAB66-16D4-4009-B278-C8A210785028}"/>
    <cellStyle name="Normal 4 18 7 2 2" xfId="7168" xr:uid="{93F7BE41-327C-427F-924E-5F2C30DB5802}"/>
    <cellStyle name="Normal 4 18 7 3" xfId="5448" xr:uid="{729DA739-A90F-41A7-894F-13F3394B6BEF}"/>
    <cellStyle name="Normal 4 18 8" xfId="2188" xr:uid="{BC0FEDB5-AD1F-4C0D-8FE1-362B3D41E054}"/>
    <cellStyle name="Normal 4 18 8 2" xfId="5859" xr:uid="{5A9B19D9-C045-4582-995A-E6248A903699}"/>
    <cellStyle name="Normal 4 18 9" xfId="4152" xr:uid="{C80A21C9-39B9-4CFA-959B-4EC2B0ED8199}"/>
    <cellStyle name="Normal 4 19" xfId="258" xr:uid="{42F85D6E-E549-4413-A3E8-9D67C88F165E}"/>
    <cellStyle name="Normal 4 19 2" xfId="698" xr:uid="{51A6D17D-C77F-49C4-B5B0-8990F02BCB64}"/>
    <cellStyle name="Normal 4 19 2 2" xfId="2419" xr:uid="{6E1DEC7F-D4E5-4175-AFB8-061361EC5048}"/>
    <cellStyle name="Normal 4 19 2 2 2" xfId="6090" xr:uid="{3F21D92B-BAB4-4812-9ADD-48E178EB711D}"/>
    <cellStyle name="Normal 4 19 2 3" xfId="4371" xr:uid="{AE47CB31-28EA-44CC-81B4-0600738B7D2D}"/>
    <cellStyle name="Normal 4 19 3" xfId="916" xr:uid="{EA9DEF16-6CCB-49C8-BDE8-E69E628677C6}"/>
    <cellStyle name="Normal 4 19 3 2" xfId="2637" xr:uid="{AAC5FCAC-CE47-4BD5-AC5F-A6558FB859FF}"/>
    <cellStyle name="Normal 4 19 3 2 2" xfId="6308" xr:uid="{0EF1E4AA-42AF-492B-A884-7A423545A91C}"/>
    <cellStyle name="Normal 4 19 3 3" xfId="4589" xr:uid="{FF339D0B-C631-4C71-AC18-CB64EEF4823D}"/>
    <cellStyle name="Normal 4 19 4" xfId="1134" xr:uid="{48B27F78-08A2-40C6-915F-F72A6BA2AC17}"/>
    <cellStyle name="Normal 4 19 4 2" xfId="2855" xr:uid="{E5663F95-F765-4209-8ACC-A20B93DE909B}"/>
    <cellStyle name="Normal 4 19 4 2 2" xfId="6526" xr:uid="{DAAD60F5-59D3-4732-971B-11CD44099800}"/>
    <cellStyle name="Normal 4 19 4 3" xfId="4807" xr:uid="{40B64D45-08F6-4E30-9FC9-D9B6E2491DEB}"/>
    <cellStyle name="Normal 4 19 5" xfId="1352" xr:uid="{64CADB42-F166-459F-ACED-8671CE1D8504}"/>
    <cellStyle name="Normal 4 19 5 2" xfId="3073" xr:uid="{970B207B-39E7-45E6-A9A2-A7C4083BA552}"/>
    <cellStyle name="Normal 4 19 5 2 2" xfId="6744" xr:uid="{C3728891-1DD0-4A70-BBAF-058130A86B0D}"/>
    <cellStyle name="Normal 4 19 5 3" xfId="5025" xr:uid="{4816055F-788D-4918-B02A-C665B612DD35}"/>
    <cellStyle name="Normal 4 19 6" xfId="1570" xr:uid="{52833E01-6541-49C9-A3DA-0C0A26B12D2F}"/>
    <cellStyle name="Normal 4 19 6 2" xfId="3291" xr:uid="{245742B0-A796-4D78-ADD4-5AFEBC674EC4}"/>
    <cellStyle name="Normal 4 19 6 2 2" xfId="6962" xr:uid="{999A011E-5897-4840-9F3D-76CA5A480E73}"/>
    <cellStyle name="Normal 4 19 6 3" xfId="5243" xr:uid="{E766E948-369E-40B9-B77E-6BA770EEEA3F}"/>
    <cellStyle name="Normal 4 19 7" xfId="1789" xr:uid="{3370104D-1EB5-4DC1-8672-0AE99BF28C73}"/>
    <cellStyle name="Normal 4 19 7 2" xfId="3510" xr:uid="{15C6B1F2-23AB-4408-8B46-2CD01DC33718}"/>
    <cellStyle name="Normal 4 19 7 2 2" xfId="7181" xr:uid="{482F9968-84BF-4499-8BE7-BACDD194BE1B}"/>
    <cellStyle name="Normal 4 19 7 3" xfId="5461" xr:uid="{ADE96F50-2158-4171-ACFA-8318E350F433}"/>
    <cellStyle name="Normal 4 19 8" xfId="2201" xr:uid="{C421E1BF-87AF-4149-AE7C-CC7838FA80A9}"/>
    <cellStyle name="Normal 4 19 8 2" xfId="5872" xr:uid="{1DFE82BD-4AD4-4D60-9BCD-82A854FAB2AA}"/>
    <cellStyle name="Normal 4 19 9" xfId="4165" xr:uid="{55C5E86B-BDF0-4B67-9912-90FEE17D7FB3}"/>
    <cellStyle name="Normal 4 2" xfId="47" xr:uid="{F2F60F7D-B909-4AAB-AF3A-C51AE09F6807}"/>
    <cellStyle name="Normal 4 2 10" xfId="158" xr:uid="{30280264-84CA-4BF8-963A-76C5D0BE7F65}"/>
    <cellStyle name="Normal 4 2 10 10" xfId="3887" xr:uid="{931E425F-BA05-4727-A8D1-20FA72DA475A}"/>
    <cellStyle name="Normal 4 2 10 2" xfId="404" xr:uid="{A242B967-489F-4127-9EFD-14D31D78F9EC}"/>
    <cellStyle name="Normal 4 2 10 2 2" xfId="2103" xr:uid="{EC1FF8E4-7F94-4305-A3E5-3FE4BFCEAB7D}"/>
    <cellStyle name="Normal 4 2 10 2 2 2" xfId="5774" xr:uid="{BD918613-B8BD-45A2-B311-D255A7216470}"/>
    <cellStyle name="Normal 4 2 10 2 3" xfId="4067" xr:uid="{8FA42BC5-D041-4ECD-94A9-C68E85263967}"/>
    <cellStyle name="Normal 4 2 10 3" xfId="600" xr:uid="{9218EBDE-6065-415A-8EB8-1E16146164B2}"/>
    <cellStyle name="Normal 4 2 10 3 2" xfId="2321" xr:uid="{F2EA7FA8-1FA8-4769-9B2B-2F8C5265CDF5}"/>
    <cellStyle name="Normal 4 2 10 3 2 2" xfId="5992" xr:uid="{CD42DDE6-F3C1-46E2-B5DD-56FB9E725957}"/>
    <cellStyle name="Normal 4 2 10 3 3" xfId="4273" xr:uid="{6A3CC803-370B-4037-9509-C40E5752EA6C}"/>
    <cellStyle name="Normal 4 2 10 4" xfId="818" xr:uid="{DB5EB46F-34FE-41B9-80FB-BB85D2BCB43D}"/>
    <cellStyle name="Normal 4 2 10 4 2" xfId="2539" xr:uid="{DA3D2AA3-67FC-4011-A6F5-8FB2169D1600}"/>
    <cellStyle name="Normal 4 2 10 4 2 2" xfId="6210" xr:uid="{B3713C83-C284-4CBF-A93D-25808E303DC8}"/>
    <cellStyle name="Normal 4 2 10 4 3" xfId="4491" xr:uid="{EDA1DEB0-D2F1-4AED-8A82-DD2FA8AC924A}"/>
    <cellStyle name="Normal 4 2 10 5" xfId="1036" xr:uid="{1BE0FA38-4CDA-4756-9645-183104D4E927}"/>
    <cellStyle name="Normal 4 2 10 5 2" xfId="2757" xr:uid="{F98F2426-B94E-43EA-A879-C92193CB30C1}"/>
    <cellStyle name="Normal 4 2 10 5 2 2" xfId="6428" xr:uid="{260916BA-9ABA-4C63-B5DE-EE7D43D03571}"/>
    <cellStyle name="Normal 4 2 10 5 3" xfId="4709" xr:uid="{76235960-B3F4-4116-AE7A-09AD1DA66928}"/>
    <cellStyle name="Normal 4 2 10 6" xfId="1254" xr:uid="{3439CED9-BF1F-4AA5-8A8C-E46F53A5F30E}"/>
    <cellStyle name="Normal 4 2 10 6 2" xfId="2975" xr:uid="{C74BC187-5710-4FEA-BD98-081B205DB54F}"/>
    <cellStyle name="Normal 4 2 10 6 2 2" xfId="6646" xr:uid="{F0EA9EAC-07E7-42F4-8ADF-698DBAD7B7E8}"/>
    <cellStyle name="Normal 4 2 10 6 3" xfId="4927" xr:uid="{D55BA43F-3A30-4772-9B51-AC345899B2BB}"/>
    <cellStyle name="Normal 4 2 10 7" xfId="1472" xr:uid="{A043DFF4-9D41-4951-9348-827E868054FA}"/>
    <cellStyle name="Normal 4 2 10 7 2" xfId="3193" xr:uid="{75AB3B11-6199-4954-8D1A-6EBE7809719A}"/>
    <cellStyle name="Normal 4 2 10 7 2 2" xfId="6864" xr:uid="{38F67B56-0319-4CDA-B8E5-AE97720644A9}"/>
    <cellStyle name="Normal 4 2 10 7 3" xfId="5145" xr:uid="{F012AEF6-35F1-4B5F-BFF1-3B3B2289DF7C}"/>
    <cellStyle name="Normal 4 2 10 8" xfId="1691" xr:uid="{3805008E-2DFD-4A62-BDDA-C34DFE99FA37}"/>
    <cellStyle name="Normal 4 2 10 8 2" xfId="3412" xr:uid="{6B0E4810-7851-41DB-B5F9-9BE37A173DCF}"/>
    <cellStyle name="Normal 4 2 10 8 2 2" xfId="7083" xr:uid="{AF83BAB0-C7F8-4A02-829B-708D3C9F5E7E}"/>
    <cellStyle name="Normal 4 2 10 8 3" xfId="5363" xr:uid="{320796AA-58D0-416E-84FC-47375843049A}"/>
    <cellStyle name="Normal 4 2 10 9" xfId="1911" xr:uid="{9F03686A-54BC-4908-912D-CD7802F27FEF}"/>
    <cellStyle name="Normal 4 2 10 9 2" xfId="5582" xr:uid="{B5B0277C-8988-40BA-A090-505A0A8E8020}"/>
    <cellStyle name="Normal 4 2 11" xfId="171" xr:uid="{F6602318-6344-42E6-A20D-F5F2919AD282}"/>
    <cellStyle name="Normal 4 2 11 10" xfId="3900" xr:uid="{76CB94DA-3A5A-461C-89E3-E02ED9A31998}"/>
    <cellStyle name="Normal 4 2 11 2" xfId="417" xr:uid="{853FA873-29C8-4C55-977D-56F3C0055A0B}"/>
    <cellStyle name="Normal 4 2 11 2 2" xfId="2116" xr:uid="{F5419ED5-2440-46EB-9D34-79A2E81C1C91}"/>
    <cellStyle name="Normal 4 2 11 2 2 2" xfId="5787" xr:uid="{58192A2C-9D44-4F38-942F-E85481752F95}"/>
    <cellStyle name="Normal 4 2 11 2 3" xfId="4080" xr:uid="{2602BF14-2BCF-4081-9D94-040849F915FE}"/>
    <cellStyle name="Normal 4 2 11 3" xfId="613" xr:uid="{6D16CBA9-D7A7-486D-BFCD-1647B46B9C37}"/>
    <cellStyle name="Normal 4 2 11 3 2" xfId="2334" xr:uid="{56151945-F2B9-466E-8016-4FEE62A8D835}"/>
    <cellStyle name="Normal 4 2 11 3 2 2" xfId="6005" xr:uid="{4D20D038-C31B-46DA-96C8-A11AC704B65B}"/>
    <cellStyle name="Normal 4 2 11 3 3" xfId="4286" xr:uid="{A7CC5C1B-7319-44CC-8F5C-81E71FFE4B72}"/>
    <cellStyle name="Normal 4 2 11 4" xfId="831" xr:uid="{47E5F7E6-7A38-4FAC-A06A-681E165FC7E2}"/>
    <cellStyle name="Normal 4 2 11 4 2" xfId="2552" xr:uid="{CBDC2068-9D53-4A02-B68E-E2591C646EF7}"/>
    <cellStyle name="Normal 4 2 11 4 2 2" xfId="6223" xr:uid="{7B833914-E0F3-4F65-BBED-6FE02FF60965}"/>
    <cellStyle name="Normal 4 2 11 4 3" xfId="4504" xr:uid="{4467065C-3E9C-430F-8EE4-482A8AF85796}"/>
    <cellStyle name="Normal 4 2 11 5" xfId="1049" xr:uid="{C2610F6C-2F41-4B46-8461-8FDF221D3B25}"/>
    <cellStyle name="Normal 4 2 11 5 2" xfId="2770" xr:uid="{DBD4BAA5-87D6-4720-AC94-6A9FD143CE81}"/>
    <cellStyle name="Normal 4 2 11 5 2 2" xfId="6441" xr:uid="{ED7AC3B4-C833-40A7-8064-F8B90C98BFE8}"/>
    <cellStyle name="Normal 4 2 11 5 3" xfId="4722" xr:uid="{68CD2073-A248-4CC0-8345-0D83A9CCE720}"/>
    <cellStyle name="Normal 4 2 11 6" xfId="1267" xr:uid="{F43019D4-5718-41AE-ADCF-B22FC1D0CA64}"/>
    <cellStyle name="Normal 4 2 11 6 2" xfId="2988" xr:uid="{96CD2C01-E469-415B-B995-AC9944286B3A}"/>
    <cellStyle name="Normal 4 2 11 6 2 2" xfId="6659" xr:uid="{497F7A44-5489-47DB-9E7F-DECE46442D1C}"/>
    <cellStyle name="Normal 4 2 11 6 3" xfId="4940" xr:uid="{3CF4CD89-E6F4-4974-9DF0-6EFB5EDC2C6A}"/>
    <cellStyle name="Normal 4 2 11 7" xfId="1485" xr:uid="{A313EFD6-046A-4C26-8FE5-C370C780CDA2}"/>
    <cellStyle name="Normal 4 2 11 7 2" xfId="3206" xr:uid="{7A905027-28DD-4DF1-8572-BF2522BAE8CF}"/>
    <cellStyle name="Normal 4 2 11 7 2 2" xfId="6877" xr:uid="{AC16F188-955B-486A-86F1-A1EE4DE096D5}"/>
    <cellStyle name="Normal 4 2 11 7 3" xfId="5158" xr:uid="{3E451D67-BB11-449B-A7AA-AD2D4FA58C1B}"/>
    <cellStyle name="Normal 4 2 11 8" xfId="1704" xr:uid="{0A6F182E-49E5-4437-88C6-9BF5ECE22D33}"/>
    <cellStyle name="Normal 4 2 11 8 2" xfId="3425" xr:uid="{9B0D0237-74FC-434B-8110-0EB59878E307}"/>
    <cellStyle name="Normal 4 2 11 8 2 2" xfId="7096" xr:uid="{FE3888AA-2605-40E1-91FE-8EF272607377}"/>
    <cellStyle name="Normal 4 2 11 8 3" xfId="5376" xr:uid="{140F9E83-58CA-4208-BA20-6FD90A840DB2}"/>
    <cellStyle name="Normal 4 2 11 9" xfId="1924" xr:uid="{DF0507E9-D0D7-41EA-903C-1D792E145D0A}"/>
    <cellStyle name="Normal 4 2 11 9 2" xfId="5595" xr:uid="{CC4D435E-7A73-49B0-90F0-CE93DCEA6E2D}"/>
    <cellStyle name="Normal 4 2 12" xfId="184" xr:uid="{0F376EBA-FE12-4D74-8062-76BA35AE420B}"/>
    <cellStyle name="Normal 4 2 12 10" xfId="3913" xr:uid="{A57E4363-A9E0-457D-8855-B925DA2DE841}"/>
    <cellStyle name="Normal 4 2 12 2" xfId="430" xr:uid="{012A1754-8BBB-40A9-BC6E-EB3E37A50D83}"/>
    <cellStyle name="Normal 4 2 12 2 2" xfId="2129" xr:uid="{3394B5A3-5CB0-4A8D-8F0B-6AA4DDC2A5E3}"/>
    <cellStyle name="Normal 4 2 12 2 2 2" xfId="5800" xr:uid="{AEB58C2D-6081-446C-8326-2E7A87AFB003}"/>
    <cellStyle name="Normal 4 2 12 2 3" xfId="4093" xr:uid="{F5F2B9C6-9771-47C5-BF76-8843EC41B58D}"/>
    <cellStyle name="Normal 4 2 12 3" xfId="626" xr:uid="{B066768E-7874-4949-8B16-B9CF853B2594}"/>
    <cellStyle name="Normal 4 2 12 3 2" xfId="2347" xr:uid="{5E8A1E34-022F-434F-BD39-B0A613DD8B3E}"/>
    <cellStyle name="Normal 4 2 12 3 2 2" xfId="6018" xr:uid="{CAE84CB6-5F81-4B40-AE59-FD72AFA3E517}"/>
    <cellStyle name="Normal 4 2 12 3 3" xfId="4299" xr:uid="{FF332F08-E7E3-49B5-90F3-78DD17895244}"/>
    <cellStyle name="Normal 4 2 12 4" xfId="844" xr:uid="{561721AA-5629-4A81-A08F-5E84C0DF3045}"/>
    <cellStyle name="Normal 4 2 12 4 2" xfId="2565" xr:uid="{65D1407D-392B-488C-A68A-9F6B1B0C05FC}"/>
    <cellStyle name="Normal 4 2 12 4 2 2" xfId="6236" xr:uid="{6E523CA6-F140-4554-A4B5-36231FC29FC5}"/>
    <cellStyle name="Normal 4 2 12 4 3" xfId="4517" xr:uid="{B46F2E83-5124-4CBB-A50F-57544279D647}"/>
    <cellStyle name="Normal 4 2 12 5" xfId="1062" xr:uid="{C6626C71-7863-4FD4-86AC-A5E125F4148B}"/>
    <cellStyle name="Normal 4 2 12 5 2" xfId="2783" xr:uid="{98393C3B-A8A9-4444-BEAC-432ECC1F5364}"/>
    <cellStyle name="Normal 4 2 12 5 2 2" xfId="6454" xr:uid="{1FF8D3BC-0C7E-4003-8C16-A97281B377B7}"/>
    <cellStyle name="Normal 4 2 12 5 3" xfId="4735" xr:uid="{9B5309C7-0D14-4EF6-99FF-2F9D294D9FA3}"/>
    <cellStyle name="Normal 4 2 12 6" xfId="1280" xr:uid="{8322A78A-5048-401E-B951-456F290B273B}"/>
    <cellStyle name="Normal 4 2 12 6 2" xfId="3001" xr:uid="{C864A5F7-2CE3-495E-867E-90948D6AD1C4}"/>
    <cellStyle name="Normal 4 2 12 6 2 2" xfId="6672" xr:uid="{D221A00A-B5D8-43BB-8879-5629B5308CAF}"/>
    <cellStyle name="Normal 4 2 12 6 3" xfId="4953" xr:uid="{FDED59DC-C074-41A2-923B-9A89D8A04A67}"/>
    <cellStyle name="Normal 4 2 12 7" xfId="1498" xr:uid="{BBC43F90-7D82-4C3C-BC23-A8B862602327}"/>
    <cellStyle name="Normal 4 2 12 7 2" xfId="3219" xr:uid="{5415C2F2-2E91-4E0E-9DFB-F2BA67059139}"/>
    <cellStyle name="Normal 4 2 12 7 2 2" xfId="6890" xr:uid="{380E1B78-8B8B-4446-9820-A687361D1C13}"/>
    <cellStyle name="Normal 4 2 12 7 3" xfId="5171" xr:uid="{93D8A8CF-FDA7-4FDF-8D19-BE6B26A69E2D}"/>
    <cellStyle name="Normal 4 2 12 8" xfId="1717" xr:uid="{3C529D89-D6EB-4A43-AD33-1AE5BF676872}"/>
    <cellStyle name="Normal 4 2 12 8 2" xfId="3438" xr:uid="{1D6CD38D-C9B7-45BC-B3DD-F0FD0BDAC727}"/>
    <cellStyle name="Normal 4 2 12 8 2 2" xfId="7109" xr:uid="{7B6C42D6-D866-415A-8DB8-17FA8B55241A}"/>
    <cellStyle name="Normal 4 2 12 8 3" xfId="5389" xr:uid="{56EBCD89-1043-42E7-807B-93B0859BF84A}"/>
    <cellStyle name="Normal 4 2 12 9" xfId="1937" xr:uid="{571D4928-AA3E-4232-B0EB-8C7CA707C9FF}"/>
    <cellStyle name="Normal 4 2 12 9 2" xfId="5608" xr:uid="{FC11F7E5-0BBC-4A17-A1ED-E7D4121B7353}"/>
    <cellStyle name="Normal 4 2 13" xfId="197" xr:uid="{525876A3-7E38-429E-B0CA-9751997A22C8}"/>
    <cellStyle name="Normal 4 2 13 10" xfId="3926" xr:uid="{EA2F1698-0661-4C73-94B3-38A0DD988B40}"/>
    <cellStyle name="Normal 4 2 13 2" xfId="443" xr:uid="{DE89A2EF-B3BF-4124-8B85-C95C8E74E1B3}"/>
    <cellStyle name="Normal 4 2 13 2 2" xfId="2142" xr:uid="{0E8E5A1E-D627-4FDF-8FC4-230FFFACAB78}"/>
    <cellStyle name="Normal 4 2 13 2 2 2" xfId="5813" xr:uid="{0E75D3F2-00C8-47CC-B6EE-E6E99C75BC89}"/>
    <cellStyle name="Normal 4 2 13 2 3" xfId="4106" xr:uid="{7CD01930-196F-4B6F-92D8-21B318395544}"/>
    <cellStyle name="Normal 4 2 13 3" xfId="639" xr:uid="{F3D867CA-7B24-458D-8695-D44E243FCA61}"/>
    <cellStyle name="Normal 4 2 13 3 2" xfId="2360" xr:uid="{ACB07775-85CE-4688-92DB-BDE01A9868C7}"/>
    <cellStyle name="Normal 4 2 13 3 2 2" xfId="6031" xr:uid="{C3A69C50-8901-4075-8172-19C74F933AD2}"/>
    <cellStyle name="Normal 4 2 13 3 3" xfId="4312" xr:uid="{31ECCF98-14AF-43ED-92DC-60F31BE1C241}"/>
    <cellStyle name="Normal 4 2 13 4" xfId="857" xr:uid="{A60562F3-436F-493C-B781-6BA2A7928BD4}"/>
    <cellStyle name="Normal 4 2 13 4 2" xfId="2578" xr:uid="{73592030-BA98-406F-BE4A-D0FF12F3F10E}"/>
    <cellStyle name="Normal 4 2 13 4 2 2" xfId="6249" xr:uid="{FABAC2E2-D4D9-42E0-9F3C-D966E21A8FCA}"/>
    <cellStyle name="Normal 4 2 13 4 3" xfId="4530" xr:uid="{527A4E04-DD98-4027-AE1C-717148F6EB0C}"/>
    <cellStyle name="Normal 4 2 13 5" xfId="1075" xr:uid="{383BFACD-36A6-4C58-80A8-900D2B4DBBCA}"/>
    <cellStyle name="Normal 4 2 13 5 2" xfId="2796" xr:uid="{2B6B2D28-717C-4D38-88A0-AA7D434EDB1B}"/>
    <cellStyle name="Normal 4 2 13 5 2 2" xfId="6467" xr:uid="{D398D6DA-A469-4207-A622-804EFC73E3AD}"/>
    <cellStyle name="Normal 4 2 13 5 3" xfId="4748" xr:uid="{4DC35A3B-36EC-488B-A140-A2C14EFB3093}"/>
    <cellStyle name="Normal 4 2 13 6" xfId="1293" xr:uid="{B76EA928-5AEE-420A-8E30-09E20E47D338}"/>
    <cellStyle name="Normal 4 2 13 6 2" xfId="3014" xr:uid="{F8A81C72-6B78-43B3-B934-0D4822E9342A}"/>
    <cellStyle name="Normal 4 2 13 6 2 2" xfId="6685" xr:uid="{A70D27EB-5533-4F36-933A-A15C17298107}"/>
    <cellStyle name="Normal 4 2 13 6 3" xfId="4966" xr:uid="{1CDE56D8-1C5C-4057-BEAD-66692D016AB8}"/>
    <cellStyle name="Normal 4 2 13 7" xfId="1511" xr:uid="{8AE573CD-789A-4AC6-863B-366CF5EA3D2C}"/>
    <cellStyle name="Normal 4 2 13 7 2" xfId="3232" xr:uid="{575FE80B-402B-4E18-8B99-80B626D42F68}"/>
    <cellStyle name="Normal 4 2 13 7 2 2" xfId="6903" xr:uid="{F466AB07-DB47-41BE-94A2-D59F8377CD17}"/>
    <cellStyle name="Normal 4 2 13 7 3" xfId="5184" xr:uid="{CA1C2721-546A-4E48-845B-E44D71A58FBC}"/>
    <cellStyle name="Normal 4 2 13 8" xfId="1730" xr:uid="{7EA58BCE-3753-49B8-9927-4B531BAADFEB}"/>
    <cellStyle name="Normal 4 2 13 8 2" xfId="3451" xr:uid="{991AFE19-7323-49FE-B838-C2AE30ACEB8C}"/>
    <cellStyle name="Normal 4 2 13 8 2 2" xfId="7122" xr:uid="{5FAF7740-A213-404C-A57F-47D095244236}"/>
    <cellStyle name="Normal 4 2 13 8 3" xfId="5402" xr:uid="{1434454F-6096-4743-9AFE-75DE6A2ABE7D}"/>
    <cellStyle name="Normal 4 2 13 9" xfId="1950" xr:uid="{C5F243FB-4F02-4C03-9A55-477C194D825B}"/>
    <cellStyle name="Normal 4 2 13 9 2" xfId="5621" xr:uid="{2289C2E2-E9C2-46D4-8040-C816B5A9D7D5}"/>
    <cellStyle name="Normal 4 2 14" xfId="208" xr:uid="{189917B8-D391-4753-B2A8-B096C2D32299}"/>
    <cellStyle name="Normal 4 2 14 10" xfId="3935" xr:uid="{A906D1DA-327A-44A1-B9D1-ECD501368092}"/>
    <cellStyle name="Normal 4 2 14 2" xfId="452" xr:uid="{BABC3FDD-AE38-4547-B643-98AA56900F04}"/>
    <cellStyle name="Normal 4 2 14 2 2" xfId="2151" xr:uid="{D85C4378-77E3-4272-8C59-87925011D4C0}"/>
    <cellStyle name="Normal 4 2 14 2 2 2" xfId="5822" xr:uid="{C1443540-D034-4370-9F1D-A9B2BCECD54C}"/>
    <cellStyle name="Normal 4 2 14 2 3" xfId="4115" xr:uid="{80323471-42C8-4EA2-9A3E-05F090AD43BF}"/>
    <cellStyle name="Normal 4 2 14 3" xfId="648" xr:uid="{723392AA-3C42-4B09-81F9-C664552AC709}"/>
    <cellStyle name="Normal 4 2 14 3 2" xfId="2369" xr:uid="{3CB8D24E-FDFF-400F-9596-5BD09B40AE62}"/>
    <cellStyle name="Normal 4 2 14 3 2 2" xfId="6040" xr:uid="{9BE99D0E-1D54-473B-AE4D-1096307793CB}"/>
    <cellStyle name="Normal 4 2 14 3 3" xfId="4321" xr:uid="{B178936D-C49D-44BA-A1B6-2224CEB6C5B6}"/>
    <cellStyle name="Normal 4 2 14 4" xfId="866" xr:uid="{7ABB09A7-6E3C-4654-B98F-76541E2B6AF8}"/>
    <cellStyle name="Normal 4 2 14 4 2" xfId="2587" xr:uid="{52CDC4E3-6234-4F7A-B65C-885F36EFA4C6}"/>
    <cellStyle name="Normal 4 2 14 4 2 2" xfId="6258" xr:uid="{784BE247-CF0C-48B6-AFD9-620B46C2B1B8}"/>
    <cellStyle name="Normal 4 2 14 4 3" xfId="4539" xr:uid="{90302BC7-B13A-4692-B0CF-8FA21B68F605}"/>
    <cellStyle name="Normal 4 2 14 5" xfId="1084" xr:uid="{AE65ECBA-A893-4B91-9149-B99A346C10B1}"/>
    <cellStyle name="Normal 4 2 14 5 2" xfId="2805" xr:uid="{BCD304E7-08A1-4A1E-B585-7965A79E1BF2}"/>
    <cellStyle name="Normal 4 2 14 5 2 2" xfId="6476" xr:uid="{8234942A-5C80-4C13-BD53-E0FFAFBD8EAE}"/>
    <cellStyle name="Normal 4 2 14 5 3" xfId="4757" xr:uid="{0D89728E-BC7C-4234-8A9A-03A56FF36927}"/>
    <cellStyle name="Normal 4 2 14 6" xfId="1302" xr:uid="{DC2327F2-18B9-41E8-BDA7-85195CE55023}"/>
    <cellStyle name="Normal 4 2 14 6 2" xfId="3023" xr:uid="{5D557A53-4EC6-45CC-B9A6-D47041E87225}"/>
    <cellStyle name="Normal 4 2 14 6 2 2" xfId="6694" xr:uid="{1D79BF7A-B2C7-4990-813E-DD79EB2D9DA4}"/>
    <cellStyle name="Normal 4 2 14 6 3" xfId="4975" xr:uid="{04A660D3-9D9A-4F9D-A309-2020D5A295EF}"/>
    <cellStyle name="Normal 4 2 14 7" xfId="1520" xr:uid="{170C1833-5167-47B6-A686-614EE3F66A77}"/>
    <cellStyle name="Normal 4 2 14 7 2" xfId="3241" xr:uid="{40F3B0C7-8E53-42F4-A447-8800705687A0}"/>
    <cellStyle name="Normal 4 2 14 7 2 2" xfId="6912" xr:uid="{23EDE05A-4C54-440D-BB2B-6D22AF06762A}"/>
    <cellStyle name="Normal 4 2 14 7 3" xfId="5193" xr:uid="{3AF4D30A-6923-4B34-93DC-79D055BD61F9}"/>
    <cellStyle name="Normal 4 2 14 8" xfId="1739" xr:uid="{58614188-C863-44DA-938A-42596DDB30D2}"/>
    <cellStyle name="Normal 4 2 14 8 2" xfId="3460" xr:uid="{E04EC275-146C-420B-8051-75BE978051EA}"/>
    <cellStyle name="Normal 4 2 14 8 2 2" xfId="7131" xr:uid="{C7FA0CFC-0725-4C11-B1BA-677D48796007}"/>
    <cellStyle name="Normal 4 2 14 8 3" xfId="5411" xr:uid="{14062125-1B98-42DC-B50E-91C1E44BA80A}"/>
    <cellStyle name="Normal 4 2 14 9" xfId="1959" xr:uid="{FBD862DB-7E4D-4884-B761-C29EA2EFD515}"/>
    <cellStyle name="Normal 4 2 14 9 2" xfId="5630" xr:uid="{019C595F-69CF-4E46-9721-F445817DA818}"/>
    <cellStyle name="Normal 4 2 15" xfId="222" xr:uid="{2284E1E3-55C6-43AA-A7F7-31D81AF18AE0}"/>
    <cellStyle name="Normal 4 2 15 10" xfId="3949" xr:uid="{F29EAFE7-3DF2-471F-BECB-57AE6526ED46}"/>
    <cellStyle name="Normal 4 2 15 2" xfId="466" xr:uid="{3C86EDAE-8FAC-4925-B473-22A7F22561F2}"/>
    <cellStyle name="Normal 4 2 15 2 2" xfId="2165" xr:uid="{EE233509-51B0-4282-A919-047D8416B621}"/>
    <cellStyle name="Normal 4 2 15 2 2 2" xfId="5836" xr:uid="{C5D580AD-0C56-4FF2-9422-B37CC20225C2}"/>
    <cellStyle name="Normal 4 2 15 2 3" xfId="4129" xr:uid="{4CA0DB52-81FC-49E9-B351-EFBFC503406D}"/>
    <cellStyle name="Normal 4 2 15 3" xfId="662" xr:uid="{51DE5028-1073-4DE9-8116-ACEF17291948}"/>
    <cellStyle name="Normal 4 2 15 3 2" xfId="2383" xr:uid="{E904C4D2-5E8B-4D7B-AF3F-2FB4E5FED224}"/>
    <cellStyle name="Normal 4 2 15 3 2 2" xfId="6054" xr:uid="{CC46A503-3DB5-4D57-B97E-7F5F8F58EFAB}"/>
    <cellStyle name="Normal 4 2 15 3 3" xfId="4335" xr:uid="{8B981064-4276-4186-BADD-8A8A42BE7115}"/>
    <cellStyle name="Normal 4 2 15 4" xfId="880" xr:uid="{6EF28555-52B8-4557-96EC-CEA376CE540B}"/>
    <cellStyle name="Normal 4 2 15 4 2" xfId="2601" xr:uid="{C818F80B-B64A-4567-AB1F-D57C9D248E1E}"/>
    <cellStyle name="Normal 4 2 15 4 2 2" xfId="6272" xr:uid="{BBCF1581-1034-4DC0-B86B-41A42672C411}"/>
    <cellStyle name="Normal 4 2 15 4 3" xfId="4553" xr:uid="{E33B1510-133C-4F5F-A0CB-2839644654E7}"/>
    <cellStyle name="Normal 4 2 15 5" xfId="1098" xr:uid="{71583971-6B43-450F-B7A8-BC6238D57DD5}"/>
    <cellStyle name="Normal 4 2 15 5 2" xfId="2819" xr:uid="{80C1D3A2-B698-48C1-BF24-CF2943E02246}"/>
    <cellStyle name="Normal 4 2 15 5 2 2" xfId="6490" xr:uid="{E7A53524-1C6F-4825-83B9-18B961C3384D}"/>
    <cellStyle name="Normal 4 2 15 5 3" xfId="4771" xr:uid="{0C194FAD-5109-4202-8B8B-1338CD3167CE}"/>
    <cellStyle name="Normal 4 2 15 6" xfId="1316" xr:uid="{8F2901B0-9C60-45ED-A681-BE506DDFE354}"/>
    <cellStyle name="Normal 4 2 15 6 2" xfId="3037" xr:uid="{CB608E90-B270-4762-A2AA-A9E320638DEF}"/>
    <cellStyle name="Normal 4 2 15 6 2 2" xfId="6708" xr:uid="{D79B31D8-BE06-41EF-961E-19E627A7702A}"/>
    <cellStyle name="Normal 4 2 15 6 3" xfId="4989" xr:uid="{90B1DDC4-FEA2-4882-9ACA-88AB2A15C216}"/>
    <cellStyle name="Normal 4 2 15 7" xfId="1534" xr:uid="{7D49DD95-8DD3-41E2-BA91-2F5552E55EF4}"/>
    <cellStyle name="Normal 4 2 15 7 2" xfId="3255" xr:uid="{DA6A336B-1785-47B3-B201-B39D18D480D3}"/>
    <cellStyle name="Normal 4 2 15 7 2 2" xfId="6926" xr:uid="{7F6D5985-D55C-46A5-A054-E396A188944E}"/>
    <cellStyle name="Normal 4 2 15 7 3" xfId="5207" xr:uid="{1353C0C3-33C8-48F6-A5D0-FB0589932DA3}"/>
    <cellStyle name="Normal 4 2 15 8" xfId="1753" xr:uid="{5DCCD92B-F35C-433C-9C50-B7B3E88B71A4}"/>
    <cellStyle name="Normal 4 2 15 8 2" xfId="3474" xr:uid="{7E1E2FC2-9776-482C-BBC9-79FED49E95DB}"/>
    <cellStyle name="Normal 4 2 15 8 2 2" xfId="7145" xr:uid="{C2E84F15-A5C0-49A1-AEC3-73734FBA8D3D}"/>
    <cellStyle name="Normal 4 2 15 8 3" xfId="5425" xr:uid="{BB3E5EBF-471E-49B4-87D7-8708298515B0}"/>
    <cellStyle name="Normal 4 2 15 9" xfId="1973" xr:uid="{3D044997-8A78-4A21-B467-6B42D5A077B2}"/>
    <cellStyle name="Normal 4 2 15 9 2" xfId="5644" xr:uid="{4E3BE67F-03AA-494E-912F-A3F4D7A752F5}"/>
    <cellStyle name="Normal 4 2 16" xfId="235" xr:uid="{3C82D3AA-0D12-4EDF-9F27-240DC43D9708}"/>
    <cellStyle name="Normal 4 2 16 10" xfId="3962" xr:uid="{9542CD7E-15E4-4745-856C-FFFC4A5F5623}"/>
    <cellStyle name="Normal 4 2 16 2" xfId="479" xr:uid="{A5A67B51-E588-4135-AF5F-82566C70B4AC}"/>
    <cellStyle name="Normal 4 2 16 2 2" xfId="2178" xr:uid="{93126779-B982-498B-8479-C5DA72D15D5A}"/>
    <cellStyle name="Normal 4 2 16 2 2 2" xfId="5849" xr:uid="{49353021-626F-414B-A83F-1F3411FE5FCE}"/>
    <cellStyle name="Normal 4 2 16 2 3" xfId="4142" xr:uid="{64072DF5-3588-441C-A6BF-BEA91FAB2000}"/>
    <cellStyle name="Normal 4 2 16 3" xfId="675" xr:uid="{436F859C-470B-4D0E-90AD-A0628EA9BF99}"/>
    <cellStyle name="Normal 4 2 16 3 2" xfId="2396" xr:uid="{A444285D-D6E8-4C93-B0B8-EFC575C5A848}"/>
    <cellStyle name="Normal 4 2 16 3 2 2" xfId="6067" xr:uid="{E983C990-5F81-42DA-A4B7-AF4C8F834BA2}"/>
    <cellStyle name="Normal 4 2 16 3 3" xfId="4348" xr:uid="{686D405A-5996-4992-B511-A403D5A253C6}"/>
    <cellStyle name="Normal 4 2 16 4" xfId="893" xr:uid="{BEA49870-4848-4416-8DE5-786C2F45C4A0}"/>
    <cellStyle name="Normal 4 2 16 4 2" xfId="2614" xr:uid="{A91C35FB-7D42-456A-8191-0325FB20694E}"/>
    <cellStyle name="Normal 4 2 16 4 2 2" xfId="6285" xr:uid="{BEBAEE48-E519-45E4-A84C-C58AC1958E76}"/>
    <cellStyle name="Normal 4 2 16 4 3" xfId="4566" xr:uid="{51F89D64-4318-4DFC-832D-2C257C8B7934}"/>
    <cellStyle name="Normal 4 2 16 5" xfId="1111" xr:uid="{36C45D8D-521A-418D-9E51-050B4AFAE801}"/>
    <cellStyle name="Normal 4 2 16 5 2" xfId="2832" xr:uid="{5BAB707C-9DF2-4F9F-B2F2-AFFFE7C6F98B}"/>
    <cellStyle name="Normal 4 2 16 5 2 2" xfId="6503" xr:uid="{44836B0A-3087-4F4F-8CAF-0BE1C4C36A4A}"/>
    <cellStyle name="Normal 4 2 16 5 3" xfId="4784" xr:uid="{D4826F0A-80AE-48CB-AB19-48ABF597F4B4}"/>
    <cellStyle name="Normal 4 2 16 6" xfId="1329" xr:uid="{1AD9F01D-A391-498E-95D9-083571FB6148}"/>
    <cellStyle name="Normal 4 2 16 6 2" xfId="3050" xr:uid="{DE281BC3-CB5B-4C22-989C-B2582600DDC7}"/>
    <cellStyle name="Normal 4 2 16 6 2 2" xfId="6721" xr:uid="{68FB35E4-0574-4050-A840-5E4BFBC11067}"/>
    <cellStyle name="Normal 4 2 16 6 3" xfId="5002" xr:uid="{B954308F-47C0-4173-87A9-15314D31DD3F}"/>
    <cellStyle name="Normal 4 2 16 7" xfId="1547" xr:uid="{83B879FC-DC19-4975-AB3F-527CE1B568D0}"/>
    <cellStyle name="Normal 4 2 16 7 2" xfId="3268" xr:uid="{9173EBAF-8B19-437D-815C-F73072CBFD03}"/>
    <cellStyle name="Normal 4 2 16 7 2 2" xfId="6939" xr:uid="{FE2AB359-47AB-43A3-B04C-E0CE22B6FB02}"/>
    <cellStyle name="Normal 4 2 16 7 3" xfId="5220" xr:uid="{8DAD10A4-6686-41FE-B24D-F45954294CB6}"/>
    <cellStyle name="Normal 4 2 16 8" xfId="1766" xr:uid="{DA4ED665-3217-4BC5-8E56-7CEF886C2A59}"/>
    <cellStyle name="Normal 4 2 16 8 2" xfId="3487" xr:uid="{150B2170-FA6E-4296-B3EB-183AD1DF7DB4}"/>
    <cellStyle name="Normal 4 2 16 8 2 2" xfId="7158" xr:uid="{E159ACBF-4B75-46A1-A98E-0183CCC0823C}"/>
    <cellStyle name="Normal 4 2 16 8 3" xfId="5438" xr:uid="{484FD1AA-DF1F-4617-B469-1B2D8FF6F837}"/>
    <cellStyle name="Normal 4 2 16 9" xfId="1986" xr:uid="{D2749958-568F-4499-9F5A-CDE5712FD15B}"/>
    <cellStyle name="Normal 4 2 16 9 2" xfId="5657" xr:uid="{6B807518-4E2F-48B4-BE1C-7659F65BDA1F}"/>
    <cellStyle name="Normal 4 2 17" xfId="248" xr:uid="{86787C2C-5CE1-46BC-991D-605A5FF83B57}"/>
    <cellStyle name="Normal 4 2 17 2" xfId="688" xr:uid="{546E29B2-B58E-4D26-B8F8-35D575180ED3}"/>
    <cellStyle name="Normal 4 2 17 2 2" xfId="2409" xr:uid="{4D675167-F441-4BD5-B5F6-0676D7B254CF}"/>
    <cellStyle name="Normal 4 2 17 2 2 2" xfId="6080" xr:uid="{543EAA63-2B34-4CD7-A7D9-4A43F0E440A0}"/>
    <cellStyle name="Normal 4 2 17 2 3" xfId="4361" xr:uid="{D8E857F1-2F8D-46DE-809F-71BD0F9DEC0C}"/>
    <cellStyle name="Normal 4 2 17 3" xfId="906" xr:uid="{42ED8178-76BE-4045-9BAB-E8FF47296898}"/>
    <cellStyle name="Normal 4 2 17 3 2" xfId="2627" xr:uid="{30A6C437-2DD0-44E0-AEFD-96377C05B0B2}"/>
    <cellStyle name="Normal 4 2 17 3 2 2" xfId="6298" xr:uid="{F7CB2B40-7397-42B5-A589-C41B94C079D1}"/>
    <cellStyle name="Normal 4 2 17 3 3" xfId="4579" xr:uid="{D44D1320-F6DC-49BF-A916-476EEA49A9E9}"/>
    <cellStyle name="Normal 4 2 17 4" xfId="1124" xr:uid="{4E14567D-600B-4841-9C75-BBDB0B0B8008}"/>
    <cellStyle name="Normal 4 2 17 4 2" xfId="2845" xr:uid="{74D54BB8-8C39-44AE-A9D0-B340EDF44DEF}"/>
    <cellStyle name="Normal 4 2 17 4 2 2" xfId="6516" xr:uid="{9382AE4B-A7C9-416A-89FF-A1C54E3BA1F1}"/>
    <cellStyle name="Normal 4 2 17 4 3" xfId="4797" xr:uid="{98652679-5DA5-4B40-A3EF-046C3EE6F089}"/>
    <cellStyle name="Normal 4 2 17 5" xfId="1342" xr:uid="{B629AA9F-2602-4B71-82C2-A8006FD4EDA4}"/>
    <cellStyle name="Normal 4 2 17 5 2" xfId="3063" xr:uid="{FAAE9116-5565-4C10-A12E-8DBB1F566F56}"/>
    <cellStyle name="Normal 4 2 17 5 2 2" xfId="6734" xr:uid="{D4049E2C-2EA8-4BAD-8300-E4E93097AE78}"/>
    <cellStyle name="Normal 4 2 17 5 3" xfId="5015" xr:uid="{9D436F8C-98E6-4A6A-99F4-8175F12CCD9E}"/>
    <cellStyle name="Normal 4 2 17 6" xfId="1560" xr:uid="{6A44C3FA-D4E0-4184-9A32-C1E9ACEE79DC}"/>
    <cellStyle name="Normal 4 2 17 6 2" xfId="3281" xr:uid="{C1A10B7F-AE36-4D53-95F7-CDB58676D937}"/>
    <cellStyle name="Normal 4 2 17 6 2 2" xfId="6952" xr:uid="{69B36D57-AD7E-4575-AC5F-D6E8111D93C4}"/>
    <cellStyle name="Normal 4 2 17 6 3" xfId="5233" xr:uid="{D7B94A0A-2BB2-426E-8DA9-981C9BA59E22}"/>
    <cellStyle name="Normal 4 2 17 7" xfId="1779" xr:uid="{DDC48A48-893B-47B1-B75A-66F1908851A0}"/>
    <cellStyle name="Normal 4 2 17 7 2" xfId="3500" xr:uid="{0ED5517E-1F04-4552-A3AA-9701A0F7D024}"/>
    <cellStyle name="Normal 4 2 17 7 2 2" xfId="7171" xr:uid="{676E7AC9-D95E-4C15-94C9-1A9D10064CD1}"/>
    <cellStyle name="Normal 4 2 17 7 3" xfId="5451" xr:uid="{F68F8FFA-8BB9-40F8-B458-2F21EB18887D}"/>
    <cellStyle name="Normal 4 2 17 8" xfId="2191" xr:uid="{86185CFC-ED87-44A0-8EB7-E916F1784F8F}"/>
    <cellStyle name="Normal 4 2 17 8 2" xfId="5862" xr:uid="{411516A7-C378-46F0-8C3A-220C5A1E5497}"/>
    <cellStyle name="Normal 4 2 17 9" xfId="4155" xr:uid="{BF0E0AFE-4FFD-42B7-B752-10D6A0666CEF}"/>
    <cellStyle name="Normal 4 2 18" xfId="261" xr:uid="{78ACE207-D959-4EA6-9E7D-2539B3047FB0}"/>
    <cellStyle name="Normal 4 2 18 2" xfId="701" xr:uid="{88D582B1-4FDD-4854-9CC6-486EC7F23A6B}"/>
    <cellStyle name="Normal 4 2 18 2 2" xfId="2422" xr:uid="{A3A3276A-07CF-4F2D-8C80-71D5B2918C0E}"/>
    <cellStyle name="Normal 4 2 18 2 2 2" xfId="6093" xr:uid="{8F79B270-52EE-4648-B880-23E8F656CBA4}"/>
    <cellStyle name="Normal 4 2 18 2 3" xfId="4374" xr:uid="{971C9419-8EB2-4E89-8A29-227084DF2D56}"/>
    <cellStyle name="Normal 4 2 18 3" xfId="919" xr:uid="{2F29F6C1-E94C-4E30-BDB3-EF00BF811C39}"/>
    <cellStyle name="Normal 4 2 18 3 2" xfId="2640" xr:uid="{FD990FFD-7079-4280-B037-E15F88F49054}"/>
    <cellStyle name="Normal 4 2 18 3 2 2" xfId="6311" xr:uid="{4622C418-8539-4ADD-AFB7-DE509F060152}"/>
    <cellStyle name="Normal 4 2 18 3 3" xfId="4592" xr:uid="{022E7A4C-5784-4B1D-AD12-5D8C0B416EC4}"/>
    <cellStyle name="Normal 4 2 18 4" xfId="1137" xr:uid="{A8CDE583-DDED-4A86-9A2D-109CB6102B5C}"/>
    <cellStyle name="Normal 4 2 18 4 2" xfId="2858" xr:uid="{7A734D00-4F3D-4414-B7A9-A35BD9629AD6}"/>
    <cellStyle name="Normal 4 2 18 4 2 2" xfId="6529" xr:uid="{5C967755-4A81-4056-A81B-9F4C75660B9B}"/>
    <cellStyle name="Normal 4 2 18 4 3" xfId="4810" xr:uid="{2C10C5D3-89FB-43E4-98C2-612617D663ED}"/>
    <cellStyle name="Normal 4 2 18 5" xfId="1355" xr:uid="{948177C7-B265-4177-9298-D3D21D05F2B1}"/>
    <cellStyle name="Normal 4 2 18 5 2" xfId="3076" xr:uid="{86F507A6-972C-4844-AB23-C7180472EB08}"/>
    <cellStyle name="Normal 4 2 18 5 2 2" xfId="6747" xr:uid="{4E23C25D-DD9D-4E4A-ACA2-BC0EF06CC6F9}"/>
    <cellStyle name="Normal 4 2 18 5 3" xfId="5028" xr:uid="{A1CAC847-9041-4342-B7DD-DB2F255AFE8F}"/>
    <cellStyle name="Normal 4 2 18 6" xfId="1573" xr:uid="{C2D068BD-4DF1-4613-9D9E-D4C6CDAE66D4}"/>
    <cellStyle name="Normal 4 2 18 6 2" xfId="3294" xr:uid="{F8A52ED2-7DA0-4C02-8822-75E92AB27F61}"/>
    <cellStyle name="Normal 4 2 18 6 2 2" xfId="6965" xr:uid="{4C19EAE2-328A-43C8-9371-58C644A2C041}"/>
    <cellStyle name="Normal 4 2 18 6 3" xfId="5246" xr:uid="{14DD6DA0-E342-4190-A989-95004669C52E}"/>
    <cellStyle name="Normal 4 2 18 7" xfId="1792" xr:uid="{EEDA64BC-128E-4EAE-8CD4-5FF814AF3A78}"/>
    <cellStyle name="Normal 4 2 18 7 2" xfId="3513" xr:uid="{DF7AA51D-34A0-41F3-9A33-01209234DE7C}"/>
    <cellStyle name="Normal 4 2 18 7 2 2" xfId="7184" xr:uid="{7D005DC5-0D20-4E53-8670-A18FCA9A8566}"/>
    <cellStyle name="Normal 4 2 18 7 3" xfId="5464" xr:uid="{C971D343-44E3-4C43-8975-3F11C420DA05}"/>
    <cellStyle name="Normal 4 2 18 8" xfId="2204" xr:uid="{44573AF0-4726-4814-8312-452AA68D4CAB}"/>
    <cellStyle name="Normal 4 2 18 8 2" xfId="5875" xr:uid="{9C40B01B-C59C-4D87-A59A-6385DC02D34D}"/>
    <cellStyle name="Normal 4 2 18 9" xfId="4168" xr:uid="{1DE6C0B2-A681-4ACA-9392-0EEB86AF7821}"/>
    <cellStyle name="Normal 4 2 19" xfId="301" xr:uid="{BC372BD7-3528-4DFD-9CF1-FCDF3F855E8B}"/>
    <cellStyle name="Normal 4 2 19 2" xfId="1999" xr:uid="{BA400554-5F89-4B80-B882-98C69F9CB2E8}"/>
    <cellStyle name="Normal 4 2 19 2 2" xfId="5670" xr:uid="{4EDF6D5E-E378-4492-BA72-1A90AF22B6A7}"/>
    <cellStyle name="Normal 4 2 19 3" xfId="3975" xr:uid="{8A2DECA8-2F9C-4F12-8D65-25D613993FE3}"/>
    <cellStyle name="Normal 4 2 2" xfId="60" xr:uid="{BC99EF5F-B101-4AC1-AE41-9E2963D6CE06}"/>
    <cellStyle name="Normal 4 2 2 10" xfId="177" xr:uid="{37FB7EB3-9C97-4E5E-99CD-D40E88DA4459}"/>
    <cellStyle name="Normal 4 2 2 10 10" xfId="3906" xr:uid="{56230D70-45B4-4A35-B4C2-1ECF5E42DFDD}"/>
    <cellStyle name="Normal 4 2 2 10 2" xfId="423" xr:uid="{BDE2497C-DAEA-411C-88C1-BB2F0347FD7F}"/>
    <cellStyle name="Normal 4 2 2 10 2 2" xfId="2122" xr:uid="{7EB9B93F-8D1E-47DC-B480-F08766C997E1}"/>
    <cellStyle name="Normal 4 2 2 10 2 2 2" xfId="5793" xr:uid="{A469179F-8B28-4064-ADE2-0469120A5100}"/>
    <cellStyle name="Normal 4 2 2 10 2 3" xfId="4086" xr:uid="{9A053B01-EC6C-4F02-BB4D-6655D4D68BFC}"/>
    <cellStyle name="Normal 4 2 2 10 3" xfId="619" xr:uid="{85A1CA0E-1264-4BAA-921D-77917C0DBA08}"/>
    <cellStyle name="Normal 4 2 2 10 3 2" xfId="2340" xr:uid="{9FED89BE-CE43-4776-8CCB-4A85862D88D7}"/>
    <cellStyle name="Normal 4 2 2 10 3 2 2" xfId="6011" xr:uid="{6617C29C-C43F-40EC-BC09-4B7EB0A3E147}"/>
    <cellStyle name="Normal 4 2 2 10 3 3" xfId="4292" xr:uid="{78B6AE1A-F37C-4C08-B7F9-07C5806C15F4}"/>
    <cellStyle name="Normal 4 2 2 10 4" xfId="837" xr:uid="{2BEEEFF9-1AC2-4AFD-BE8C-182F79479940}"/>
    <cellStyle name="Normal 4 2 2 10 4 2" xfId="2558" xr:uid="{7E6C5B8B-FD7F-4A62-BE52-5B3DE1D81E25}"/>
    <cellStyle name="Normal 4 2 2 10 4 2 2" xfId="6229" xr:uid="{C98D61D4-0A9F-4CE2-BF26-8045735094A7}"/>
    <cellStyle name="Normal 4 2 2 10 4 3" xfId="4510" xr:uid="{BB338539-9228-4ACB-9F56-80A232C23048}"/>
    <cellStyle name="Normal 4 2 2 10 5" xfId="1055" xr:uid="{72306E8F-C3D0-48A4-AF44-8151DFA88034}"/>
    <cellStyle name="Normal 4 2 2 10 5 2" xfId="2776" xr:uid="{73927875-F65B-4AA8-AF6C-904970D07A44}"/>
    <cellStyle name="Normal 4 2 2 10 5 2 2" xfId="6447" xr:uid="{6739CC6E-116C-4F80-9320-F99FDBB25309}"/>
    <cellStyle name="Normal 4 2 2 10 5 3" xfId="4728" xr:uid="{BAE06374-6707-4CE5-9268-EF14ADECB500}"/>
    <cellStyle name="Normal 4 2 2 10 6" xfId="1273" xr:uid="{D83CEC9B-7A1F-452A-B55B-2E1EDC66049A}"/>
    <cellStyle name="Normal 4 2 2 10 6 2" xfId="2994" xr:uid="{7366FC7B-65A9-4533-B3A5-4A5E5F9E7F7A}"/>
    <cellStyle name="Normal 4 2 2 10 6 2 2" xfId="6665" xr:uid="{44E30DB6-5A80-4AD7-B978-1B759516A9B8}"/>
    <cellStyle name="Normal 4 2 2 10 6 3" xfId="4946" xr:uid="{C67A27EB-D263-4264-A385-339B83EB2D4E}"/>
    <cellStyle name="Normal 4 2 2 10 7" xfId="1491" xr:uid="{4E273D79-BBC9-44D0-9E53-E0879FAA2769}"/>
    <cellStyle name="Normal 4 2 2 10 7 2" xfId="3212" xr:uid="{0455780D-015E-4B1A-AC2F-F62416D6793B}"/>
    <cellStyle name="Normal 4 2 2 10 7 2 2" xfId="6883" xr:uid="{907D1E9C-5614-435F-8846-E06BEE5C13F1}"/>
    <cellStyle name="Normal 4 2 2 10 7 3" xfId="5164" xr:uid="{F7566AD8-DECF-4C0B-90B0-6066D1A2F989}"/>
    <cellStyle name="Normal 4 2 2 10 8" xfId="1710" xr:uid="{7EC2039B-B9C9-45D6-B9C4-5B7807927B6F}"/>
    <cellStyle name="Normal 4 2 2 10 8 2" xfId="3431" xr:uid="{7F585225-3E23-481C-98FC-F1C4DAACDA4E}"/>
    <cellStyle name="Normal 4 2 2 10 8 2 2" xfId="7102" xr:uid="{CC7522E6-F08B-4284-B4B5-8483E2C14D9E}"/>
    <cellStyle name="Normal 4 2 2 10 8 3" xfId="5382" xr:uid="{BD9C8B1E-AAE0-4CA4-AA02-9B2005BC3E41}"/>
    <cellStyle name="Normal 4 2 2 10 9" xfId="1930" xr:uid="{DB0FCFA9-72BA-442C-B35A-DD34433E7CC6}"/>
    <cellStyle name="Normal 4 2 2 10 9 2" xfId="5601" xr:uid="{312B9F53-A5F1-4BBA-854B-B5F814F07E02}"/>
    <cellStyle name="Normal 4 2 2 11" xfId="190" xr:uid="{5EEE12DA-ADC5-4501-A061-206CAD455CFC}"/>
    <cellStyle name="Normal 4 2 2 11 10" xfId="3919" xr:uid="{8C87B6A5-4820-4C84-85EC-E6729F023DF0}"/>
    <cellStyle name="Normal 4 2 2 11 2" xfId="436" xr:uid="{2BC77CA8-2665-4760-8249-3CCD554593C4}"/>
    <cellStyle name="Normal 4 2 2 11 2 2" xfId="2135" xr:uid="{A7AB1242-7374-49EC-84CE-EBE2FF90F8D7}"/>
    <cellStyle name="Normal 4 2 2 11 2 2 2" xfId="5806" xr:uid="{7AC0C4C1-A7EE-4A5A-A9B5-7AEF9E3B3153}"/>
    <cellStyle name="Normal 4 2 2 11 2 3" xfId="4099" xr:uid="{B525D4C0-3C68-4323-A2F5-FF8C8A248007}"/>
    <cellStyle name="Normal 4 2 2 11 3" xfId="632" xr:uid="{19847596-BCE7-44A1-BA6B-EBA4EC9D40EE}"/>
    <cellStyle name="Normal 4 2 2 11 3 2" xfId="2353" xr:uid="{6C852DC3-1601-4A00-B6FF-9A8CBB51E411}"/>
    <cellStyle name="Normal 4 2 2 11 3 2 2" xfId="6024" xr:uid="{CBE5EDA2-862B-4EB0-8681-B37BB02784AA}"/>
    <cellStyle name="Normal 4 2 2 11 3 3" xfId="4305" xr:uid="{A8A331FC-6711-4C4E-9E43-E745D571A1B5}"/>
    <cellStyle name="Normal 4 2 2 11 4" xfId="850" xr:uid="{7E38BEFB-5BF6-403F-834B-86218374383C}"/>
    <cellStyle name="Normal 4 2 2 11 4 2" xfId="2571" xr:uid="{D88E606B-F75C-45DF-93FB-A81C1BA4EB4D}"/>
    <cellStyle name="Normal 4 2 2 11 4 2 2" xfId="6242" xr:uid="{A74707F6-9012-49C7-BCAC-34BCE25A6A5D}"/>
    <cellStyle name="Normal 4 2 2 11 4 3" xfId="4523" xr:uid="{C71D2BBA-4275-46AB-98B3-CAABF095C3AA}"/>
    <cellStyle name="Normal 4 2 2 11 5" xfId="1068" xr:uid="{7716FE10-0288-4E7A-A277-A8254AD64407}"/>
    <cellStyle name="Normal 4 2 2 11 5 2" xfId="2789" xr:uid="{E72BC9B5-6AC4-495D-ABD9-E167C18DC1CF}"/>
    <cellStyle name="Normal 4 2 2 11 5 2 2" xfId="6460" xr:uid="{AB06E6F5-3FC6-40BC-B4A3-E2A37CEE823C}"/>
    <cellStyle name="Normal 4 2 2 11 5 3" xfId="4741" xr:uid="{A0D55684-1D6C-45DF-8BA2-157155AC5320}"/>
    <cellStyle name="Normal 4 2 2 11 6" xfId="1286" xr:uid="{F0638EBF-F435-45AE-8E11-44FBDD1285C3}"/>
    <cellStyle name="Normal 4 2 2 11 6 2" xfId="3007" xr:uid="{1829A154-F0BE-4A16-AFEC-08152CF7E7CE}"/>
    <cellStyle name="Normal 4 2 2 11 6 2 2" xfId="6678" xr:uid="{F7DD01B6-8C6F-4862-B385-B58602E4350E}"/>
    <cellStyle name="Normal 4 2 2 11 6 3" xfId="4959" xr:uid="{1EE6A438-7839-4682-A6B0-EAEC1174732A}"/>
    <cellStyle name="Normal 4 2 2 11 7" xfId="1504" xr:uid="{930DA36E-DA91-4632-A71F-9F052127A0EE}"/>
    <cellStyle name="Normal 4 2 2 11 7 2" xfId="3225" xr:uid="{30FADE55-1FEC-4A1E-A658-CBAA5C259DA0}"/>
    <cellStyle name="Normal 4 2 2 11 7 2 2" xfId="6896" xr:uid="{E6E6B20D-69F9-41B9-80CD-E6C6EA8F82A3}"/>
    <cellStyle name="Normal 4 2 2 11 7 3" xfId="5177" xr:uid="{BB44D50A-9B59-40F8-81F4-987408B44739}"/>
    <cellStyle name="Normal 4 2 2 11 8" xfId="1723" xr:uid="{0681F4CC-2500-4844-B537-A75866C6244F}"/>
    <cellStyle name="Normal 4 2 2 11 8 2" xfId="3444" xr:uid="{1CF7BDFE-2286-4E41-BB2D-DE3C92CF3911}"/>
    <cellStyle name="Normal 4 2 2 11 8 2 2" xfId="7115" xr:uid="{E0108348-7BA5-41B8-90B8-F2DDF700D980}"/>
    <cellStyle name="Normal 4 2 2 11 8 3" xfId="5395" xr:uid="{D1C4BB70-BA8D-447C-89D8-911B4BD6A2C9}"/>
    <cellStyle name="Normal 4 2 2 11 9" xfId="1943" xr:uid="{F000A8DB-A0BF-4190-AD06-1DA4BBE85AFA}"/>
    <cellStyle name="Normal 4 2 2 11 9 2" xfId="5614" xr:uid="{E50B4942-5A36-48F6-8BA7-B34A22369C54}"/>
    <cellStyle name="Normal 4 2 2 12" xfId="203" xr:uid="{FBA9E878-1994-49F1-BAA2-F68217A62408}"/>
    <cellStyle name="Normal 4 2 2 12 10" xfId="3932" xr:uid="{0BD27A12-1828-44A5-B71F-EAD2084E82D7}"/>
    <cellStyle name="Normal 4 2 2 12 2" xfId="449" xr:uid="{468B0D91-0E92-4C9F-BAD9-A0F694845CA0}"/>
    <cellStyle name="Normal 4 2 2 12 2 2" xfId="2148" xr:uid="{C93D85D1-6B92-4619-ACEB-9459F4CCF10C}"/>
    <cellStyle name="Normal 4 2 2 12 2 2 2" xfId="5819" xr:uid="{3428A711-0EDF-4D6E-BC35-88D094301BC0}"/>
    <cellStyle name="Normal 4 2 2 12 2 3" xfId="4112" xr:uid="{A88D9181-B0AC-4AFE-A583-09155F4FDB52}"/>
    <cellStyle name="Normal 4 2 2 12 3" xfId="645" xr:uid="{E2BD96F6-6920-4CD8-9901-D207DAC604AA}"/>
    <cellStyle name="Normal 4 2 2 12 3 2" xfId="2366" xr:uid="{6D1C2886-465B-496E-B6C1-34FDFF2A2AF0}"/>
    <cellStyle name="Normal 4 2 2 12 3 2 2" xfId="6037" xr:uid="{89E215FD-8D8E-4B82-A377-7EEF65254D84}"/>
    <cellStyle name="Normal 4 2 2 12 3 3" xfId="4318" xr:uid="{6997994A-7A6C-4372-90E1-B2064AEB3197}"/>
    <cellStyle name="Normal 4 2 2 12 4" xfId="863" xr:uid="{CC3EE103-C807-4DA9-AB67-FEE6F09BA13B}"/>
    <cellStyle name="Normal 4 2 2 12 4 2" xfId="2584" xr:uid="{F24E8837-57AA-401A-9B6A-C3B67ED28D3D}"/>
    <cellStyle name="Normal 4 2 2 12 4 2 2" xfId="6255" xr:uid="{19968188-7F0B-462F-A064-377A93E3A808}"/>
    <cellStyle name="Normal 4 2 2 12 4 3" xfId="4536" xr:uid="{EF0E129F-38B9-4838-ACB0-011D1C651D33}"/>
    <cellStyle name="Normal 4 2 2 12 5" xfId="1081" xr:uid="{6FAB1C5B-E05F-4A22-94EA-EA0F9EE80F18}"/>
    <cellStyle name="Normal 4 2 2 12 5 2" xfId="2802" xr:uid="{4B41C88E-8A5F-451E-857A-B2150AEAF102}"/>
    <cellStyle name="Normal 4 2 2 12 5 2 2" xfId="6473" xr:uid="{670F8CC4-254F-41F0-8588-3C14E864CF90}"/>
    <cellStyle name="Normal 4 2 2 12 5 3" xfId="4754" xr:uid="{4CBF8A4E-C447-4004-B8A0-85203F8D8DC8}"/>
    <cellStyle name="Normal 4 2 2 12 6" xfId="1299" xr:uid="{3F15173B-A7AD-4FD6-9BC0-39A3A87E24C8}"/>
    <cellStyle name="Normal 4 2 2 12 6 2" xfId="3020" xr:uid="{F970F290-D5DC-4267-A632-CD9397FF67E6}"/>
    <cellStyle name="Normal 4 2 2 12 6 2 2" xfId="6691" xr:uid="{2DF36410-4936-4BAE-A0C5-15B7C50D1A05}"/>
    <cellStyle name="Normal 4 2 2 12 6 3" xfId="4972" xr:uid="{AF275310-EFDC-4622-A941-769202D89049}"/>
    <cellStyle name="Normal 4 2 2 12 7" xfId="1517" xr:uid="{A59D5273-C85A-46B4-8540-CACCAE66BD0F}"/>
    <cellStyle name="Normal 4 2 2 12 7 2" xfId="3238" xr:uid="{FB7E8D3D-7F21-43D8-9715-A1FCD5A843B6}"/>
    <cellStyle name="Normal 4 2 2 12 7 2 2" xfId="6909" xr:uid="{65D7D9FF-52D4-44FB-9253-F13E466219D6}"/>
    <cellStyle name="Normal 4 2 2 12 7 3" xfId="5190" xr:uid="{4516684B-ECAC-4E0D-92A6-18C31DE1D9BF}"/>
    <cellStyle name="Normal 4 2 2 12 8" xfId="1736" xr:uid="{2F242A92-9410-45FD-BBF2-BC565DCC38EE}"/>
    <cellStyle name="Normal 4 2 2 12 8 2" xfId="3457" xr:uid="{BB54EC07-45F1-466E-8782-86ABF45EABC6}"/>
    <cellStyle name="Normal 4 2 2 12 8 2 2" xfId="7128" xr:uid="{F2301603-6E15-4694-8792-4F05BB686673}"/>
    <cellStyle name="Normal 4 2 2 12 8 3" xfId="5408" xr:uid="{DB144623-A216-4ADD-98AD-DD4E5CC3927D}"/>
    <cellStyle name="Normal 4 2 2 12 9" xfId="1956" xr:uid="{AFFB8721-DFF3-4FA0-97CB-E350FCB8B06D}"/>
    <cellStyle name="Normal 4 2 2 12 9 2" xfId="5627" xr:uid="{2B3D1C6A-65C8-445F-8308-8C4F67F224C7}"/>
    <cellStyle name="Normal 4 2 2 13" xfId="210" xr:uid="{7BCFDDF6-1BCF-42A2-AD1C-69DB3C8C2277}"/>
    <cellStyle name="Normal 4 2 2 13 10" xfId="3937" xr:uid="{8043C401-D50A-4F26-AADF-44FE97F70CE5}"/>
    <cellStyle name="Normal 4 2 2 13 2" xfId="454" xr:uid="{02C49A7D-476C-47A5-8AC9-B09C9B120B68}"/>
    <cellStyle name="Normal 4 2 2 13 2 2" xfId="2153" xr:uid="{3BDB24B9-C14F-4EC3-83DA-61EA66C94DD7}"/>
    <cellStyle name="Normal 4 2 2 13 2 2 2" xfId="5824" xr:uid="{6B10DF16-5D8F-4270-ACD3-4757261826A7}"/>
    <cellStyle name="Normal 4 2 2 13 2 3" xfId="4117" xr:uid="{F58EA5FE-97CE-49B2-AE91-4769D916F381}"/>
    <cellStyle name="Normal 4 2 2 13 3" xfId="650" xr:uid="{48BEFB72-604B-436A-99F0-BAC24F6A793F}"/>
    <cellStyle name="Normal 4 2 2 13 3 2" xfId="2371" xr:uid="{CE77CE61-B66D-47EA-9359-2CBFE693F48B}"/>
    <cellStyle name="Normal 4 2 2 13 3 2 2" xfId="6042" xr:uid="{97EEB391-C04F-4EE4-AC38-6A5D61B59D5B}"/>
    <cellStyle name="Normal 4 2 2 13 3 3" xfId="4323" xr:uid="{E73EE8AA-CD1C-4F27-AB60-D71013A740EA}"/>
    <cellStyle name="Normal 4 2 2 13 4" xfId="868" xr:uid="{8B2DB506-0597-4087-ADF3-184A0D9E5B21}"/>
    <cellStyle name="Normal 4 2 2 13 4 2" xfId="2589" xr:uid="{E3722E8E-94C3-45DB-8845-071CC750C684}"/>
    <cellStyle name="Normal 4 2 2 13 4 2 2" xfId="6260" xr:uid="{561A17C4-E5C7-42FE-B631-3AD59A6846FC}"/>
    <cellStyle name="Normal 4 2 2 13 4 3" xfId="4541" xr:uid="{A73959F2-0290-43F5-AC47-D1115AA86F2B}"/>
    <cellStyle name="Normal 4 2 2 13 5" xfId="1086" xr:uid="{A0FCD78C-5C20-4703-BDE6-8DEE1EC4FF03}"/>
    <cellStyle name="Normal 4 2 2 13 5 2" xfId="2807" xr:uid="{7532968A-5449-4571-A923-8E174049609B}"/>
    <cellStyle name="Normal 4 2 2 13 5 2 2" xfId="6478" xr:uid="{A61CBEF0-59BD-46A6-9FF2-63C1EB57690E}"/>
    <cellStyle name="Normal 4 2 2 13 5 3" xfId="4759" xr:uid="{008AF659-31B2-4A3A-B9F9-028504801343}"/>
    <cellStyle name="Normal 4 2 2 13 6" xfId="1304" xr:uid="{0095289F-4A98-4B5D-918B-EC4BCCDB79EC}"/>
    <cellStyle name="Normal 4 2 2 13 6 2" xfId="3025" xr:uid="{894976D1-43A9-46B8-A18C-A27B89D33CD2}"/>
    <cellStyle name="Normal 4 2 2 13 6 2 2" xfId="6696" xr:uid="{DECF8F76-5178-4BFE-9322-17FC423AEDA7}"/>
    <cellStyle name="Normal 4 2 2 13 6 3" xfId="4977" xr:uid="{C0C7E87F-AD7B-4028-A3D7-595780670346}"/>
    <cellStyle name="Normal 4 2 2 13 7" xfId="1522" xr:uid="{52F7891E-43F6-4BD2-8659-CD4285D86833}"/>
    <cellStyle name="Normal 4 2 2 13 7 2" xfId="3243" xr:uid="{79FF1193-A0A6-4CE8-A442-E2BC5E9BE62D}"/>
    <cellStyle name="Normal 4 2 2 13 7 2 2" xfId="6914" xr:uid="{B38B3905-B0BE-4D76-A27B-282B4582E89D}"/>
    <cellStyle name="Normal 4 2 2 13 7 3" xfId="5195" xr:uid="{6319DA60-DC22-4DB8-A762-1E763AFB0C5E}"/>
    <cellStyle name="Normal 4 2 2 13 8" xfId="1741" xr:uid="{187E2CFA-3C04-40C6-AB83-A0497C97ADF2}"/>
    <cellStyle name="Normal 4 2 2 13 8 2" xfId="3462" xr:uid="{887D1E6D-F378-4C6D-852D-F328D66004CE}"/>
    <cellStyle name="Normal 4 2 2 13 8 2 2" xfId="7133" xr:uid="{AF8B3A43-D00E-45A5-866F-B1748FE0898C}"/>
    <cellStyle name="Normal 4 2 2 13 8 3" xfId="5413" xr:uid="{AEC611BA-3CD3-4F92-A8BC-E39EEB0AE1E0}"/>
    <cellStyle name="Normal 4 2 2 13 9" xfId="1961" xr:uid="{7BC5233F-D0BE-4FCB-8D8B-0FA30BDB0006}"/>
    <cellStyle name="Normal 4 2 2 13 9 2" xfId="5632" xr:uid="{EB7029A0-DC2B-4C53-B715-D3B3159EB3F3}"/>
    <cellStyle name="Normal 4 2 2 14" xfId="228" xr:uid="{64E778A4-E02B-4875-9982-0DEDA7FEAB21}"/>
    <cellStyle name="Normal 4 2 2 14 10" xfId="3955" xr:uid="{E23FA406-34E1-45C4-8289-D80CDE26B887}"/>
    <cellStyle name="Normal 4 2 2 14 2" xfId="472" xr:uid="{315BB6E8-44E0-4E4A-82CC-C32AA47C30B6}"/>
    <cellStyle name="Normal 4 2 2 14 2 2" xfId="2171" xr:uid="{FF05E461-2B28-44F9-B802-C989745BDF33}"/>
    <cellStyle name="Normal 4 2 2 14 2 2 2" xfId="5842" xr:uid="{698641EB-0BFD-499D-A266-BB73099DB3C9}"/>
    <cellStyle name="Normal 4 2 2 14 2 3" xfId="4135" xr:uid="{15B553F2-98B5-4EA0-8E07-4F8D3D5BDA0C}"/>
    <cellStyle name="Normal 4 2 2 14 3" xfId="668" xr:uid="{64A8A313-800B-4BEC-8BD0-E2642A386043}"/>
    <cellStyle name="Normal 4 2 2 14 3 2" xfId="2389" xr:uid="{F5966788-1179-4A43-8543-1DEF529AC0D3}"/>
    <cellStyle name="Normal 4 2 2 14 3 2 2" xfId="6060" xr:uid="{7B7CB30C-86E1-4B70-A441-9887CB62D759}"/>
    <cellStyle name="Normal 4 2 2 14 3 3" xfId="4341" xr:uid="{286F2EB6-7C37-4FB6-917B-2FDDB7995B54}"/>
    <cellStyle name="Normal 4 2 2 14 4" xfId="886" xr:uid="{E01D2558-5A8D-468F-B14C-45A158331DE6}"/>
    <cellStyle name="Normal 4 2 2 14 4 2" xfId="2607" xr:uid="{E08597B3-05E3-48AB-8500-2A7244CDD7FE}"/>
    <cellStyle name="Normal 4 2 2 14 4 2 2" xfId="6278" xr:uid="{125EAB2B-36FD-4C94-916B-2BD7AD7F178F}"/>
    <cellStyle name="Normal 4 2 2 14 4 3" xfId="4559" xr:uid="{80C015ED-3C83-4590-AF74-D70B59FF50B3}"/>
    <cellStyle name="Normal 4 2 2 14 5" xfId="1104" xr:uid="{4DD05685-F0DD-48F1-9C40-1B45A2E4A5D9}"/>
    <cellStyle name="Normal 4 2 2 14 5 2" xfId="2825" xr:uid="{C3AA10C5-9207-480D-AF74-DC259E713BCF}"/>
    <cellStyle name="Normal 4 2 2 14 5 2 2" xfId="6496" xr:uid="{605A3656-54B9-4B18-80E1-08B176CE5D82}"/>
    <cellStyle name="Normal 4 2 2 14 5 3" xfId="4777" xr:uid="{C7E80679-8BF3-429E-B3AF-3231BF024DE7}"/>
    <cellStyle name="Normal 4 2 2 14 6" xfId="1322" xr:uid="{6E39910C-E26B-4CEB-9D67-C200A7E13857}"/>
    <cellStyle name="Normal 4 2 2 14 6 2" xfId="3043" xr:uid="{56E2018A-529F-4733-9561-25FC3D1FB527}"/>
    <cellStyle name="Normal 4 2 2 14 6 2 2" xfId="6714" xr:uid="{A4EB069A-9575-401F-99F7-306FE0765AE7}"/>
    <cellStyle name="Normal 4 2 2 14 6 3" xfId="4995" xr:uid="{7DCF28B9-295C-400C-899E-E7F1E9650CBC}"/>
    <cellStyle name="Normal 4 2 2 14 7" xfId="1540" xr:uid="{BCD99F2A-DCB5-4944-8A16-09267ECBAE75}"/>
    <cellStyle name="Normal 4 2 2 14 7 2" xfId="3261" xr:uid="{5B29FF43-E2F7-4B8D-AAD0-612F7B5253B9}"/>
    <cellStyle name="Normal 4 2 2 14 7 2 2" xfId="6932" xr:uid="{DA9505EF-8E99-4CBF-844A-5B7526978CFD}"/>
    <cellStyle name="Normal 4 2 2 14 7 3" xfId="5213" xr:uid="{73FA853B-B750-4277-B488-1173358CE5A9}"/>
    <cellStyle name="Normal 4 2 2 14 8" xfId="1759" xr:uid="{109BDC79-CED0-4AC6-A424-3F01038BCEF3}"/>
    <cellStyle name="Normal 4 2 2 14 8 2" xfId="3480" xr:uid="{7CBC8808-E589-4149-8209-286A6CA3291A}"/>
    <cellStyle name="Normal 4 2 2 14 8 2 2" xfId="7151" xr:uid="{60C43994-EF2B-45D1-BDDF-16F08CFE018D}"/>
    <cellStyle name="Normal 4 2 2 14 8 3" xfId="5431" xr:uid="{6FB16F57-CAAF-48E7-AFBC-421C7E59B1FE}"/>
    <cellStyle name="Normal 4 2 2 14 9" xfId="1979" xr:uid="{662605AB-E646-4082-889A-A5A4A4971D61}"/>
    <cellStyle name="Normal 4 2 2 14 9 2" xfId="5650" xr:uid="{D4BAE45F-FF77-44A3-A53E-15A0DA8ACD10}"/>
    <cellStyle name="Normal 4 2 2 15" xfId="241" xr:uid="{5005301B-0DF3-4EA5-B3CD-902830EE8A50}"/>
    <cellStyle name="Normal 4 2 2 15 10" xfId="3968" xr:uid="{26FA0323-E6C2-411D-9CD7-4AE40016C0CD}"/>
    <cellStyle name="Normal 4 2 2 15 2" xfId="485" xr:uid="{80C4DEFA-F3DB-4A14-BB88-7A588E9B8427}"/>
    <cellStyle name="Normal 4 2 2 15 2 2" xfId="2184" xr:uid="{8B58EAC8-B332-415C-845F-E360E59B5F59}"/>
    <cellStyle name="Normal 4 2 2 15 2 2 2" xfId="5855" xr:uid="{441EA503-BC2C-4C62-97F1-86D7A7DEB989}"/>
    <cellStyle name="Normal 4 2 2 15 2 3" xfId="4148" xr:uid="{BF3E9B54-84AB-452B-B8A7-DB750E53DAEF}"/>
    <cellStyle name="Normal 4 2 2 15 3" xfId="681" xr:uid="{F681E347-152F-452E-8F03-2B134BDA845B}"/>
    <cellStyle name="Normal 4 2 2 15 3 2" xfId="2402" xr:uid="{C5364B97-99A3-46E3-B253-3FA6E25F7393}"/>
    <cellStyle name="Normal 4 2 2 15 3 2 2" xfId="6073" xr:uid="{BB1CD86F-B860-4566-96FF-7DCA85E84811}"/>
    <cellStyle name="Normal 4 2 2 15 3 3" xfId="4354" xr:uid="{EEEFC8D1-4762-4940-BBDE-D9C202C6FA88}"/>
    <cellStyle name="Normal 4 2 2 15 4" xfId="899" xr:uid="{47E3CB2A-8BCA-4A45-B84E-597A229A2AD0}"/>
    <cellStyle name="Normal 4 2 2 15 4 2" xfId="2620" xr:uid="{BF5F5771-EBAE-4E68-A733-CB580253885C}"/>
    <cellStyle name="Normal 4 2 2 15 4 2 2" xfId="6291" xr:uid="{9B124ED9-676B-4916-8FCC-B9DEB6B6CD2B}"/>
    <cellStyle name="Normal 4 2 2 15 4 3" xfId="4572" xr:uid="{9F4E0072-D335-4D38-87BD-DFF4B5495C32}"/>
    <cellStyle name="Normal 4 2 2 15 5" xfId="1117" xr:uid="{A9CB6697-88DC-4B97-9619-6ED3C0322ADA}"/>
    <cellStyle name="Normal 4 2 2 15 5 2" xfId="2838" xr:uid="{360F3250-97C8-4687-83F8-058613C75BD7}"/>
    <cellStyle name="Normal 4 2 2 15 5 2 2" xfId="6509" xr:uid="{53DEE7A7-7275-4A7D-82DD-B89C16D2C132}"/>
    <cellStyle name="Normal 4 2 2 15 5 3" xfId="4790" xr:uid="{92AA621E-CD4A-4C83-9481-5A8F0DA40DB0}"/>
    <cellStyle name="Normal 4 2 2 15 6" xfId="1335" xr:uid="{C249097A-A34C-4AA1-B6F8-E51595ACFEFC}"/>
    <cellStyle name="Normal 4 2 2 15 6 2" xfId="3056" xr:uid="{0B0B04A3-4BD3-4AFC-9AA4-4DCA99A9F82D}"/>
    <cellStyle name="Normal 4 2 2 15 6 2 2" xfId="6727" xr:uid="{5A8FD19E-448F-4FFA-A7FB-FC8B4686FA31}"/>
    <cellStyle name="Normal 4 2 2 15 6 3" xfId="5008" xr:uid="{D97FD248-53B9-43BC-9FC5-1E1AAECB9381}"/>
    <cellStyle name="Normal 4 2 2 15 7" xfId="1553" xr:uid="{F0A5E8A1-7134-40E8-9EB8-B174CC7FB7EA}"/>
    <cellStyle name="Normal 4 2 2 15 7 2" xfId="3274" xr:uid="{8DBE9F13-2083-4A4D-BB4F-A7C2AC99DDFA}"/>
    <cellStyle name="Normal 4 2 2 15 7 2 2" xfId="6945" xr:uid="{E676AD82-8F39-4E1D-AB36-7ED993958813}"/>
    <cellStyle name="Normal 4 2 2 15 7 3" xfId="5226" xr:uid="{0ACDEB41-C45C-46D5-B815-7E54CF51C0FC}"/>
    <cellStyle name="Normal 4 2 2 15 8" xfId="1772" xr:uid="{FF42780B-159B-41B1-B480-CF9265863D28}"/>
    <cellStyle name="Normal 4 2 2 15 8 2" xfId="3493" xr:uid="{522FC66C-6FDA-46A7-B1D6-805FA743B1C2}"/>
    <cellStyle name="Normal 4 2 2 15 8 2 2" xfId="7164" xr:uid="{BD98C842-5514-428F-A645-14E8710D86CC}"/>
    <cellStyle name="Normal 4 2 2 15 8 3" xfId="5444" xr:uid="{B960B7E2-608F-482B-93C9-CD6C64DD83F4}"/>
    <cellStyle name="Normal 4 2 2 15 9" xfId="1992" xr:uid="{F0DEF802-536F-4C90-A760-A5F8D1E9F621}"/>
    <cellStyle name="Normal 4 2 2 15 9 2" xfId="5663" xr:uid="{EFC17BB5-FA0C-487C-B122-3D4E39AC2BC0}"/>
    <cellStyle name="Normal 4 2 2 16" xfId="254" xr:uid="{D8570BEB-7177-45D1-B75E-6B9C159EA67A}"/>
    <cellStyle name="Normal 4 2 2 16 2" xfId="694" xr:uid="{ECAAFB0E-1D02-47BB-847B-8D51FAADE9BA}"/>
    <cellStyle name="Normal 4 2 2 16 2 2" xfId="2415" xr:uid="{1ABA5D9A-AE14-453C-9AB8-10675C36E9FD}"/>
    <cellStyle name="Normal 4 2 2 16 2 2 2" xfId="6086" xr:uid="{3822C988-E281-41A8-ADD9-86147B6BB5BB}"/>
    <cellStyle name="Normal 4 2 2 16 2 3" xfId="4367" xr:uid="{9A297BAF-13CB-4D8E-9753-21510CBB9D4D}"/>
    <cellStyle name="Normal 4 2 2 16 3" xfId="912" xr:uid="{7080864D-E17B-4ACF-9566-E4DCB129409C}"/>
    <cellStyle name="Normal 4 2 2 16 3 2" xfId="2633" xr:uid="{4879AA17-1F6D-4A4C-86FF-D846B4040989}"/>
    <cellStyle name="Normal 4 2 2 16 3 2 2" xfId="6304" xr:uid="{C16AF46F-98ED-422A-9655-FA8C3F9FDE4C}"/>
    <cellStyle name="Normal 4 2 2 16 3 3" xfId="4585" xr:uid="{874AE84F-AD2A-4BDA-A271-ECB1892BA322}"/>
    <cellStyle name="Normal 4 2 2 16 4" xfId="1130" xr:uid="{1D89D1D5-66DC-45A5-9D2E-01C12EC18245}"/>
    <cellStyle name="Normal 4 2 2 16 4 2" xfId="2851" xr:uid="{A67035B7-67EF-4D56-AB6F-626261A8CF62}"/>
    <cellStyle name="Normal 4 2 2 16 4 2 2" xfId="6522" xr:uid="{10B6BFA8-314E-4843-AE42-DE882C4D3005}"/>
    <cellStyle name="Normal 4 2 2 16 4 3" xfId="4803" xr:uid="{B4834436-B1AE-4AAE-AB17-C3633452AA49}"/>
    <cellStyle name="Normal 4 2 2 16 5" xfId="1348" xr:uid="{817BEDD8-C6DB-4560-B0CE-90961DF8289B}"/>
    <cellStyle name="Normal 4 2 2 16 5 2" xfId="3069" xr:uid="{2DF331CA-8C2E-4BB0-A6AF-77063B39A569}"/>
    <cellStyle name="Normal 4 2 2 16 5 2 2" xfId="6740" xr:uid="{02753010-81A8-44FB-9F6F-EF4A2EF6F9B0}"/>
    <cellStyle name="Normal 4 2 2 16 5 3" xfId="5021" xr:uid="{A584BD4B-ABA0-45D6-B6E7-0B0A59F65B7E}"/>
    <cellStyle name="Normal 4 2 2 16 6" xfId="1566" xr:uid="{4867FD5A-6E27-49D6-BAA8-4FC27AD4281C}"/>
    <cellStyle name="Normal 4 2 2 16 6 2" xfId="3287" xr:uid="{22830837-D97F-4CBF-87A6-E74005B6F4AC}"/>
    <cellStyle name="Normal 4 2 2 16 6 2 2" xfId="6958" xr:uid="{8065D18B-3ACB-4CC4-A41E-CF8A99688D0F}"/>
    <cellStyle name="Normal 4 2 2 16 6 3" xfId="5239" xr:uid="{592D4CF7-B1FB-43D3-8BF6-00C5F9BBD66B}"/>
    <cellStyle name="Normal 4 2 2 16 7" xfId="1785" xr:uid="{822371B0-B613-471D-962F-32D61B4632E7}"/>
    <cellStyle name="Normal 4 2 2 16 7 2" xfId="3506" xr:uid="{E2F8B091-53F9-4231-9236-9FEF11411653}"/>
    <cellStyle name="Normal 4 2 2 16 7 2 2" xfId="7177" xr:uid="{9B787282-93F3-42E4-BE34-3993E73DD613}"/>
    <cellStyle name="Normal 4 2 2 16 7 3" xfId="5457" xr:uid="{509A9F36-D019-4497-BC56-F89F3348D7DC}"/>
    <cellStyle name="Normal 4 2 2 16 8" xfId="2197" xr:uid="{68537154-490C-46A3-BA83-233E807C1DA2}"/>
    <cellStyle name="Normal 4 2 2 16 8 2" xfId="5868" xr:uid="{DFB01A6A-9D10-4F15-B75E-AD3B958A110A}"/>
    <cellStyle name="Normal 4 2 2 16 9" xfId="4161" xr:uid="{5426C301-D27C-46E5-A505-797A473B3D3F}"/>
    <cellStyle name="Normal 4 2 2 17" xfId="267" xr:uid="{81A2F97E-4524-4819-ACEF-2CF46A985B88}"/>
    <cellStyle name="Normal 4 2 2 17 2" xfId="707" xr:uid="{03A3E5C2-7AAC-45B1-8812-66C604C6607B}"/>
    <cellStyle name="Normal 4 2 2 17 2 2" xfId="2428" xr:uid="{93F139D4-B321-4664-B586-5B1E94ECFAE0}"/>
    <cellStyle name="Normal 4 2 2 17 2 2 2" xfId="6099" xr:uid="{F2A85404-DB14-47FE-A3EB-341DA7C97264}"/>
    <cellStyle name="Normal 4 2 2 17 2 3" xfId="4380" xr:uid="{0229FF42-E6E8-4572-AE31-37CE325631EB}"/>
    <cellStyle name="Normal 4 2 2 17 3" xfId="925" xr:uid="{5D8EE7AC-5105-4CEC-A076-F53322AEB057}"/>
    <cellStyle name="Normal 4 2 2 17 3 2" xfId="2646" xr:uid="{C2507A62-0B11-4EBF-9D5D-6C891734A9FF}"/>
    <cellStyle name="Normal 4 2 2 17 3 2 2" xfId="6317" xr:uid="{5BF849E5-7D20-419F-963B-59E6FAD77D94}"/>
    <cellStyle name="Normal 4 2 2 17 3 3" xfId="4598" xr:uid="{61CD0E29-CE42-41C9-BEC1-4DDC7A5D2E13}"/>
    <cellStyle name="Normal 4 2 2 17 4" xfId="1143" xr:uid="{1FC0540F-0354-47C4-85A1-EA6CAA9471A4}"/>
    <cellStyle name="Normal 4 2 2 17 4 2" xfId="2864" xr:uid="{AEFB1D63-D363-4912-8985-407ECE331D5F}"/>
    <cellStyle name="Normal 4 2 2 17 4 2 2" xfId="6535" xr:uid="{A85918F5-B97C-46CE-8226-DFDC0CA47534}"/>
    <cellStyle name="Normal 4 2 2 17 4 3" xfId="4816" xr:uid="{5D9AA06A-7BE6-4943-8855-76D0649816F8}"/>
    <cellStyle name="Normal 4 2 2 17 5" xfId="1361" xr:uid="{5E1C80D3-5B40-4B5C-8710-1141D303B93D}"/>
    <cellStyle name="Normal 4 2 2 17 5 2" xfId="3082" xr:uid="{EB15AD94-EB6D-4929-A37F-A7E649156A55}"/>
    <cellStyle name="Normal 4 2 2 17 5 2 2" xfId="6753" xr:uid="{B6428D03-8551-41FE-8CFE-9F824619237B}"/>
    <cellStyle name="Normal 4 2 2 17 5 3" xfId="5034" xr:uid="{993C981B-7351-4D96-8D1F-6C5EBFE2E2B0}"/>
    <cellStyle name="Normal 4 2 2 17 6" xfId="1579" xr:uid="{19D08086-60FD-49C3-B24D-E59FBA6FA250}"/>
    <cellStyle name="Normal 4 2 2 17 6 2" xfId="3300" xr:uid="{A26B17BA-2791-410A-8AFA-22186D25319C}"/>
    <cellStyle name="Normal 4 2 2 17 6 2 2" xfId="6971" xr:uid="{5FAA164D-3C42-479C-97E6-B62AF3D63136}"/>
    <cellStyle name="Normal 4 2 2 17 6 3" xfId="5252" xr:uid="{C4C8B5D5-2C7E-423B-8EAB-E8D13F5D232A}"/>
    <cellStyle name="Normal 4 2 2 17 7" xfId="1798" xr:uid="{C503CECF-35DB-4713-8B4F-A500F348B9F6}"/>
    <cellStyle name="Normal 4 2 2 17 7 2" xfId="3519" xr:uid="{4CD22BAF-17C8-46E4-B13E-5919353D88D7}"/>
    <cellStyle name="Normal 4 2 2 17 7 2 2" xfId="7190" xr:uid="{14F56231-756E-467A-99FA-0F987A6D6B7E}"/>
    <cellStyle name="Normal 4 2 2 17 7 3" xfId="5470" xr:uid="{386F03E0-3F4B-4C68-A84E-11A8A25D7C49}"/>
    <cellStyle name="Normal 4 2 2 17 8" xfId="2210" xr:uid="{14A05E11-893D-4085-884F-123E24A7B1C4}"/>
    <cellStyle name="Normal 4 2 2 17 8 2" xfId="5881" xr:uid="{358DFC16-34D3-4E8F-9BDF-BEDEF6335A76}"/>
    <cellStyle name="Normal 4 2 2 17 9" xfId="4174" xr:uid="{57DD7D66-95A8-4020-A777-8A7DFA67AB1F}"/>
    <cellStyle name="Normal 4 2 2 18" xfId="307" xr:uid="{774F854F-7147-463B-A5CA-5CA558DD45C8}"/>
    <cellStyle name="Normal 4 2 2 18 2" xfId="2005" xr:uid="{726AF024-CDC8-4068-92EC-5A102E9062A6}"/>
    <cellStyle name="Normal 4 2 2 18 2 2" xfId="5676" xr:uid="{8D3108E2-B76A-4DE5-9AF9-3E55E349F348}"/>
    <cellStyle name="Normal 4 2 2 18 3" xfId="3981" xr:uid="{11F719A6-B60C-450D-8AD7-BDF33C26D993}"/>
    <cellStyle name="Normal 4 2 2 19" xfId="502" xr:uid="{665F88D2-5D00-4477-9EFD-60FC17D4ED01}"/>
    <cellStyle name="Normal 4 2 2 19 2" xfId="2223" xr:uid="{6E384B46-E121-4426-8513-9D480C0E3899}"/>
    <cellStyle name="Normal 4 2 2 19 2 2" xfId="5894" xr:uid="{3F535080-A055-482E-8930-7A2F02F1AA4D}"/>
    <cellStyle name="Normal 4 2 2 19 3" xfId="4187" xr:uid="{3615B7C0-DE52-4471-B671-4BA39B2D8098}"/>
    <cellStyle name="Normal 4 2 2 2" xfId="73" xr:uid="{1205E274-D7AD-457B-B7E7-53A7EF28D4E5}"/>
    <cellStyle name="Normal 4 2 2 2 10" xfId="1826" xr:uid="{94406F8F-00DC-4959-910F-0D9527659C90}"/>
    <cellStyle name="Normal 4 2 2 2 10 2" xfId="5497" xr:uid="{3F501164-F6A2-45D9-AF2E-6094137A7A4D}"/>
    <cellStyle name="Normal 4 2 2 2 11" xfId="3802" xr:uid="{2AAE396B-1347-4720-8431-0713BBF6DDDA}"/>
    <cellStyle name="Normal 4 2 2 2 2" xfId="215" xr:uid="{3C717E05-B2FA-4DEC-88FE-CCF4BA02C9E0}"/>
    <cellStyle name="Normal 4 2 2 2 2 10" xfId="3942" xr:uid="{49DF321F-310E-49BC-A362-A1D9466F49CA}"/>
    <cellStyle name="Normal 4 2 2 2 2 2" xfId="459" xr:uid="{DB152FC2-FF80-4B3D-B779-8FCC7FD54EB8}"/>
    <cellStyle name="Normal 4 2 2 2 2 2 2" xfId="2158" xr:uid="{E8F33828-62A0-4436-A34D-4D5BB1A5231F}"/>
    <cellStyle name="Normal 4 2 2 2 2 2 2 2" xfId="5829" xr:uid="{0D912111-B203-45B0-86C4-1B46999B7B1A}"/>
    <cellStyle name="Normal 4 2 2 2 2 2 2 2 2" xfId="7264" xr:uid="{713A4480-EE1F-428B-A97C-443BB9B84806}"/>
    <cellStyle name="Normal 4 2 2 2 2 2 2 3" xfId="7315" xr:uid="{44D448BD-77E9-40A3-8C07-24AB62F95C0E}"/>
    <cellStyle name="Normal 4 2 2 2 2 2 3" xfId="4122" xr:uid="{8AFB8F52-6964-408E-832A-259389F2E485}"/>
    <cellStyle name="Normal 4 2 2 2 2 2 3 2" xfId="7281" xr:uid="{0052CF37-8AB6-4A26-BC97-376072D11430}"/>
    <cellStyle name="Normal 4 2 2 2 2 2 4" xfId="7268" xr:uid="{2C07C466-2994-4A06-B0A5-23188286A5B4}"/>
    <cellStyle name="Normal 4 2 2 2 2 3" xfId="655" xr:uid="{1394FA17-4056-4B0D-8A2D-825DE5D77DB1}"/>
    <cellStyle name="Normal 4 2 2 2 2 3 2" xfId="2376" xr:uid="{362A4375-9C74-4F11-A1B3-8593C1752ED2}"/>
    <cellStyle name="Normal 4 2 2 2 2 3 2 2" xfId="6047" xr:uid="{BEC18783-5195-40F5-A382-C3B87C5D5318}"/>
    <cellStyle name="Normal 4 2 2 2 2 3 3" xfId="4328" xr:uid="{BA9B5533-4EB3-46B3-B8A3-1211A531C7A8}"/>
    <cellStyle name="Normal 4 2 2 2 2 4" xfId="873" xr:uid="{3EA96A25-F1CD-4626-80A2-92E607F9661E}"/>
    <cellStyle name="Normal 4 2 2 2 2 4 2" xfId="2594" xr:uid="{EA71F85A-4A81-4DA1-957A-158EC954B576}"/>
    <cellStyle name="Normal 4 2 2 2 2 4 2 2" xfId="6265" xr:uid="{DD286DB0-912D-4FAA-8ED7-406F83D7016E}"/>
    <cellStyle name="Normal 4 2 2 2 2 4 3" xfId="4546" xr:uid="{C0C85462-9BB0-478E-9D12-1E14DC831341}"/>
    <cellStyle name="Normal 4 2 2 2 2 5" xfId="1091" xr:uid="{7A94D105-04BB-4F06-A2C9-0EA0C2511F5E}"/>
    <cellStyle name="Normal 4 2 2 2 2 5 2" xfId="2812" xr:uid="{411291B8-C8DF-4335-A9F4-26EAE15D1920}"/>
    <cellStyle name="Normal 4 2 2 2 2 5 2 2" xfId="6483" xr:uid="{E770DC12-0811-4A80-8DB5-D713C3FA7ED6}"/>
    <cellStyle name="Normal 4 2 2 2 2 5 3" xfId="4764" xr:uid="{ECACBF91-78B9-4B7E-8520-4DD3874B3362}"/>
    <cellStyle name="Normal 4 2 2 2 2 6" xfId="1309" xr:uid="{686ECEE0-C200-4EA5-84D6-9C7ED3D5F334}"/>
    <cellStyle name="Normal 4 2 2 2 2 6 2" xfId="3030" xr:uid="{3753629C-3609-4A50-9415-FF98BA7BFD18}"/>
    <cellStyle name="Normal 4 2 2 2 2 6 2 2" xfId="6701" xr:uid="{DE416B87-BC04-4426-B912-13CFF59743C8}"/>
    <cellStyle name="Normal 4 2 2 2 2 6 3" xfId="4982" xr:uid="{3EBAB23A-5163-4B52-A727-1C290D7EED74}"/>
    <cellStyle name="Normal 4 2 2 2 2 7" xfId="1527" xr:uid="{7C2C8D23-611E-43E7-84DD-245516D43B3B}"/>
    <cellStyle name="Normal 4 2 2 2 2 7 2" xfId="3248" xr:uid="{6E79BD11-E05B-4038-BD93-03388B040060}"/>
    <cellStyle name="Normal 4 2 2 2 2 7 2 2" xfId="6919" xr:uid="{75A4C6A1-4993-4DE8-A7DB-91AF869E4444}"/>
    <cellStyle name="Normal 4 2 2 2 2 7 3" xfId="5200" xr:uid="{2588FE0D-4358-4F56-A615-4E69D0D86414}"/>
    <cellStyle name="Normal 4 2 2 2 2 8" xfId="1746" xr:uid="{A9D66253-3C9D-4A84-B125-D8749D30A779}"/>
    <cellStyle name="Normal 4 2 2 2 2 8 2" xfId="3467" xr:uid="{FB3E1517-FE92-4776-A8D1-1E3F04FCF0F5}"/>
    <cellStyle name="Normal 4 2 2 2 2 8 2 2" xfId="7138" xr:uid="{928BD321-E1AA-4C1D-8FF3-E9D3EEF4C964}"/>
    <cellStyle name="Normal 4 2 2 2 2 8 3" xfId="5418" xr:uid="{D2EB146C-589B-40C1-ACE8-F606BCA6B701}"/>
    <cellStyle name="Normal 4 2 2 2 2 9" xfId="1966" xr:uid="{FC0FD519-BCA1-4D62-A970-A3AC1710954A}"/>
    <cellStyle name="Normal 4 2 2 2 2 9 2" xfId="5637" xr:uid="{76309793-2D0B-44C6-93E1-8BFEE45F50A8}"/>
    <cellStyle name="Normal 4 2 2 2 3" xfId="319" xr:uid="{A96ABCD3-700F-4B10-B553-C57DB9BE5668}"/>
    <cellStyle name="Normal 4 2 2 2 3 2" xfId="2018" xr:uid="{B3736BD1-EF26-4327-969B-10B2E7A7DB6B}"/>
    <cellStyle name="Normal 4 2 2 2 3 2 2" xfId="5689" xr:uid="{EFE1C117-FA9E-436C-A726-E71B909FE491}"/>
    <cellStyle name="Normal 4 2 2 2 3 2 2 2" xfId="3707" xr:uid="{8C4ED1E9-5818-4575-A351-E69A407FEBCB}"/>
    <cellStyle name="Normal 4 2 2 2 3 2 3" xfId="3646" xr:uid="{CE3C1711-6B98-4658-B13A-FBC6091C6935}"/>
    <cellStyle name="Normal 4 2 2 2 3 3" xfId="3989" xr:uid="{55D8B076-40B6-431E-9FA4-BE8C6C18E41B}"/>
    <cellStyle name="Normal 4 2 2 2 3 3 2" xfId="3756" xr:uid="{136152AD-2BD5-44E9-8806-F5B8F12D8EF6}"/>
    <cellStyle name="Normal 4 2 2 2 3 4" xfId="3679" xr:uid="{A59F1897-394C-45D6-AED3-29D8511DBA23}"/>
    <cellStyle name="Normal 4 2 2 2 4" xfId="515" xr:uid="{D8E440D2-806D-48E4-AEAB-5049D3B5716D}"/>
    <cellStyle name="Normal 4 2 2 2 4 2" xfId="2236" xr:uid="{15C2AE7F-8736-4AC5-AB11-EFE33D5C3B76}"/>
    <cellStyle name="Normal 4 2 2 2 4 2 2" xfId="5907" xr:uid="{9E458E6A-94C3-49E4-B064-F8AA669A35D0}"/>
    <cellStyle name="Normal 4 2 2 2 4 3" xfId="4195" xr:uid="{496BE92C-8802-445B-B5E7-D08034D5ED68}"/>
    <cellStyle name="Normal 4 2 2 2 5" xfId="733" xr:uid="{E4F7FD5F-B4C7-45D1-8DC6-AA547DF69C5E}"/>
    <cellStyle name="Normal 4 2 2 2 5 2" xfId="2454" xr:uid="{FB713011-EC2E-4AE1-92DC-12BAA949ED12}"/>
    <cellStyle name="Normal 4 2 2 2 5 2 2" xfId="6125" xr:uid="{2C503E5F-27D4-44E5-A547-2C2D049173DC}"/>
    <cellStyle name="Normal 4 2 2 2 5 3" xfId="4406" xr:uid="{FCEA417A-E684-4DDB-AFEF-1423CC04D7E2}"/>
    <cellStyle name="Normal 4 2 2 2 6" xfId="951" xr:uid="{90DBB42F-3CC5-48FD-91E3-3E909D41BC37}"/>
    <cellStyle name="Normal 4 2 2 2 6 2" xfId="2672" xr:uid="{99977D8D-A0DC-4102-BF66-A21F714E10CA}"/>
    <cellStyle name="Normal 4 2 2 2 6 2 2" xfId="6343" xr:uid="{46DD8B66-0557-4358-BC10-89F2963071B5}"/>
    <cellStyle name="Normal 4 2 2 2 6 3" xfId="4624" xr:uid="{3F6BE1FC-21D6-41F8-BBBA-521E107431BC}"/>
    <cellStyle name="Normal 4 2 2 2 7" xfId="1169" xr:uid="{78982463-D815-498D-894E-CBD3DE19A775}"/>
    <cellStyle name="Normal 4 2 2 2 7 2" xfId="2890" xr:uid="{B7B118E5-83E8-4622-93D4-D63FDF2B6393}"/>
    <cellStyle name="Normal 4 2 2 2 7 2 2" xfId="6561" xr:uid="{6014C13B-139F-44B8-B066-99E8AEF4ADA0}"/>
    <cellStyle name="Normal 4 2 2 2 7 3" xfId="4842" xr:uid="{426DCF8A-8CB7-4DCF-A971-725206EE0346}"/>
    <cellStyle name="Normal 4 2 2 2 8" xfId="1387" xr:uid="{6EFF15AC-9FDF-4A8D-B6F0-33FB188171A4}"/>
    <cellStyle name="Normal 4 2 2 2 8 2" xfId="3108" xr:uid="{F6DC4A69-1ACB-48FC-BCB0-6F11CB08F10D}"/>
    <cellStyle name="Normal 4 2 2 2 8 2 2" xfId="6779" xr:uid="{C397C45D-089A-4CFB-A732-25D781FE78AE}"/>
    <cellStyle name="Normal 4 2 2 2 8 3" xfId="5060" xr:uid="{9C211C56-FBB2-4F48-8068-C74B49F67A85}"/>
    <cellStyle name="Normal 4 2 2 2 9" xfId="1606" xr:uid="{4E6470CF-D5E8-4CF5-ABDB-42056645189D}"/>
    <cellStyle name="Normal 4 2 2 2 9 2" xfId="3327" xr:uid="{519BE336-7D03-4B21-9E88-56B58BFA2606}"/>
    <cellStyle name="Normal 4 2 2 2 9 2 2" xfId="6998" xr:uid="{82918849-F495-48D4-A871-57F8CD2E41C2}"/>
    <cellStyle name="Normal 4 2 2 2 9 3" xfId="5278" xr:uid="{10A00F1C-CA9B-40B4-8CB6-8E95F51FD006}"/>
    <cellStyle name="Normal 4 2 2 20" xfId="720" xr:uid="{293A67C0-0B4D-4941-BE72-4C4C0F4CFC5E}"/>
    <cellStyle name="Normal 4 2 2 20 2" xfId="2441" xr:uid="{0DF21EC5-0ACC-4E12-8CAC-D09713903A22}"/>
    <cellStyle name="Normal 4 2 2 20 2 2" xfId="6112" xr:uid="{0F71DB96-2ADF-460A-AD08-BA0DD40E3F02}"/>
    <cellStyle name="Normal 4 2 2 20 3" xfId="4393" xr:uid="{45D73625-4D9C-4199-B67C-CFBD7A1F7C4B}"/>
    <cellStyle name="Normal 4 2 2 21" xfId="938" xr:uid="{3EC848B2-C18F-48BD-ACB5-337759BD7CB7}"/>
    <cellStyle name="Normal 4 2 2 21 2" xfId="2659" xr:uid="{8F37EC7D-DBD1-4C10-A5A4-E84EA1F90BE3}"/>
    <cellStyle name="Normal 4 2 2 21 2 2" xfId="6330" xr:uid="{57DEB635-1907-49FA-A504-6D7C50757030}"/>
    <cellStyle name="Normal 4 2 2 21 3" xfId="4611" xr:uid="{32E3646E-80F3-4505-A3AB-2B663C4760CE}"/>
    <cellStyle name="Normal 4 2 2 22" xfId="1156" xr:uid="{B8B001D7-ADFD-4458-9093-7ACA2AB53356}"/>
    <cellStyle name="Normal 4 2 2 22 2" xfId="2877" xr:uid="{8BC53AD0-CCED-49F8-B9CB-D2C9D0FCD492}"/>
    <cellStyle name="Normal 4 2 2 22 2 2" xfId="6548" xr:uid="{3C41B420-7AF5-49FE-9B10-4C828D7B5932}"/>
    <cellStyle name="Normal 4 2 2 22 3" xfId="4829" xr:uid="{8F92DD77-D14D-4206-BC32-218D4C7B0017}"/>
    <cellStyle name="Normal 4 2 2 23" xfId="1374" xr:uid="{F1B4DACF-0C4E-4667-B7BD-5630B494E4BC}"/>
    <cellStyle name="Normal 4 2 2 23 2" xfId="3095" xr:uid="{C3B2D520-77F8-401B-9EC8-DE0E5017C231}"/>
    <cellStyle name="Normal 4 2 2 23 2 2" xfId="6766" xr:uid="{0E457C69-425E-4A29-B97D-145EA672AEFD}"/>
    <cellStyle name="Normal 4 2 2 23 3" xfId="5047" xr:uid="{92E08BC7-B0ED-489B-B6CC-AEFD658D7BBF}"/>
    <cellStyle name="Normal 4 2 2 24" xfId="1593" xr:uid="{1CBD8F1E-389A-4AF3-AA46-A762394B828B}"/>
    <cellStyle name="Normal 4 2 2 24 2" xfId="3314" xr:uid="{253897C5-8104-4E65-9904-8102999FB0C5}"/>
    <cellStyle name="Normal 4 2 2 24 2 2" xfId="6985" xr:uid="{CCA279C9-7658-4A8C-93E0-3C9A7611DA40}"/>
    <cellStyle name="Normal 4 2 2 24 3" xfId="5265" xr:uid="{26104E0B-BB8F-4F62-B45C-F75708A697BF}"/>
    <cellStyle name="Normal 4 2 2 25" xfId="1813" xr:uid="{7D4A63CB-682C-425D-BD71-7909000E7905}"/>
    <cellStyle name="Normal 4 2 2 25 2" xfId="5484" xr:uid="{88C8EFFD-0106-48D8-8DB8-8DD955B53EB1}"/>
    <cellStyle name="Normal 4 2 2 26" xfId="3789" xr:uid="{C4AB1D27-CF92-4BE3-A7C3-E1DB6E891D32}"/>
    <cellStyle name="Normal 4 2 2 3" xfId="86" xr:uid="{93059E68-03E5-477E-A77E-5BD81B3DFB43}"/>
    <cellStyle name="Normal 4 2 2 3 10" xfId="3815" xr:uid="{4903E442-3F4A-47FB-BD3A-749CF4EDDA5C}"/>
    <cellStyle name="Normal 4 2 2 3 2" xfId="332" xr:uid="{CDA094B9-F8E6-4E5C-8F90-26892CB98FF4}"/>
    <cellStyle name="Normal 4 2 2 3 2 2" xfId="2031" xr:uid="{9C3F5548-37D0-4D49-B3E8-777EC2FBDE66}"/>
    <cellStyle name="Normal 4 2 2 3 2 2 2" xfId="5702" xr:uid="{45F160CD-D937-4135-9D7B-500B0EB6E0C7}"/>
    <cellStyle name="Normal 4 2 2 3 2 2 2 2" xfId="7221" xr:uid="{5604D414-28CD-4335-B0E5-8872AD3C4F1B}"/>
    <cellStyle name="Normal 4 2 2 3 2 2 3" xfId="7206" xr:uid="{259F913A-EF34-4A85-BCD6-F0B1EAFA1CEF}"/>
    <cellStyle name="Normal 4 2 2 3 2 3" xfId="3998" xr:uid="{79A98681-35A1-4909-B249-BEC55B7E5C15}"/>
    <cellStyle name="Normal 4 2 2 3 2 3 2" xfId="7240" xr:uid="{C56F27E8-9458-44EA-B291-2959B1D5EDA7}"/>
    <cellStyle name="Normal 4 2 2 3 2 4" xfId="7226" xr:uid="{1895D914-EECD-48F8-911A-01DE8FCDE5E6}"/>
    <cellStyle name="Normal 4 2 2 3 3" xfId="528" xr:uid="{E8B83FFF-3F3B-45F0-9BCF-2DE143E50B06}"/>
    <cellStyle name="Normal 4 2 2 3 3 2" xfId="2249" xr:uid="{8D9B3BD7-BF0C-417A-9843-C61DB1A42731}"/>
    <cellStyle name="Normal 4 2 2 3 3 2 2" xfId="5920" xr:uid="{6FB1CA2C-5AAA-47AA-978B-9CE3A4A899EC}"/>
    <cellStyle name="Normal 4 2 2 3 3 3" xfId="4204" xr:uid="{7BFA8D10-C2DB-4A6F-B074-87BD142D86A2}"/>
    <cellStyle name="Normal 4 2 2 3 4" xfId="746" xr:uid="{BA7F2E60-6946-4F8B-93E5-43CDFA10A0E6}"/>
    <cellStyle name="Normal 4 2 2 3 4 2" xfId="2467" xr:uid="{39497B2E-47FD-42D6-A6F8-7534C3A95D3B}"/>
    <cellStyle name="Normal 4 2 2 3 4 2 2" xfId="6138" xr:uid="{8653A053-24D1-4E19-BB94-010415932277}"/>
    <cellStyle name="Normal 4 2 2 3 4 3" xfId="4419" xr:uid="{FFDB89DD-607B-4E9B-BA3A-A481B8AD7B3A}"/>
    <cellStyle name="Normal 4 2 2 3 5" xfId="964" xr:uid="{E4501DB9-16E8-4C84-B845-50AA5E65AC58}"/>
    <cellStyle name="Normal 4 2 2 3 5 2" xfId="2685" xr:uid="{D3EFD638-37C3-453E-AF3E-A853D25528CC}"/>
    <cellStyle name="Normal 4 2 2 3 5 2 2" xfId="6356" xr:uid="{0D5D646A-6C69-4F81-AF10-7850F14D5CA9}"/>
    <cellStyle name="Normal 4 2 2 3 5 3" xfId="4637" xr:uid="{A18ABEA0-5252-46D1-9655-1D8B46B38D61}"/>
    <cellStyle name="Normal 4 2 2 3 6" xfId="1182" xr:uid="{6714CB79-B996-4F80-A3B9-32D84F9D4A0A}"/>
    <cellStyle name="Normal 4 2 2 3 6 2" xfId="2903" xr:uid="{1297AD29-DBEF-44BE-B0EE-B65AA3494C11}"/>
    <cellStyle name="Normal 4 2 2 3 6 2 2" xfId="6574" xr:uid="{CA724137-E8D9-4847-9489-9703FEDD357A}"/>
    <cellStyle name="Normal 4 2 2 3 6 3" xfId="4855" xr:uid="{9B5430FD-D2CE-489E-AFEE-B0A5FD7B99DE}"/>
    <cellStyle name="Normal 4 2 2 3 7" xfId="1400" xr:uid="{3A9DBFE5-C9D6-4584-A467-F42CDC3FFCB6}"/>
    <cellStyle name="Normal 4 2 2 3 7 2" xfId="3121" xr:uid="{2B11E219-66BB-4F3A-9783-495AB4F4198B}"/>
    <cellStyle name="Normal 4 2 2 3 7 2 2" xfId="6792" xr:uid="{7A664BDA-C2B4-4357-B508-985640B6CA32}"/>
    <cellStyle name="Normal 4 2 2 3 7 3" xfId="5073" xr:uid="{31EA8860-5854-48DC-B663-04C138C003CF}"/>
    <cellStyle name="Normal 4 2 2 3 8" xfId="1619" xr:uid="{A483B553-BAEA-4CCB-9818-5B6548440A52}"/>
    <cellStyle name="Normal 4 2 2 3 8 2" xfId="3340" xr:uid="{D32A3FE3-D5AB-48DF-9850-92AE21B62EED}"/>
    <cellStyle name="Normal 4 2 2 3 8 2 2" xfId="7011" xr:uid="{DEFFD502-A9F8-4485-BB55-00E9F78339EF}"/>
    <cellStyle name="Normal 4 2 2 3 8 3" xfId="5291" xr:uid="{4C197271-2A15-4D5D-BEFB-8BCB095C4DD8}"/>
    <cellStyle name="Normal 4 2 2 3 9" xfId="1839" xr:uid="{FE7F6D94-B5BE-407C-A1C7-1310EBF6DDFA}"/>
    <cellStyle name="Normal 4 2 2 3 9 2" xfId="5510" xr:uid="{5647F6D3-F560-470C-8DB0-5FEEC0015308}"/>
    <cellStyle name="Normal 4 2 2 4" xfId="99" xr:uid="{5680BA37-D612-40CE-9B67-979351C7DD14}"/>
    <cellStyle name="Normal 4 2 2 4 10" xfId="3828" xr:uid="{5EFB065E-CD1A-4D91-A074-26217D22C089}"/>
    <cellStyle name="Normal 4 2 2 4 2" xfId="345" xr:uid="{D240C8B0-D5D7-44F9-BBA7-A5E712559516}"/>
    <cellStyle name="Normal 4 2 2 4 2 2" xfId="2044" xr:uid="{A415C08B-31B6-40B4-B9CA-88B0E9D8691D}"/>
    <cellStyle name="Normal 4 2 2 4 2 2 2" xfId="5715" xr:uid="{38278E37-AF56-4DE5-8434-482B7A842E6F}"/>
    <cellStyle name="Normal 4 2 2 4 2 3" xfId="4008" xr:uid="{C012229D-10C6-4898-8240-6F2E85D8F361}"/>
    <cellStyle name="Normal 4 2 2 4 3" xfId="541" xr:uid="{2B226D35-D850-4BAD-8B41-2171D6CAD8D6}"/>
    <cellStyle name="Normal 4 2 2 4 3 2" xfId="2262" xr:uid="{E9D8B9A5-D08B-4F05-AC16-B0BA2AC97578}"/>
    <cellStyle name="Normal 4 2 2 4 3 2 2" xfId="5933" xr:uid="{F4A3E660-A7EB-4C85-8F29-956ABA5FBF5B}"/>
    <cellStyle name="Normal 4 2 2 4 3 3" xfId="4214" xr:uid="{7445CAD0-12D1-4B52-BF87-13247C990033}"/>
    <cellStyle name="Normal 4 2 2 4 4" xfId="759" xr:uid="{1D2791D1-BA4D-450A-A9AE-2333C5E90715}"/>
    <cellStyle name="Normal 4 2 2 4 4 2" xfId="2480" xr:uid="{51E27BEC-41A2-4794-AFD9-4D0DFE37539B}"/>
    <cellStyle name="Normal 4 2 2 4 4 2 2" xfId="6151" xr:uid="{F0B6EF65-572B-48AF-B18D-AB19AB3B9DEE}"/>
    <cellStyle name="Normal 4 2 2 4 4 3" xfId="4432" xr:uid="{042468CF-206F-4366-B5CA-6CC93E57D711}"/>
    <cellStyle name="Normal 4 2 2 4 5" xfId="977" xr:uid="{8C22056F-7CBF-43F2-8027-051EEBE39497}"/>
    <cellStyle name="Normal 4 2 2 4 5 2" xfId="2698" xr:uid="{C5243E4D-2470-4A42-9B13-FD50D4C9733F}"/>
    <cellStyle name="Normal 4 2 2 4 5 2 2" xfId="6369" xr:uid="{4DC422AD-D122-4C6D-95B1-41C354312D31}"/>
    <cellStyle name="Normal 4 2 2 4 5 3" xfId="4650" xr:uid="{0791FD09-57F6-446F-AACD-9903EE0CB7F2}"/>
    <cellStyle name="Normal 4 2 2 4 6" xfId="1195" xr:uid="{FF56163A-E4CD-435C-807E-0252D62917FB}"/>
    <cellStyle name="Normal 4 2 2 4 6 2" xfId="2916" xr:uid="{3B829D38-E14C-4047-BA28-0F90EDABDA70}"/>
    <cellStyle name="Normal 4 2 2 4 6 2 2" xfId="6587" xr:uid="{CC247B07-25D1-4FA5-B9AC-CC9C26D20D5A}"/>
    <cellStyle name="Normal 4 2 2 4 6 3" xfId="4868" xr:uid="{55F79C1F-1A83-4E2B-932D-8C5D7AD1A3C4}"/>
    <cellStyle name="Normal 4 2 2 4 7" xfId="1413" xr:uid="{02FA4DDD-AB5A-4DA0-BABF-CEF22371A7D9}"/>
    <cellStyle name="Normal 4 2 2 4 7 2" xfId="3134" xr:uid="{38B3A78E-314E-4A09-B2DC-6699653B2CA1}"/>
    <cellStyle name="Normal 4 2 2 4 7 2 2" xfId="6805" xr:uid="{8FC6F74E-34C8-48E2-9C7C-1C3B7843231E}"/>
    <cellStyle name="Normal 4 2 2 4 7 3" xfId="5086" xr:uid="{433FB4A7-7E64-4ADF-81FF-C02819C363FE}"/>
    <cellStyle name="Normal 4 2 2 4 8" xfId="1632" xr:uid="{4EAE62B9-C1F5-4BFB-9970-BD4DD43A7EFC}"/>
    <cellStyle name="Normal 4 2 2 4 8 2" xfId="3353" xr:uid="{724E5BAB-8848-42CE-A544-71F47EBC433F}"/>
    <cellStyle name="Normal 4 2 2 4 8 2 2" xfId="7024" xr:uid="{0CD552E3-12E0-4FB4-B9A2-08A4D15E80FA}"/>
    <cellStyle name="Normal 4 2 2 4 8 3" xfId="5304" xr:uid="{85B04071-CD65-4A63-9D87-6453A326CFEF}"/>
    <cellStyle name="Normal 4 2 2 4 9" xfId="1852" xr:uid="{C1C12864-C143-4A40-B6B3-741F1A82FEE2}"/>
    <cellStyle name="Normal 4 2 2 4 9 2" xfId="5523" xr:uid="{D69D625C-A1E1-496A-A6D3-E69C786777D9}"/>
    <cellStyle name="Normal 4 2 2 5" xfId="112" xr:uid="{E659E451-0F01-4839-AF80-C3985EDDD9CF}"/>
    <cellStyle name="Normal 4 2 2 5 10" xfId="3841" xr:uid="{D3F3751B-1CB6-461D-B600-DD915E0B0818}"/>
    <cellStyle name="Normal 4 2 2 5 2" xfId="358" xr:uid="{D1613A08-FBA3-4ECC-AE1F-C95891F3D07B}"/>
    <cellStyle name="Normal 4 2 2 5 2 2" xfId="2057" xr:uid="{74B7C59E-A9D6-451B-8752-4CEAB305469D}"/>
    <cellStyle name="Normal 4 2 2 5 2 2 2" xfId="5728" xr:uid="{3A3A1E03-8885-43A7-AA99-A6C6036309B7}"/>
    <cellStyle name="Normal 4 2 2 5 2 3" xfId="4021" xr:uid="{DEDBD4EA-A931-4150-BB40-83083505B7D8}"/>
    <cellStyle name="Normal 4 2 2 5 3" xfId="554" xr:uid="{EBD4FE16-6E6C-4CD9-91A8-072DD997D782}"/>
    <cellStyle name="Normal 4 2 2 5 3 2" xfId="2275" xr:uid="{7DDA06A2-E901-43A4-A51C-983E765EAB04}"/>
    <cellStyle name="Normal 4 2 2 5 3 2 2" xfId="5946" xr:uid="{8088CE26-8283-4BBE-88C5-6506EA8053D8}"/>
    <cellStyle name="Normal 4 2 2 5 3 3" xfId="4227" xr:uid="{025F6422-C22F-44C4-98D7-7A07EC7A2D47}"/>
    <cellStyle name="Normal 4 2 2 5 4" xfId="772" xr:uid="{BFF91AFE-1E20-40A4-A5FE-0E48F0CF0828}"/>
    <cellStyle name="Normal 4 2 2 5 4 2" xfId="2493" xr:uid="{F5289725-614C-47FA-B503-461DFCF4C101}"/>
    <cellStyle name="Normal 4 2 2 5 4 2 2" xfId="6164" xr:uid="{050559E8-8D41-41EC-997D-216ED540FC1E}"/>
    <cellStyle name="Normal 4 2 2 5 4 3" xfId="4445" xr:uid="{E862286B-E4C9-43F9-A778-43CFC037BEA1}"/>
    <cellStyle name="Normal 4 2 2 5 5" xfId="990" xr:uid="{7202CF04-7D74-4E1D-8800-8A4C5F98896D}"/>
    <cellStyle name="Normal 4 2 2 5 5 2" xfId="2711" xr:uid="{271C1952-593C-471C-A627-638C2BD39E22}"/>
    <cellStyle name="Normal 4 2 2 5 5 2 2" xfId="6382" xr:uid="{941F7AFE-9905-4D0C-84D3-A46391A8ABCD}"/>
    <cellStyle name="Normal 4 2 2 5 5 3" xfId="4663" xr:uid="{E61ACC08-9A23-4B66-AEB5-BD60D39F6549}"/>
    <cellStyle name="Normal 4 2 2 5 6" xfId="1208" xr:uid="{8446FA93-21F9-4793-A64B-94FA0A90C2DA}"/>
    <cellStyle name="Normal 4 2 2 5 6 2" xfId="2929" xr:uid="{D829D34C-C6E1-45F1-A75B-C8077502F1AC}"/>
    <cellStyle name="Normal 4 2 2 5 6 2 2" xfId="6600" xr:uid="{37309900-7CE1-453A-888F-FD90B022F160}"/>
    <cellStyle name="Normal 4 2 2 5 6 3" xfId="4881" xr:uid="{E814512A-609B-40BD-9053-532BFCF838FE}"/>
    <cellStyle name="Normal 4 2 2 5 7" xfId="1426" xr:uid="{F89D8668-D5AF-4627-AC25-DDCE8CA8B411}"/>
    <cellStyle name="Normal 4 2 2 5 7 2" xfId="3147" xr:uid="{B280A2B5-4C47-4AF0-AC32-A99EC02842A8}"/>
    <cellStyle name="Normal 4 2 2 5 7 2 2" xfId="6818" xr:uid="{1A208886-AD3A-4A52-8320-2DF717BE3B4C}"/>
    <cellStyle name="Normal 4 2 2 5 7 3" xfId="5099" xr:uid="{7CDBF8FA-0CB0-45B0-9BC0-B6665B84A510}"/>
    <cellStyle name="Normal 4 2 2 5 8" xfId="1645" xr:uid="{57740774-A3D2-405A-9CD8-5FDE51C022AD}"/>
    <cellStyle name="Normal 4 2 2 5 8 2" xfId="3366" xr:uid="{FB05831B-6D69-481A-9FC3-68296704226E}"/>
    <cellStyle name="Normal 4 2 2 5 8 2 2" xfId="7037" xr:uid="{D6D3574D-4925-4895-94CB-C3FFB1FD7E20}"/>
    <cellStyle name="Normal 4 2 2 5 8 3" xfId="5317" xr:uid="{F6B2B3C1-9610-45BE-8BBF-0AAC6D8CE155}"/>
    <cellStyle name="Normal 4 2 2 5 9" xfId="1865" xr:uid="{184A6966-6E42-4EDB-8504-7948110DC9ED}"/>
    <cellStyle name="Normal 4 2 2 5 9 2" xfId="5536" xr:uid="{62D60F46-E397-407E-835B-7D2431FCAA2F}"/>
    <cellStyle name="Normal 4 2 2 6" xfId="125" xr:uid="{BB0B915D-EA48-4FAA-A1FD-912B0C4192AC}"/>
    <cellStyle name="Normal 4 2 2 6 10" xfId="3854" xr:uid="{E26D9652-A979-4BE5-BB20-D790797F869C}"/>
    <cellStyle name="Normal 4 2 2 6 2" xfId="371" xr:uid="{2D401F7B-F031-428F-9313-C55B989B9274}"/>
    <cellStyle name="Normal 4 2 2 6 2 2" xfId="2070" xr:uid="{03BBDA83-4E0F-4998-9E7D-FBC8D41FD3B1}"/>
    <cellStyle name="Normal 4 2 2 6 2 2 2" xfId="5741" xr:uid="{47FDEA3B-329C-4B92-8A67-58688A3B1485}"/>
    <cellStyle name="Normal 4 2 2 6 2 3" xfId="4034" xr:uid="{A1B97825-1978-4FA3-9EA6-F8E1A9D31676}"/>
    <cellStyle name="Normal 4 2 2 6 3" xfId="567" xr:uid="{41E5125C-018B-4479-BE7D-2A0380989A48}"/>
    <cellStyle name="Normal 4 2 2 6 3 2" xfId="2288" xr:uid="{B669DA32-659A-43EB-A880-25ED5D7BEE6D}"/>
    <cellStyle name="Normal 4 2 2 6 3 2 2" xfId="5959" xr:uid="{86870CA2-873B-46B6-B865-8DC3DED60D8A}"/>
    <cellStyle name="Normal 4 2 2 6 3 3" xfId="4240" xr:uid="{39DE379C-0769-495C-832A-539E4BB987B3}"/>
    <cellStyle name="Normal 4 2 2 6 4" xfId="785" xr:uid="{B2D6C82E-0F60-4F0D-A665-E01293A84637}"/>
    <cellStyle name="Normal 4 2 2 6 4 2" xfId="2506" xr:uid="{F1A42416-D314-47B9-889B-1AABD7F5AD02}"/>
    <cellStyle name="Normal 4 2 2 6 4 2 2" xfId="6177" xr:uid="{8B0DC206-C737-4AFE-9AF4-A34C256DF1FC}"/>
    <cellStyle name="Normal 4 2 2 6 4 3" xfId="4458" xr:uid="{DA5F48D9-23F7-464E-B23A-9BA071559B11}"/>
    <cellStyle name="Normal 4 2 2 6 5" xfId="1003" xr:uid="{FBEA8BED-4F7A-4875-B0AE-0E78CBD0DF68}"/>
    <cellStyle name="Normal 4 2 2 6 5 2" xfId="2724" xr:uid="{4487681C-ACB9-4610-881A-9357CC294416}"/>
    <cellStyle name="Normal 4 2 2 6 5 2 2" xfId="6395" xr:uid="{2D057CBD-6A6B-4F77-B99F-44FC94C5EF0C}"/>
    <cellStyle name="Normal 4 2 2 6 5 3" xfId="4676" xr:uid="{C12784E6-8E2D-43F9-97CE-605676AEC5AB}"/>
    <cellStyle name="Normal 4 2 2 6 6" xfId="1221" xr:uid="{51F1E630-5D38-4855-933D-CE14659EE494}"/>
    <cellStyle name="Normal 4 2 2 6 6 2" xfId="2942" xr:uid="{5E9566E9-CD7C-4E1C-A3B4-B6F0C2465114}"/>
    <cellStyle name="Normal 4 2 2 6 6 2 2" xfId="6613" xr:uid="{CE1ECAD0-2D0B-4DEB-93C2-8B6C244867E7}"/>
    <cellStyle name="Normal 4 2 2 6 6 3" xfId="4894" xr:uid="{BF4105D4-A98A-44D5-8336-69252B5990D1}"/>
    <cellStyle name="Normal 4 2 2 6 7" xfId="1439" xr:uid="{02D609CD-919F-4934-A768-2C14F6C4258B}"/>
    <cellStyle name="Normal 4 2 2 6 7 2" xfId="3160" xr:uid="{47F13CAC-1C5E-4012-ABF7-D859F1608240}"/>
    <cellStyle name="Normal 4 2 2 6 7 2 2" xfId="6831" xr:uid="{F66961F9-4F3E-4B3E-A17C-B954DA4EEEF7}"/>
    <cellStyle name="Normal 4 2 2 6 7 3" xfId="5112" xr:uid="{A4881902-5B8C-471B-9B6F-F760FAF02ADF}"/>
    <cellStyle name="Normal 4 2 2 6 8" xfId="1658" xr:uid="{D399E3EF-A349-46F8-9944-AFAC5866DC44}"/>
    <cellStyle name="Normal 4 2 2 6 8 2" xfId="3379" xr:uid="{0DE5D731-7881-401C-82A6-2F2F6CCFB3BE}"/>
    <cellStyle name="Normal 4 2 2 6 8 2 2" xfId="7050" xr:uid="{29716D38-F22A-4C8F-BC83-21885281AB6E}"/>
    <cellStyle name="Normal 4 2 2 6 8 3" xfId="5330" xr:uid="{D8262D5F-30AF-4204-B252-BA839D7B0D5B}"/>
    <cellStyle name="Normal 4 2 2 6 9" xfId="1878" xr:uid="{C84BBB98-A100-4EE9-B429-5A14BDB7A41F}"/>
    <cellStyle name="Normal 4 2 2 6 9 2" xfId="5549" xr:uid="{56FFE3F6-0A14-4368-8EDC-945060519453}"/>
    <cellStyle name="Normal 4 2 2 7" xfId="138" xr:uid="{09B0F19F-6426-4938-911F-6C9AD5E52816}"/>
    <cellStyle name="Normal 4 2 2 7 10" xfId="3867" xr:uid="{9265BB00-6B96-45DE-97DA-6CD4AA7656EF}"/>
    <cellStyle name="Normal 4 2 2 7 2" xfId="384" xr:uid="{7671DCF8-7100-43C2-92BC-6D895930CF18}"/>
    <cellStyle name="Normal 4 2 2 7 2 2" xfId="2083" xr:uid="{D7674C9C-1D8F-4025-8ADA-6F60777D9A96}"/>
    <cellStyle name="Normal 4 2 2 7 2 2 2" xfId="5754" xr:uid="{765F70D2-21C4-4972-B8E3-D4251733230D}"/>
    <cellStyle name="Normal 4 2 2 7 2 3" xfId="4047" xr:uid="{2B438111-F4AF-4B38-AE66-94C56E3187DA}"/>
    <cellStyle name="Normal 4 2 2 7 3" xfId="580" xr:uid="{B12F4D0F-1C1D-4FF8-A0F6-AF37EBC6B1E1}"/>
    <cellStyle name="Normal 4 2 2 7 3 2" xfId="2301" xr:uid="{A866C6CB-93A8-4420-8CDE-A08036B795FD}"/>
    <cellStyle name="Normal 4 2 2 7 3 2 2" xfId="5972" xr:uid="{7B212515-5108-465B-A5B6-617945079C4B}"/>
    <cellStyle name="Normal 4 2 2 7 3 3" xfId="4253" xr:uid="{323E5BCE-7D36-499C-B233-33A60360D045}"/>
    <cellStyle name="Normal 4 2 2 7 4" xfId="798" xr:uid="{C97266D6-05FF-484E-A693-CCD7BF7A8E15}"/>
    <cellStyle name="Normal 4 2 2 7 4 2" xfId="2519" xr:uid="{07B304C9-2F13-45E8-B60B-EADCDE025C22}"/>
    <cellStyle name="Normal 4 2 2 7 4 2 2" xfId="6190" xr:uid="{FF4CFE91-88CF-499C-A050-21CB431096D8}"/>
    <cellStyle name="Normal 4 2 2 7 4 3" xfId="4471" xr:uid="{354EEE42-2A19-4F0E-994F-95A9534A9D84}"/>
    <cellStyle name="Normal 4 2 2 7 5" xfId="1016" xr:uid="{377A7295-EB1B-4A04-A182-B8AC4C2216B4}"/>
    <cellStyle name="Normal 4 2 2 7 5 2" xfId="2737" xr:uid="{F3CB3CE2-AC30-4278-B6A6-310ED270B602}"/>
    <cellStyle name="Normal 4 2 2 7 5 2 2" xfId="6408" xr:uid="{6AF2875F-8780-43B0-8EC2-76E22C0D8927}"/>
    <cellStyle name="Normal 4 2 2 7 5 3" xfId="4689" xr:uid="{09C890CF-624A-4653-8E9F-60C01381F5E8}"/>
    <cellStyle name="Normal 4 2 2 7 6" xfId="1234" xr:uid="{AE69A4A5-5C7E-44A5-AA66-AAE7262CE4EE}"/>
    <cellStyle name="Normal 4 2 2 7 6 2" xfId="2955" xr:uid="{4462833B-F5B3-447D-8E04-603BF04D651B}"/>
    <cellStyle name="Normal 4 2 2 7 6 2 2" xfId="6626" xr:uid="{69AA56E7-5E7C-43D8-B6A6-2CFAD8C3C382}"/>
    <cellStyle name="Normal 4 2 2 7 6 3" xfId="4907" xr:uid="{0A5FD2DE-29F3-466F-A7C2-B41ACFC5641D}"/>
    <cellStyle name="Normal 4 2 2 7 7" xfId="1452" xr:uid="{438CBEA8-7842-4EE5-B0AA-397EE194D902}"/>
    <cellStyle name="Normal 4 2 2 7 7 2" xfId="3173" xr:uid="{F2F50647-3DF0-47E6-9A74-21B269789787}"/>
    <cellStyle name="Normal 4 2 2 7 7 2 2" xfId="6844" xr:uid="{57B91AB5-FD3E-48F3-BA2F-9C121A940456}"/>
    <cellStyle name="Normal 4 2 2 7 7 3" xfId="5125" xr:uid="{D0696796-E09E-4411-9640-ADBC2E2D4E4C}"/>
    <cellStyle name="Normal 4 2 2 7 8" xfId="1671" xr:uid="{A04F5EE0-BFF6-4193-A1EB-8194A7C1372E}"/>
    <cellStyle name="Normal 4 2 2 7 8 2" xfId="3392" xr:uid="{9C3765B8-69EF-4E38-B2D7-A9763C1B82A0}"/>
    <cellStyle name="Normal 4 2 2 7 8 2 2" xfId="7063" xr:uid="{7EE6BEB6-C587-4442-8A59-2B659F7F54A8}"/>
    <cellStyle name="Normal 4 2 2 7 8 3" xfId="5343" xr:uid="{72925148-2310-4B41-ADC2-0A5940443817}"/>
    <cellStyle name="Normal 4 2 2 7 9" xfId="1891" xr:uid="{78B34C88-05CB-4DDD-92F0-2D9559168AED}"/>
    <cellStyle name="Normal 4 2 2 7 9 2" xfId="5562" xr:uid="{07FB2CE4-C548-43DB-A95E-51E0F3CBC1A8}"/>
    <cellStyle name="Normal 4 2 2 8" xfId="151" xr:uid="{087A9D18-45F3-4C40-9D02-5AB4BB029F2A}"/>
    <cellStyle name="Normal 4 2 2 8 10" xfId="3880" xr:uid="{980310F7-3B62-4DED-AD91-5F1B8DA509D2}"/>
    <cellStyle name="Normal 4 2 2 8 2" xfId="397" xr:uid="{86EF0E34-C47B-4008-A48F-BCF88685BC00}"/>
    <cellStyle name="Normal 4 2 2 8 2 2" xfId="2096" xr:uid="{D0CCB1F1-0453-4C1E-BE10-769843F83D16}"/>
    <cellStyle name="Normal 4 2 2 8 2 2 2" xfId="5767" xr:uid="{BF604F13-B63D-4EB6-B2FD-D319AEAC3AB2}"/>
    <cellStyle name="Normal 4 2 2 8 2 3" xfId="4060" xr:uid="{1A93A8D2-FA74-4C25-8F18-64F7DC5E70BF}"/>
    <cellStyle name="Normal 4 2 2 8 3" xfId="593" xr:uid="{7CD6FA3F-1CEA-45A6-8326-1314EF7F5F6A}"/>
    <cellStyle name="Normal 4 2 2 8 3 2" xfId="2314" xr:uid="{B66D1FB2-F040-4258-9967-6EDF2C3A30DB}"/>
    <cellStyle name="Normal 4 2 2 8 3 2 2" xfId="5985" xr:uid="{C62C6828-E4D3-4F59-A29E-A874C8030220}"/>
    <cellStyle name="Normal 4 2 2 8 3 3" xfId="4266" xr:uid="{AAA6DBF2-0C5A-4481-8C21-2A2C0C7755B1}"/>
    <cellStyle name="Normal 4 2 2 8 4" xfId="811" xr:uid="{2951F90A-8807-432A-826F-0F0E9FDCCAB6}"/>
    <cellStyle name="Normal 4 2 2 8 4 2" xfId="2532" xr:uid="{DC8AA043-BE9D-4E0F-9EC6-64AD74BCF07B}"/>
    <cellStyle name="Normal 4 2 2 8 4 2 2" xfId="6203" xr:uid="{B5567274-1D3E-48B9-A5C5-9D4106C04DBB}"/>
    <cellStyle name="Normal 4 2 2 8 4 3" xfId="4484" xr:uid="{E5E59EC7-004B-43B5-B50A-1209CC5AD7B2}"/>
    <cellStyle name="Normal 4 2 2 8 5" xfId="1029" xr:uid="{5D07AC04-FD61-4ACC-87AF-2C8CFEB72AA5}"/>
    <cellStyle name="Normal 4 2 2 8 5 2" xfId="2750" xr:uid="{14BEBF86-3D0F-4940-94D7-9D7B44FFF28C}"/>
    <cellStyle name="Normal 4 2 2 8 5 2 2" xfId="6421" xr:uid="{658CF3A2-47F0-40D8-AA51-1F6832EAEFE0}"/>
    <cellStyle name="Normal 4 2 2 8 5 3" xfId="4702" xr:uid="{EAF06708-3F8F-4C10-B8E8-AC90B9260B5F}"/>
    <cellStyle name="Normal 4 2 2 8 6" xfId="1247" xr:uid="{3B0BC8C7-D4F8-48B8-A93F-D639A90B281C}"/>
    <cellStyle name="Normal 4 2 2 8 6 2" xfId="2968" xr:uid="{CEF0106C-D977-4366-BC74-E4D175D9498B}"/>
    <cellStyle name="Normal 4 2 2 8 6 2 2" xfId="6639" xr:uid="{6A8187A2-A4CD-4000-8096-9B618C1682E2}"/>
    <cellStyle name="Normal 4 2 2 8 6 3" xfId="4920" xr:uid="{08E64C8E-BDA3-4CC5-9CAC-73C5816748F0}"/>
    <cellStyle name="Normal 4 2 2 8 7" xfId="1465" xr:uid="{081A024A-93CA-486E-B222-1C99059B9D74}"/>
    <cellStyle name="Normal 4 2 2 8 7 2" xfId="3186" xr:uid="{8EE95A6B-5E2F-4816-B50B-DE24C0F83B87}"/>
    <cellStyle name="Normal 4 2 2 8 7 2 2" xfId="6857" xr:uid="{14D41009-D918-4802-920A-6FDFB91A8424}"/>
    <cellStyle name="Normal 4 2 2 8 7 3" xfId="5138" xr:uid="{AEAB1C17-2869-45F7-973E-4FF3514749F0}"/>
    <cellStyle name="Normal 4 2 2 8 8" xfId="1684" xr:uid="{E31A1083-184F-41C5-B295-08D3FA7E5AE7}"/>
    <cellStyle name="Normal 4 2 2 8 8 2" xfId="3405" xr:uid="{E57C1515-EAC9-463A-BBFE-E7DCB4E79B30}"/>
    <cellStyle name="Normal 4 2 2 8 8 2 2" xfId="7076" xr:uid="{0EBFA1D0-711B-4BAB-90C6-CFB88A76B65A}"/>
    <cellStyle name="Normal 4 2 2 8 8 3" xfId="5356" xr:uid="{AF1288B5-B46A-4A16-9355-CFE95CC5C074}"/>
    <cellStyle name="Normal 4 2 2 8 9" xfId="1904" xr:uid="{314C99B7-2AEC-4249-8BF4-F2135C3AA0EC}"/>
    <cellStyle name="Normal 4 2 2 8 9 2" xfId="5575" xr:uid="{4F8C5E30-572E-4259-BAC5-F62E60D0A5E3}"/>
    <cellStyle name="Normal 4 2 2 9" xfId="164" xr:uid="{0E317731-ABF9-46E8-9472-2058158AC279}"/>
    <cellStyle name="Normal 4 2 2 9 10" xfId="3893" xr:uid="{C902A41E-FA76-4B06-9B34-FF63A42B49A8}"/>
    <cellStyle name="Normal 4 2 2 9 2" xfId="410" xr:uid="{7A01C3E7-594E-46B7-8696-DE9744E93EDF}"/>
    <cellStyle name="Normal 4 2 2 9 2 2" xfId="2109" xr:uid="{761B2D91-EE0D-4AC0-BD9B-F576959B3931}"/>
    <cellStyle name="Normal 4 2 2 9 2 2 2" xfId="5780" xr:uid="{1B871B51-6468-42E9-B238-71869141FDE8}"/>
    <cellStyle name="Normal 4 2 2 9 2 3" xfId="4073" xr:uid="{8176FCF0-C8AF-479E-89D7-0CDDC2263555}"/>
    <cellStyle name="Normal 4 2 2 9 3" xfId="606" xr:uid="{EF3E3CB9-5ABF-4147-A92F-ADB6F5AFC6C7}"/>
    <cellStyle name="Normal 4 2 2 9 3 2" xfId="2327" xr:uid="{D2D974BD-03EF-4792-A41C-F8904C35D6A9}"/>
    <cellStyle name="Normal 4 2 2 9 3 2 2" xfId="5998" xr:uid="{A8545BD1-C295-4C59-B4D1-5D257B931EB2}"/>
    <cellStyle name="Normal 4 2 2 9 3 3" xfId="4279" xr:uid="{F5B426ED-BA86-4BB8-A5B8-44F9D1F871A0}"/>
    <cellStyle name="Normal 4 2 2 9 4" xfId="824" xr:uid="{7A15F115-00CC-4A2F-94EF-262FA4769679}"/>
    <cellStyle name="Normal 4 2 2 9 4 2" xfId="2545" xr:uid="{FDA43FD2-EE85-4657-9E6B-6110B8F8337A}"/>
    <cellStyle name="Normal 4 2 2 9 4 2 2" xfId="6216" xr:uid="{49271215-5BA8-4718-949E-958295F656D9}"/>
    <cellStyle name="Normal 4 2 2 9 4 3" xfId="4497" xr:uid="{603A112B-0743-4AE0-B031-531C846BC61C}"/>
    <cellStyle name="Normal 4 2 2 9 5" xfId="1042" xr:uid="{13EE5B97-45D8-4198-A907-7727DE07FE7E}"/>
    <cellStyle name="Normal 4 2 2 9 5 2" xfId="2763" xr:uid="{0FF69189-BBA5-478A-B570-6BD32139689A}"/>
    <cellStyle name="Normal 4 2 2 9 5 2 2" xfId="6434" xr:uid="{01D10ACD-37C9-4CDE-BF63-719CA064809A}"/>
    <cellStyle name="Normal 4 2 2 9 5 3" xfId="4715" xr:uid="{21A28FFA-5830-43E6-B559-73081FC90F6E}"/>
    <cellStyle name="Normal 4 2 2 9 6" xfId="1260" xr:uid="{6B7151E0-EDB9-454D-9C3E-EB490B1A3F01}"/>
    <cellStyle name="Normal 4 2 2 9 6 2" xfId="2981" xr:uid="{66AAAD71-3C1D-458B-B721-CE330387E359}"/>
    <cellStyle name="Normal 4 2 2 9 6 2 2" xfId="6652" xr:uid="{20DC4EF2-F1CA-4D4B-AC85-090CB581BC4F}"/>
    <cellStyle name="Normal 4 2 2 9 6 3" xfId="4933" xr:uid="{D69C63AA-789D-43CE-B6CE-611A47B4CFD8}"/>
    <cellStyle name="Normal 4 2 2 9 7" xfId="1478" xr:uid="{D602D157-9424-4520-812C-5DE5726CFEE3}"/>
    <cellStyle name="Normal 4 2 2 9 7 2" xfId="3199" xr:uid="{DB5F36D9-CD4B-44DF-ABD6-96B4BBCCCDEC}"/>
    <cellStyle name="Normal 4 2 2 9 7 2 2" xfId="6870" xr:uid="{5E4B6230-4238-496C-B549-96F99768A49E}"/>
    <cellStyle name="Normal 4 2 2 9 7 3" xfId="5151" xr:uid="{80A8494A-9B81-4BA0-B03B-28C5C672B0AB}"/>
    <cellStyle name="Normal 4 2 2 9 8" xfId="1697" xr:uid="{BFD07CDE-CA0F-4F33-AF1F-C5DCE0E67AE9}"/>
    <cellStyle name="Normal 4 2 2 9 8 2" xfId="3418" xr:uid="{615D4346-651A-4635-8926-04A82D78EC4F}"/>
    <cellStyle name="Normal 4 2 2 9 8 2 2" xfId="7089" xr:uid="{4506DE3D-0B46-44A8-BC5D-37C3E388C85F}"/>
    <cellStyle name="Normal 4 2 2 9 8 3" xfId="5369" xr:uid="{193A32C9-6F2F-4C73-86BB-265B3FF9C75C}"/>
    <cellStyle name="Normal 4 2 2 9 9" xfId="1917" xr:uid="{BF10CDF8-0630-4A40-90DF-DA85BF2CA4C7}"/>
    <cellStyle name="Normal 4 2 2 9 9 2" xfId="5588" xr:uid="{8D9F28A2-C10E-45AC-ADDB-52AE127E1998}"/>
    <cellStyle name="Normal 4 2 20" xfId="496" xr:uid="{2D997186-5F4A-4147-A63E-92C4666F3C31}"/>
    <cellStyle name="Normal 4 2 20 2" xfId="2217" xr:uid="{57FE5BD0-C80A-402E-8A75-FE9F48E412A9}"/>
    <cellStyle name="Normal 4 2 20 2 2" xfId="5888" xr:uid="{9402D339-6D8F-4B9F-A349-874546D0EE1D}"/>
    <cellStyle name="Normal 4 2 20 3" xfId="4181" xr:uid="{D781B6C3-0695-4C0D-A05C-6701C059D9B0}"/>
    <cellStyle name="Normal 4 2 21" xfId="714" xr:uid="{E041BBD5-8F89-4564-A36C-DB74F3723984}"/>
    <cellStyle name="Normal 4 2 21 2" xfId="2435" xr:uid="{046F9CAD-6943-4B0B-AD1B-D7B14F85D6F6}"/>
    <cellStyle name="Normal 4 2 21 2 2" xfId="6106" xr:uid="{BDD27171-E39F-4BDE-B6A9-8157BC387DC1}"/>
    <cellStyle name="Normal 4 2 21 3" xfId="4387" xr:uid="{C5C3982F-79B8-4802-905B-DAFB1D56541A}"/>
    <cellStyle name="Normal 4 2 22" xfId="932" xr:uid="{21CF07B2-B6AA-4A23-89EA-25E238FF63F7}"/>
    <cellStyle name="Normal 4 2 22 2" xfId="2653" xr:uid="{E048D834-8285-423D-A508-563E2AD989E5}"/>
    <cellStyle name="Normal 4 2 22 2 2" xfId="6324" xr:uid="{6DCF4B49-F5E5-4D4E-BE8B-9C8E5318C94D}"/>
    <cellStyle name="Normal 4 2 22 3" xfId="4605" xr:uid="{40905173-470A-48D7-8437-6C6AC082F60C}"/>
    <cellStyle name="Normal 4 2 23" xfId="1150" xr:uid="{FB732D0A-2929-41EC-8D40-741236D4A90C}"/>
    <cellStyle name="Normal 4 2 23 2" xfId="2871" xr:uid="{FA63C6B1-A8C7-41DE-9918-6A055C18FD86}"/>
    <cellStyle name="Normal 4 2 23 2 2" xfId="6542" xr:uid="{E516655C-2AF1-463B-8E87-1F819C948779}"/>
    <cellStyle name="Normal 4 2 23 3" xfId="4823" xr:uid="{1AF1D223-A650-4167-A349-0C2BA1E9FDEC}"/>
    <cellStyle name="Normal 4 2 24" xfId="1368" xr:uid="{1C29B802-38BD-49BB-A12F-A9460270BEBE}"/>
    <cellStyle name="Normal 4 2 24 2" xfId="3089" xr:uid="{9CE904D2-9BD9-4D42-9976-E1898C21D14C}"/>
    <cellStyle name="Normal 4 2 24 2 2" xfId="6760" xr:uid="{48B61D25-D5A5-4D8C-8887-C058E462EF85}"/>
    <cellStyle name="Normal 4 2 24 3" xfId="5041" xr:uid="{950C41D7-E5D8-4617-9A2F-52F05045D4C9}"/>
    <cellStyle name="Normal 4 2 25" xfId="1587" xr:uid="{E1CBA2AC-230B-4817-A3AE-8708D8FC033D}"/>
    <cellStyle name="Normal 4 2 25 2" xfId="3308" xr:uid="{2A145154-42FB-4718-A007-54A740665366}"/>
    <cellStyle name="Normal 4 2 25 2 2" xfId="6979" xr:uid="{49B5661D-8DC1-4489-BDF0-33ECFCA49403}"/>
    <cellStyle name="Normal 4 2 25 3" xfId="5259" xr:uid="{AA973BAC-0435-4D60-80B5-1C866426FD7F}"/>
    <cellStyle name="Normal 4 2 26" xfId="1807" xr:uid="{435D8CA4-BEAA-496E-96D7-E305D1C18101}"/>
    <cellStyle name="Normal 4 2 26 2" xfId="5478" xr:uid="{89EFD44D-3285-42F3-AC0A-1E41A054FF46}"/>
    <cellStyle name="Normal 4 2 27" xfId="3783" xr:uid="{0A836A57-15EC-4B76-9FF6-7DA58AAE3C7C}"/>
    <cellStyle name="Normal 4 2 3" xfId="67" xr:uid="{5C95224D-881A-4C9D-99EF-A57C74D2E004}"/>
    <cellStyle name="Normal 4 2 3 10" xfId="1820" xr:uid="{4E2EF679-72DF-4DD7-952D-AAE2B90AEA10}"/>
    <cellStyle name="Normal 4 2 3 10 2" xfId="5491" xr:uid="{B725965F-B965-41B9-A280-B4801359B32B}"/>
    <cellStyle name="Normal 4 2 3 11" xfId="3796" xr:uid="{D1EE03BA-D0E5-482F-98F6-6E1617C15D69}"/>
    <cellStyle name="Normal 4 2 3 2" xfId="213" xr:uid="{ACB185D2-B126-488D-B6D4-7387D7E400C6}"/>
    <cellStyle name="Normal 4 2 3 2 10" xfId="3940" xr:uid="{D0035AC0-F3B3-4EBC-9F11-D35CE3AC2DD6}"/>
    <cellStyle name="Normal 4 2 3 2 2" xfId="457" xr:uid="{1267D16C-0E19-47A6-AB06-266565C3A052}"/>
    <cellStyle name="Normal 4 2 3 2 2 2" xfId="2156" xr:uid="{105F96C1-8C1B-4901-94B6-EBA58098EC75}"/>
    <cellStyle name="Normal 4 2 3 2 2 2 2" xfId="5827" xr:uid="{5EFB729F-973A-4420-87DF-71D49D6E9A42}"/>
    <cellStyle name="Normal 4 2 3 2 2 2 2 2" xfId="7318" xr:uid="{A18093A7-03F5-4D93-8B59-06EB996A9469}"/>
    <cellStyle name="Normal 4 2 3 2 2 2 2 2 2" xfId="3677" xr:uid="{ED334819-C907-4CE2-9241-1C1A5ED6065C}"/>
    <cellStyle name="Normal 4 2 3 2 2 2 2 3" xfId="7260" xr:uid="{4AE62325-B589-404F-8EE4-0A49879F3F65}"/>
    <cellStyle name="Normal 4 2 3 2 2 2 3" xfId="3683" xr:uid="{CF9741B7-12BA-4DAA-AB20-9FC03FA787E0}"/>
    <cellStyle name="Normal 4 2 3 2 2 2 3 2" xfId="3761" xr:uid="{BA61ADBB-B982-4FCF-8E1E-07C8BA5DFDE9}"/>
    <cellStyle name="Normal 4 2 3 2 2 2 4" xfId="3700" xr:uid="{766C8A69-A948-453B-819C-8FE1B3B847DA}"/>
    <cellStyle name="Normal 4 2 3 2 2 3" xfId="4120" xr:uid="{A8E3B141-8D47-40CB-802E-35D50C19D7BA}"/>
    <cellStyle name="Normal 4 2 3 2 2 3 2" xfId="7219" xr:uid="{F7594CA2-0A81-4953-9C03-C226F6219D33}"/>
    <cellStyle name="Normal 4 2 3 2 2 3 2 2" xfId="3747" xr:uid="{BC26B47B-6C94-4F8C-8DF0-AE3F0089ED22}"/>
    <cellStyle name="Normal 4 2 3 2 2 3 3" xfId="3760" xr:uid="{0E0BC5F7-23BF-4764-A0A0-E8208B04CF79}"/>
    <cellStyle name="Normal 4 2 3 2 2 4" xfId="3736" xr:uid="{826340D9-5417-4841-925B-2356E085C480}"/>
    <cellStyle name="Normal 4 2 3 2 2 4 2" xfId="3665" xr:uid="{86B1CC73-0BAA-43D5-84DB-204835064B01}"/>
    <cellStyle name="Normal 4 2 3 2 2 5" xfId="3660" xr:uid="{D3439045-439A-44B0-9E43-93DB219A2D22}"/>
    <cellStyle name="Normal 4 2 3 2 3" xfId="653" xr:uid="{B8C13ACA-D4B9-4EC5-A628-B2BBA6F4EFD5}"/>
    <cellStyle name="Normal 4 2 3 2 3 2" xfId="2374" xr:uid="{19459BAF-E596-48A9-BD81-C07C41FFFC7D}"/>
    <cellStyle name="Normal 4 2 3 2 3 2 2" xfId="6045" xr:uid="{0FFC9D6F-4669-483C-BCEF-3769EFA02B8A}"/>
    <cellStyle name="Normal 4 2 3 2 3 2 2 2" xfId="7246" xr:uid="{0497562A-32F9-458C-B28D-1B612A4AFD38}"/>
    <cellStyle name="Normal 4 2 3 2 3 2 3" xfId="7233" xr:uid="{ADF31B67-8C1C-4971-B9FD-923938417806}"/>
    <cellStyle name="Normal 4 2 3 2 3 3" xfId="4326" xr:uid="{7603778D-AFF7-46B0-B0C7-7B9ADD7EAD94}"/>
    <cellStyle name="Normal 4 2 3 2 3 3 2" xfId="7197" xr:uid="{511A46BA-05F4-4DEB-87A2-4FC18728D759}"/>
    <cellStyle name="Normal 4 2 3 2 3 4" xfId="7249" xr:uid="{84A99C60-50E7-4E7C-9043-C44698CA8D54}"/>
    <cellStyle name="Normal 4 2 3 2 4" xfId="871" xr:uid="{E5A8BD5C-37F5-4576-930E-4CEC8FC41230}"/>
    <cellStyle name="Normal 4 2 3 2 4 2" xfId="2592" xr:uid="{140843AC-3500-4984-9A92-16ECDB56FD22}"/>
    <cellStyle name="Normal 4 2 3 2 4 2 2" xfId="6263" xr:uid="{10B82E29-25BA-44DA-B209-260AA5F87AE9}"/>
    <cellStyle name="Normal 4 2 3 2 4 3" xfId="4544" xr:uid="{47359423-792A-4129-973D-33175E1B3A0E}"/>
    <cellStyle name="Normal 4 2 3 2 5" xfId="1089" xr:uid="{1303D500-87BA-42FD-8FFB-4C0FA61A6563}"/>
    <cellStyle name="Normal 4 2 3 2 5 2" xfId="2810" xr:uid="{4DDC0B04-7A1A-4CCA-8A45-69F8A0F069CF}"/>
    <cellStyle name="Normal 4 2 3 2 5 2 2" xfId="6481" xr:uid="{97157F5B-9B82-4E3F-9F41-E3848434E83D}"/>
    <cellStyle name="Normal 4 2 3 2 5 3" xfId="4762" xr:uid="{DCF94976-BA79-4502-9C27-30C0785476A1}"/>
    <cellStyle name="Normal 4 2 3 2 6" xfId="1307" xr:uid="{E4E43F4A-2610-4A63-8A2E-7FFB5615F253}"/>
    <cellStyle name="Normal 4 2 3 2 6 2" xfId="3028" xr:uid="{0E1B83AE-A3F9-4825-B3AE-68CDE30A9D2A}"/>
    <cellStyle name="Normal 4 2 3 2 6 2 2" xfId="6699" xr:uid="{0E976CB7-6BD8-4786-9F0F-C431B0B3F2DF}"/>
    <cellStyle name="Normal 4 2 3 2 6 3" xfId="4980" xr:uid="{73483165-D6AC-433C-81F5-D9E0798680EA}"/>
    <cellStyle name="Normal 4 2 3 2 7" xfId="1525" xr:uid="{CD99357B-397D-47E0-B5C8-1D9D87979325}"/>
    <cellStyle name="Normal 4 2 3 2 7 2" xfId="3246" xr:uid="{DCA9D4D3-D424-4733-9571-E5893FA4F354}"/>
    <cellStyle name="Normal 4 2 3 2 7 2 2" xfId="6917" xr:uid="{6412EEFD-11E4-48B0-A85C-0B84B26066B8}"/>
    <cellStyle name="Normal 4 2 3 2 7 3" xfId="5198" xr:uid="{E2DE121F-2114-4CAE-9433-B40644E6DD3D}"/>
    <cellStyle name="Normal 4 2 3 2 8" xfId="1744" xr:uid="{B7C19D0A-2C5A-4390-8059-381BD4822E8E}"/>
    <cellStyle name="Normal 4 2 3 2 8 2" xfId="3465" xr:uid="{0F0D5922-4B68-497F-939D-874C26304C38}"/>
    <cellStyle name="Normal 4 2 3 2 8 2 2" xfId="7136" xr:uid="{1D16391D-57F3-422F-91A5-04B7B5AA4B64}"/>
    <cellStyle name="Normal 4 2 3 2 8 3" xfId="5416" xr:uid="{8FB4C0C5-BF28-4AC7-A6F0-1D3FDE8E7800}"/>
    <cellStyle name="Normal 4 2 3 2 9" xfId="1964" xr:uid="{014EEBBF-F26C-4DF6-9DAD-9928ACC53922}"/>
    <cellStyle name="Normal 4 2 3 2 9 2" xfId="5635" xr:uid="{0E50D51A-E454-487F-9927-9ADD57C526D5}"/>
    <cellStyle name="Normal 4 2 3 3" xfId="313" xr:uid="{17036716-F366-456C-9E32-E8363CBD879A}"/>
    <cellStyle name="Normal 4 2 3 3 2" xfId="2012" xr:uid="{364C4F91-541F-4552-9544-D26B76299F58}"/>
    <cellStyle name="Normal 4 2 3 3 2 2" xfId="5683" xr:uid="{9A81DA5A-7FAA-49DC-A5F3-4B4C4CB9C68D}"/>
    <cellStyle name="Normal 4 2 3 3 2 2 2" xfId="3726" xr:uid="{107E4A64-05F7-47BB-B7AD-D71669046F43}"/>
    <cellStyle name="Normal 4 2 3 3 2 2 2 2" xfId="7288" xr:uid="{C3FFC9E1-3692-4210-AA9B-04BA160B34A1}"/>
    <cellStyle name="Normal 4 2 3 3 2 2 3" xfId="7273" xr:uid="{00A6D91D-A39E-4E9F-9245-5DDABAA5FFBA}"/>
    <cellStyle name="Normal 4 2 3 3 2 3" xfId="7216" xr:uid="{44E43DB2-2854-490E-ABA7-B2FCBE8966D1}"/>
    <cellStyle name="Normal 4 2 3 3 2 3 2" xfId="7306" xr:uid="{9CA159BA-E3E9-4B41-BCDC-087014A6E362}"/>
    <cellStyle name="Normal 4 2 3 3 2 4" xfId="7292" xr:uid="{2CEFBC7B-BDE9-4E15-A3DE-6992E1643F85}"/>
    <cellStyle name="Normal 4 2 3 3 3" xfId="3985" xr:uid="{60C63FE1-7655-4963-A1EE-1219D6BCD5B9}"/>
    <cellStyle name="Normal 4 2 3 3 3 2" xfId="3690" xr:uid="{C732040A-141C-43EB-9E09-CDAB8A3DEB34}"/>
    <cellStyle name="Normal 4 2 3 3 3 2 2" xfId="7296" xr:uid="{1BCDFE7D-B9C7-4C64-BAB2-3F1A2B8B5B5B}"/>
    <cellStyle name="Normal 4 2 3 3 3 3" xfId="7283" xr:uid="{08F04CAB-7359-4BC5-AC06-39304CA81070}"/>
    <cellStyle name="Normal 4 2 3 3 4" xfId="3720" xr:uid="{44367C6A-1561-47C4-8C39-842AEA75120D}"/>
    <cellStyle name="Normal 4 2 3 3 4 2" xfId="7314" xr:uid="{0CA99676-DD4E-4893-BDC1-85BE77324C97}"/>
    <cellStyle name="Normal 4 2 3 3 5" xfId="7302" xr:uid="{1F2C0202-41BB-46A4-B930-514B523C0575}"/>
    <cellStyle name="Normal 4 2 3 4" xfId="509" xr:uid="{06C3061E-AEB9-46C3-8285-45EB33F47A3C}"/>
    <cellStyle name="Normal 4 2 3 4 2" xfId="2230" xr:uid="{7C3F05BF-38B9-47FA-9578-C2D8B5FF5320}"/>
    <cellStyle name="Normal 4 2 3 4 2 2" xfId="5901" xr:uid="{555336BD-142C-4E52-8C4B-7DDC7BA0CAD9}"/>
    <cellStyle name="Normal 4 2 3 4 2 2 2" xfId="3724" xr:uid="{281A6F6B-12A4-419E-AD16-00E60E3958C4}"/>
    <cellStyle name="Normal 4 2 3 4 2 3" xfId="3684" xr:uid="{2E95CE8B-0218-4235-830C-4A36AEBB7330}"/>
    <cellStyle name="Normal 4 2 3 4 3" xfId="4191" xr:uid="{883B3E02-3282-4303-B0DC-59841A4518D2}"/>
    <cellStyle name="Normal 4 2 3 4 3 2" xfId="3650" xr:uid="{3288BDDF-CD83-4001-9278-18B482A3C9BA}"/>
    <cellStyle name="Normal 4 2 3 4 4" xfId="3734" xr:uid="{D67A7B32-8CCC-4FBC-8634-2421C7CCA961}"/>
    <cellStyle name="Normal 4 2 3 5" xfId="727" xr:uid="{3E196A42-90E0-4645-A3F6-2611BCDAE4A5}"/>
    <cellStyle name="Normal 4 2 3 5 2" xfId="2448" xr:uid="{1CEB60E8-33B9-4B0C-B18C-C302307C6CBD}"/>
    <cellStyle name="Normal 4 2 3 5 2 2" xfId="6119" xr:uid="{3896D210-734E-4724-B920-323BFCF05CD1}"/>
    <cellStyle name="Normal 4 2 3 5 3" xfId="4400" xr:uid="{2845B792-9810-422C-8A70-F57542812AE7}"/>
    <cellStyle name="Normal 4 2 3 6" xfId="945" xr:uid="{683515F7-9DA1-4AC3-A5AE-CE64ABB154E0}"/>
    <cellStyle name="Normal 4 2 3 6 2" xfId="2666" xr:uid="{D0463B9A-648D-4107-872F-C9437EB7815A}"/>
    <cellStyle name="Normal 4 2 3 6 2 2" xfId="6337" xr:uid="{FC5C874A-F042-49C6-A388-20E96AB53703}"/>
    <cellStyle name="Normal 4 2 3 6 3" xfId="4618" xr:uid="{E29EEAB8-2CDE-4FFE-80C1-DEEE7B9926E8}"/>
    <cellStyle name="Normal 4 2 3 7" xfId="1163" xr:uid="{E105F72D-A1CA-400D-B216-3D5D258B8CFD}"/>
    <cellStyle name="Normal 4 2 3 7 2" xfId="2884" xr:uid="{4AD09AC7-D871-4452-B654-0B0F739A91A1}"/>
    <cellStyle name="Normal 4 2 3 7 2 2" xfId="6555" xr:uid="{AEBD1B53-7D23-43FD-B4BB-DB3DA7DE5373}"/>
    <cellStyle name="Normal 4 2 3 7 3" xfId="4836" xr:uid="{097FEACD-3B45-42CC-9E15-9F9D0B203693}"/>
    <cellStyle name="Normal 4 2 3 8" xfId="1381" xr:uid="{E3DD847C-2DC0-4F97-8436-22BF0F2BFCA5}"/>
    <cellStyle name="Normal 4 2 3 8 2" xfId="3102" xr:uid="{C89D23DF-EA88-4268-ADA3-66F8CBB8BF75}"/>
    <cellStyle name="Normal 4 2 3 8 2 2" xfId="6773" xr:uid="{564EAFFA-9791-4A94-8066-DF4BECA77DD3}"/>
    <cellStyle name="Normal 4 2 3 8 3" xfId="5054" xr:uid="{D34F47E4-EA41-4337-93F6-85FDC0CA9C48}"/>
    <cellStyle name="Normal 4 2 3 9" xfId="1600" xr:uid="{501EE666-A4CE-46D0-A693-242C9B883B1D}"/>
    <cellStyle name="Normal 4 2 3 9 2" xfId="3321" xr:uid="{A1AABE7F-BE71-41FB-9705-226069E480E3}"/>
    <cellStyle name="Normal 4 2 3 9 2 2" xfId="6992" xr:uid="{D8594017-EDB0-4E11-8D6B-CFE068E1FC9E}"/>
    <cellStyle name="Normal 4 2 3 9 3" xfId="5272" xr:uid="{3DCF64B5-3C10-472E-9CBF-0D0718FAB1C7}"/>
    <cellStyle name="Normal 4 2 4" xfId="80" xr:uid="{7E5644E0-F5C7-41AD-BC27-89E153E4D5E9}"/>
    <cellStyle name="Normal 4 2 4 10" xfId="3809" xr:uid="{B8802579-1576-4F89-8F6E-8EEE989FAC57}"/>
    <cellStyle name="Normal 4 2 4 2" xfId="326" xr:uid="{E8B4F75D-B682-4195-8EC5-0F964145FFD8}"/>
    <cellStyle name="Normal 4 2 4 2 2" xfId="2025" xr:uid="{B6439E2C-EAF8-4BC3-AEAF-F5410E7D778E}"/>
    <cellStyle name="Normal 4 2 4 2 2 2" xfId="5696" xr:uid="{FA11C78C-F16A-4BDD-9CB7-0A3C73285396}"/>
    <cellStyle name="Normal 4 2 4 2 2 2 2" xfId="7262" xr:uid="{F08DF173-ADB2-43A1-AD5C-10B868F1985F}"/>
    <cellStyle name="Normal 4 2 4 2 2 2 2 2" xfId="3680" xr:uid="{B92BF69E-76B6-40BE-B517-65D764146363}"/>
    <cellStyle name="Normal 4 2 4 2 2 2 3" xfId="3695" xr:uid="{D5AC9870-3CA0-4032-B03D-F7847B7DF0A2}"/>
    <cellStyle name="Normal 4 2 4 2 2 3" xfId="3776" xr:uid="{82325C26-1DFF-4B55-B0D0-1E4071A05A96}"/>
    <cellStyle name="Normal 4 2 4 2 2 3 2" xfId="3733" xr:uid="{B879B091-B337-4136-B906-A34E5C278BE2}"/>
    <cellStyle name="Normal 4 2 4 2 2 4" xfId="3647" xr:uid="{F2091F34-18AB-4793-B8D1-298F0E039FC1}"/>
    <cellStyle name="Normal 4 2 4 2 3" xfId="3994" xr:uid="{59FF5A92-A1A2-4E43-93B3-004D9B0C6D48}"/>
    <cellStyle name="Normal 4 2 4 2 3 2" xfId="7286" xr:uid="{DC661606-B979-4EC6-B65F-BB3FF5C4714A}"/>
    <cellStyle name="Normal 4 2 4 2 3 2 2" xfId="3704" xr:uid="{3C8C81D9-3396-4CE3-A9A2-A6431401EBD7}"/>
    <cellStyle name="Normal 4 2 4 2 3 3" xfId="3663" xr:uid="{4BA89192-A08D-4524-9489-F18E8C67BF0B}"/>
    <cellStyle name="Normal 4 2 4 2 4" xfId="7210" xr:uid="{762FA4EC-E3A4-4A0A-A37F-86115732869A}"/>
    <cellStyle name="Normal 4 2 4 2 4 2" xfId="3740" xr:uid="{6B0E8ECF-9005-469D-BA1D-102241868274}"/>
    <cellStyle name="Normal 4 2 4 2 5" xfId="3769" xr:uid="{CB69E424-C351-42DA-A8FA-321A8DC62976}"/>
    <cellStyle name="Normal 4 2 4 3" xfId="522" xr:uid="{6C75CA29-C878-4E41-A202-21F2E231DE20}"/>
    <cellStyle name="Normal 4 2 4 3 2" xfId="2243" xr:uid="{1AE73B9E-2859-4BC6-BF4A-7F8AB023961D}"/>
    <cellStyle name="Normal 4 2 4 3 2 2" xfId="5914" xr:uid="{7BCBCA71-2F57-48BB-A2CB-30001E248E3C}"/>
    <cellStyle name="Normal 4 2 4 3 2 2 2" xfId="7311" xr:uid="{9B00241B-5356-420C-99F4-A5274F8EBB87}"/>
    <cellStyle name="Normal 4 2 4 3 2 3" xfId="7299" xr:uid="{AFC1BC0D-211C-43D1-B7F8-EFD39A7B7F85}"/>
    <cellStyle name="Normal 4 2 4 3 3" xfId="4200" xr:uid="{F70557C5-6B2A-40E5-BDA2-9DF9CD467B9D}"/>
    <cellStyle name="Normal 4 2 4 3 3 2" xfId="7265" xr:uid="{12910D0D-A3E5-415D-8720-A8712AF53AE3}"/>
    <cellStyle name="Normal 4 2 4 3 4" xfId="7316" xr:uid="{AD7C1365-C675-4A84-9019-9A31612BB322}"/>
    <cellStyle name="Normal 4 2 4 4" xfId="740" xr:uid="{44D79419-948C-41AC-BCC8-602F01EFC530}"/>
    <cellStyle name="Normal 4 2 4 4 2" xfId="2461" xr:uid="{ECE9B719-789F-422D-818C-66CE23C69EF8}"/>
    <cellStyle name="Normal 4 2 4 4 2 2" xfId="6132" xr:uid="{596CDC47-8FC8-4975-B4B8-2A05215E4127}"/>
    <cellStyle name="Normal 4 2 4 4 3" xfId="4413" xr:uid="{528C8618-6C07-4EE2-9F30-BD41B70275E3}"/>
    <cellStyle name="Normal 4 2 4 5" xfId="958" xr:uid="{55513E5C-6510-4336-B652-A1C1ED255C26}"/>
    <cellStyle name="Normal 4 2 4 5 2" xfId="2679" xr:uid="{10D15100-CB66-4964-A665-BBD153A883E2}"/>
    <cellStyle name="Normal 4 2 4 5 2 2" xfId="6350" xr:uid="{F1E6C7B6-2355-40AA-8FC0-95F0EDB91F77}"/>
    <cellStyle name="Normal 4 2 4 5 3" xfId="4631" xr:uid="{9E72FE50-29A1-49D4-AADC-D7295BE07634}"/>
    <cellStyle name="Normal 4 2 4 6" xfId="1176" xr:uid="{6CBF1D08-9DFA-4C0E-AF03-D517D20825A2}"/>
    <cellStyle name="Normal 4 2 4 6 2" xfId="2897" xr:uid="{AD780CE0-6223-4D34-BE7D-E7625BFDC866}"/>
    <cellStyle name="Normal 4 2 4 6 2 2" xfId="6568" xr:uid="{0A09B81F-97D1-4150-84D9-0D31024B6073}"/>
    <cellStyle name="Normal 4 2 4 6 3" xfId="4849" xr:uid="{9293F39E-FCAA-484F-A542-4968C3CEC83B}"/>
    <cellStyle name="Normal 4 2 4 7" xfId="1394" xr:uid="{99DAC248-7E59-414A-8BEB-E3C83AA6D352}"/>
    <cellStyle name="Normal 4 2 4 7 2" xfId="3115" xr:uid="{5EFFD94B-463B-433F-978B-435EEDA0BF25}"/>
    <cellStyle name="Normal 4 2 4 7 2 2" xfId="6786" xr:uid="{F57D6266-9D0D-402A-8AC7-411749E68ACA}"/>
    <cellStyle name="Normal 4 2 4 7 3" xfId="5067" xr:uid="{F0A6DD44-BEC0-4FD5-94BA-0241A4569109}"/>
    <cellStyle name="Normal 4 2 4 8" xfId="1613" xr:uid="{A411EDAD-077F-49C4-BE5B-D9B980A3721A}"/>
    <cellStyle name="Normal 4 2 4 8 2" xfId="3334" xr:uid="{4E99A143-AEAD-4FAE-A47C-7ECF80FCC778}"/>
    <cellStyle name="Normal 4 2 4 8 2 2" xfId="7005" xr:uid="{0726A945-5294-491C-9E51-68085B8492BC}"/>
    <cellStyle name="Normal 4 2 4 8 3" xfId="5285" xr:uid="{E54745BF-A39C-43CE-9B2D-E6C2C85265F1}"/>
    <cellStyle name="Normal 4 2 4 9" xfId="1833" xr:uid="{8E0FA789-1FB2-4380-BE91-2F3EA7DB9E4C}"/>
    <cellStyle name="Normal 4 2 4 9 2" xfId="5504" xr:uid="{9D50615A-2610-4EDB-B825-F1204A6C2A62}"/>
    <cellStyle name="Normal 4 2 5" xfId="93" xr:uid="{064EEB6E-A248-4A99-9ACF-121396B9BA03}"/>
    <cellStyle name="Normal 4 2 5 10" xfId="3822" xr:uid="{4A448975-7CB7-4DD8-912E-C0D488229CD8}"/>
    <cellStyle name="Normal 4 2 5 2" xfId="339" xr:uid="{BFD76370-2EED-4D72-A914-7F6258A85305}"/>
    <cellStyle name="Normal 4 2 5 2 2" xfId="2038" xr:uid="{6930B15D-D604-4F83-8D21-BA202CB0C499}"/>
    <cellStyle name="Normal 4 2 5 2 2 2" xfId="5709" xr:uid="{E7737192-95E6-4565-9889-4E616EA1D807}"/>
    <cellStyle name="Normal 4 2 5 2 2 2 2" xfId="3753" xr:uid="{6732BDE7-CCC9-4FA2-A4EA-86EAD3578D07}"/>
    <cellStyle name="Normal 4 2 5 2 2 3" xfId="3728" xr:uid="{9A0F7D48-B2D2-41CB-8C44-B79E1DD8AC28}"/>
    <cellStyle name="Normal 4 2 5 2 3" xfId="4003" xr:uid="{C3807372-82C5-4067-BC4D-B4BD706B4B42}"/>
    <cellStyle name="Normal 4 2 5 2 3 2" xfId="3701" xr:uid="{CDC29919-113F-41C7-A25B-F1E2F8D9A3CD}"/>
    <cellStyle name="Normal 4 2 5 2 4" xfId="3730" xr:uid="{32D3C02C-BD09-4E0B-BFAB-8EECE45A5442}"/>
    <cellStyle name="Normal 4 2 5 3" xfId="535" xr:uid="{F3D144D9-D7F8-48CF-A20E-BD19D622E756}"/>
    <cellStyle name="Normal 4 2 5 3 2" xfId="2256" xr:uid="{DBEF4D9A-02EA-4359-BB9A-B4A4FBA0ADB1}"/>
    <cellStyle name="Normal 4 2 5 3 2 2" xfId="5927" xr:uid="{94389830-3663-481D-8868-9DFEA30B1D04}"/>
    <cellStyle name="Normal 4 2 5 3 3" xfId="4209" xr:uid="{C2F6855B-4BC5-4877-A0FC-02D292862FAB}"/>
    <cellStyle name="Normal 4 2 5 4" xfId="753" xr:uid="{3C03E5B7-79DD-49E4-8D97-CD08C34BC4B5}"/>
    <cellStyle name="Normal 4 2 5 4 2" xfId="2474" xr:uid="{0F77246E-386E-4E2E-9BF5-E0A7383FA7B5}"/>
    <cellStyle name="Normal 4 2 5 4 2 2" xfId="6145" xr:uid="{6262FE66-163E-48ED-A811-4534145CF9CF}"/>
    <cellStyle name="Normal 4 2 5 4 3" xfId="4426" xr:uid="{CBEB9D0A-28A9-44C2-9208-ED372F1C0EF4}"/>
    <cellStyle name="Normal 4 2 5 5" xfId="971" xr:uid="{056FDB12-B7BD-4536-9BE2-7B4CE1E5F8FD}"/>
    <cellStyle name="Normal 4 2 5 5 2" xfId="2692" xr:uid="{9A283965-95EF-4A34-B286-9EAE7C093EE0}"/>
    <cellStyle name="Normal 4 2 5 5 2 2" xfId="6363" xr:uid="{53AB28AA-6FF5-41BF-878A-4857EB852ABE}"/>
    <cellStyle name="Normal 4 2 5 5 3" xfId="4644" xr:uid="{C5D736F8-7C9C-4776-9C97-BA75684476EE}"/>
    <cellStyle name="Normal 4 2 5 6" xfId="1189" xr:uid="{70290AA1-8010-4543-BE1B-57CF77F3EB07}"/>
    <cellStyle name="Normal 4 2 5 6 2" xfId="2910" xr:uid="{01E24F4A-43F7-4190-9524-98AF24120084}"/>
    <cellStyle name="Normal 4 2 5 6 2 2" xfId="6581" xr:uid="{8553409F-3BF6-42AF-ADA6-F009BC2616E4}"/>
    <cellStyle name="Normal 4 2 5 6 3" xfId="4862" xr:uid="{D49C8350-50AF-464B-8087-6B25ACE4B4C8}"/>
    <cellStyle name="Normal 4 2 5 7" xfId="1407" xr:uid="{49482E6C-BC2D-4A81-B040-FA6C635CB07C}"/>
    <cellStyle name="Normal 4 2 5 7 2" xfId="3128" xr:uid="{20AD76D5-562A-4E0A-913C-079C8A1583CF}"/>
    <cellStyle name="Normal 4 2 5 7 2 2" xfId="6799" xr:uid="{C2D823D7-F8D5-483B-BD7A-E31E7FADD1E9}"/>
    <cellStyle name="Normal 4 2 5 7 3" xfId="5080" xr:uid="{B1605ABA-CAA1-40DF-ABA2-EA29530A64AD}"/>
    <cellStyle name="Normal 4 2 5 8" xfId="1626" xr:uid="{0DF56A4D-7D90-4738-BD4F-E108C152E9BA}"/>
    <cellStyle name="Normal 4 2 5 8 2" xfId="3347" xr:uid="{6327E6E6-854B-4F5D-A717-E3D322DB9764}"/>
    <cellStyle name="Normal 4 2 5 8 2 2" xfId="7018" xr:uid="{0DCF5786-DE60-4C12-A91A-0FB8EDFAF27A}"/>
    <cellStyle name="Normal 4 2 5 8 3" xfId="5298" xr:uid="{F3B9DB0C-1806-46E8-B695-E33904F2AD24}"/>
    <cellStyle name="Normal 4 2 5 9" xfId="1846" xr:uid="{ECB02E16-42C8-402E-9409-7F0F3210AA9F}"/>
    <cellStyle name="Normal 4 2 5 9 2" xfId="5517" xr:uid="{0F0FE506-CAB0-47AA-AC1C-A2E05B56ABA7}"/>
    <cellStyle name="Normal 4 2 6" xfId="106" xr:uid="{E9BBE775-1732-489B-A480-DBD17524225D}"/>
    <cellStyle name="Normal 4 2 6 10" xfId="3835" xr:uid="{F0B3A444-75C8-49E0-A35E-8D25527AAA3B}"/>
    <cellStyle name="Normal 4 2 6 2" xfId="352" xr:uid="{9F6FCB51-C8AF-405A-A094-8976F6FDF8BC}"/>
    <cellStyle name="Normal 4 2 6 2 2" xfId="2051" xr:uid="{58AFC904-283A-4F45-A6D1-A316D4619B7F}"/>
    <cellStyle name="Normal 4 2 6 2 2 2" xfId="5722" xr:uid="{42671919-E4A1-4D3D-B6D2-720D0D04B1DD}"/>
    <cellStyle name="Normal 4 2 6 2 3" xfId="4015" xr:uid="{D84C3997-A444-4927-B1A7-9E2D30C723A9}"/>
    <cellStyle name="Normal 4 2 6 3" xfId="548" xr:uid="{8ED07111-5C17-4A84-BA60-0DA904AAB9BE}"/>
    <cellStyle name="Normal 4 2 6 3 2" xfId="2269" xr:uid="{EF0C510F-BE44-437B-9438-712F49C94EC9}"/>
    <cellStyle name="Normal 4 2 6 3 2 2" xfId="5940" xr:uid="{8159B870-056B-442D-A2D9-781A31FAAA73}"/>
    <cellStyle name="Normal 4 2 6 3 3" xfId="4221" xr:uid="{25CFF82E-1232-4A0D-82BC-463B8C7EE85C}"/>
    <cellStyle name="Normal 4 2 6 4" xfId="766" xr:uid="{917FC66F-D2E8-44F1-B77E-C3077479524F}"/>
    <cellStyle name="Normal 4 2 6 4 2" xfId="2487" xr:uid="{9FCFAF0B-7C92-4082-AF2B-77CF6D56E98E}"/>
    <cellStyle name="Normal 4 2 6 4 2 2" xfId="6158" xr:uid="{184B3C10-5670-416F-94A9-21DCA46E3437}"/>
    <cellStyle name="Normal 4 2 6 4 3" xfId="4439" xr:uid="{2388AD01-10CF-4DB6-AEBF-ABB88EB96149}"/>
    <cellStyle name="Normal 4 2 6 5" xfId="984" xr:uid="{720F8633-4A9F-4941-96CF-035C09273519}"/>
    <cellStyle name="Normal 4 2 6 5 2" xfId="2705" xr:uid="{E4B2FBD7-E054-4C29-A780-557541A449C1}"/>
    <cellStyle name="Normal 4 2 6 5 2 2" xfId="6376" xr:uid="{375BB101-B32C-4C85-A51A-E9C5DFB41E96}"/>
    <cellStyle name="Normal 4 2 6 5 3" xfId="4657" xr:uid="{1D851C37-24C3-4BC6-A28D-AB443F3371E9}"/>
    <cellStyle name="Normal 4 2 6 6" xfId="1202" xr:uid="{F35159DA-DEE2-4CBE-A0FD-6052C4DA15C3}"/>
    <cellStyle name="Normal 4 2 6 6 2" xfId="2923" xr:uid="{D02CE90B-7D5D-4F3F-BC34-CB6A97E4DB2F}"/>
    <cellStyle name="Normal 4 2 6 6 2 2" xfId="6594" xr:uid="{7126B8FD-22C2-4D6E-83FE-4D753A869C99}"/>
    <cellStyle name="Normal 4 2 6 6 3" xfId="4875" xr:uid="{A67D1771-7949-459E-9F82-3FBB817C0009}"/>
    <cellStyle name="Normal 4 2 6 7" xfId="1420" xr:uid="{C3C511D1-C5CB-491D-BFDF-2AAF69D5CF85}"/>
    <cellStyle name="Normal 4 2 6 7 2" xfId="3141" xr:uid="{4D4F0BBF-3627-449A-8B11-7696FD89BD6E}"/>
    <cellStyle name="Normal 4 2 6 7 2 2" xfId="6812" xr:uid="{342CB4ED-472D-437B-B4FF-4A3A92799410}"/>
    <cellStyle name="Normal 4 2 6 7 3" xfId="5093" xr:uid="{28239311-C33A-48EC-A07A-B63C618982B1}"/>
    <cellStyle name="Normal 4 2 6 8" xfId="1639" xr:uid="{23DD429A-ADBB-4B01-9222-D961CF8F3DBE}"/>
    <cellStyle name="Normal 4 2 6 8 2" xfId="3360" xr:uid="{C87C4A7F-9885-471B-90A4-DA2DF13BEC79}"/>
    <cellStyle name="Normal 4 2 6 8 2 2" xfId="7031" xr:uid="{5F50C824-C46B-4B6F-8543-354042D73C87}"/>
    <cellStyle name="Normal 4 2 6 8 3" xfId="5311" xr:uid="{B0AC9E2D-03FC-42DE-81C7-518A4D2C0054}"/>
    <cellStyle name="Normal 4 2 6 9" xfId="1859" xr:uid="{6A31B52C-6EC8-4F90-AAFC-B9E4C5E2F466}"/>
    <cellStyle name="Normal 4 2 6 9 2" xfId="5530" xr:uid="{40ACF736-0002-41E0-B85B-4E658EA5ACEE}"/>
    <cellStyle name="Normal 4 2 7" xfId="119" xr:uid="{A585DAC3-A9AE-4073-BA58-4BD70E0020F5}"/>
    <cellStyle name="Normal 4 2 7 10" xfId="3848" xr:uid="{2A3DB087-D371-4E5C-BA43-3DBE7040F1AE}"/>
    <cellStyle name="Normal 4 2 7 2" xfId="365" xr:uid="{4AB3A813-1962-4FB6-8C32-A0AFBC06F2F8}"/>
    <cellStyle name="Normal 4 2 7 2 2" xfId="2064" xr:uid="{C7FC505C-C1FD-4598-8620-FA4854F2FBD0}"/>
    <cellStyle name="Normal 4 2 7 2 2 2" xfId="5735" xr:uid="{4B35C583-C8F9-4570-84E1-77164B90647B}"/>
    <cellStyle name="Normal 4 2 7 2 3" xfId="4028" xr:uid="{22623D0E-C484-4A07-99B6-423E59031F9B}"/>
    <cellStyle name="Normal 4 2 7 3" xfId="561" xr:uid="{4A2E8AD3-6DE8-4090-AC1A-0E2393364A87}"/>
    <cellStyle name="Normal 4 2 7 3 2" xfId="2282" xr:uid="{6D78BF84-2182-4F0E-BDC6-DBA69CCF747E}"/>
    <cellStyle name="Normal 4 2 7 3 2 2" xfId="5953" xr:uid="{2B48BA9D-209E-4E66-9168-EB83607A9AB2}"/>
    <cellStyle name="Normal 4 2 7 3 3" xfId="4234" xr:uid="{1FAC74A2-BF69-42D8-8132-50346DB97B09}"/>
    <cellStyle name="Normal 4 2 7 4" xfId="779" xr:uid="{0F7BAF30-6627-4CB3-B776-BA2095EEE27C}"/>
    <cellStyle name="Normal 4 2 7 4 2" xfId="2500" xr:uid="{E557CF1A-ACC1-4749-A742-E5A76DA80182}"/>
    <cellStyle name="Normal 4 2 7 4 2 2" xfId="6171" xr:uid="{9FD055A4-325D-48C5-9F3B-648D46D8BA05}"/>
    <cellStyle name="Normal 4 2 7 4 3" xfId="4452" xr:uid="{3172886D-F372-44C7-B905-23281DEAF7D4}"/>
    <cellStyle name="Normal 4 2 7 5" xfId="997" xr:uid="{F429E8A8-3809-4368-9CC1-66142C4FD4A1}"/>
    <cellStyle name="Normal 4 2 7 5 2" xfId="2718" xr:uid="{683DF5D1-BF04-4ECA-AE02-CF146B0F9F50}"/>
    <cellStyle name="Normal 4 2 7 5 2 2" xfId="6389" xr:uid="{9AF073A6-3A4E-4EDD-B11B-5C81F2CF49B2}"/>
    <cellStyle name="Normal 4 2 7 5 3" xfId="4670" xr:uid="{58E09F7F-B07D-4C98-8501-643F342B48E9}"/>
    <cellStyle name="Normal 4 2 7 6" xfId="1215" xr:uid="{C0539A60-7E93-47B3-84B7-0B48EE33BA78}"/>
    <cellStyle name="Normal 4 2 7 6 2" xfId="2936" xr:uid="{562F4C95-B87B-4E83-AE37-FC40C9E3800B}"/>
    <cellStyle name="Normal 4 2 7 6 2 2" xfId="6607" xr:uid="{40AB4008-4EF6-42FB-B3F0-A8228C94C9F8}"/>
    <cellStyle name="Normal 4 2 7 6 3" xfId="4888" xr:uid="{12063A9F-5FEE-4091-BAC6-DE8C3ACBD49C}"/>
    <cellStyle name="Normal 4 2 7 7" xfId="1433" xr:uid="{E61DA6A8-85A7-4B59-83CD-0E9EC1F936A3}"/>
    <cellStyle name="Normal 4 2 7 7 2" xfId="3154" xr:uid="{5E6D9624-E70F-421D-9243-084CD804F96E}"/>
    <cellStyle name="Normal 4 2 7 7 2 2" xfId="6825" xr:uid="{BBBD3D40-00C2-45BD-8671-9B0845E42FDC}"/>
    <cellStyle name="Normal 4 2 7 7 3" xfId="5106" xr:uid="{D185E60E-7CD8-4937-918C-D0B810560F28}"/>
    <cellStyle name="Normal 4 2 7 8" xfId="1652" xr:uid="{EF3A5588-B325-4064-B2D3-3BA3E6F87833}"/>
    <cellStyle name="Normal 4 2 7 8 2" xfId="3373" xr:uid="{6C187957-1869-4712-AF2F-3394EE9FE94C}"/>
    <cellStyle name="Normal 4 2 7 8 2 2" xfId="7044" xr:uid="{44795C75-85F8-4331-9301-045D54B80FCC}"/>
    <cellStyle name="Normal 4 2 7 8 3" xfId="5324" xr:uid="{5950E690-07F5-4519-BBF8-F42232CD8863}"/>
    <cellStyle name="Normal 4 2 7 9" xfId="1872" xr:uid="{F56CF8E1-19AD-4B61-BC19-67550D72B218}"/>
    <cellStyle name="Normal 4 2 7 9 2" xfId="5543" xr:uid="{6128C4F6-34C7-4FF8-AFB2-DED0A900BDC3}"/>
    <cellStyle name="Normal 4 2 8" xfId="132" xr:uid="{D9C13D1C-A13E-4DB9-8F7A-03F110458670}"/>
    <cellStyle name="Normal 4 2 8 10" xfId="3861" xr:uid="{AC8A84B8-73BC-40B6-AD47-D3A71928F3AF}"/>
    <cellStyle name="Normal 4 2 8 2" xfId="378" xr:uid="{72B55673-B149-43AB-A266-310062BEECF1}"/>
    <cellStyle name="Normal 4 2 8 2 2" xfId="2077" xr:uid="{9D4BE46D-7F04-46B9-99D4-C4F7DDC347F6}"/>
    <cellStyle name="Normal 4 2 8 2 2 2" xfId="5748" xr:uid="{2DC525CE-30BC-4570-88BA-B7E962FC01B7}"/>
    <cellStyle name="Normal 4 2 8 2 3" xfId="4041" xr:uid="{BE8405FA-A34D-475A-8CE7-DA7A419848F0}"/>
    <cellStyle name="Normal 4 2 8 3" xfId="574" xr:uid="{ECB2F4C0-1735-4D03-A7C1-1A77BE817038}"/>
    <cellStyle name="Normal 4 2 8 3 2" xfId="2295" xr:uid="{24E3DE15-956C-4C1A-A9D3-0189335C783D}"/>
    <cellStyle name="Normal 4 2 8 3 2 2" xfId="5966" xr:uid="{D27223CB-21FB-4452-BF48-70A5A0883BF9}"/>
    <cellStyle name="Normal 4 2 8 3 3" xfId="4247" xr:uid="{AE2E93B2-19CF-4B7F-8E76-C4648BD77CF6}"/>
    <cellStyle name="Normal 4 2 8 4" xfId="792" xr:uid="{E21D865C-E0B2-4BC0-9C6B-3EA53B72CF9A}"/>
    <cellStyle name="Normal 4 2 8 4 2" xfId="2513" xr:uid="{5F513947-1242-4F1C-A17E-1E4BE307CA04}"/>
    <cellStyle name="Normal 4 2 8 4 2 2" xfId="6184" xr:uid="{72733788-074E-49FD-BC63-D9C40F4117B9}"/>
    <cellStyle name="Normal 4 2 8 4 3" xfId="4465" xr:uid="{786BEAB1-B6F1-49C3-A39A-FC37837D75B1}"/>
    <cellStyle name="Normal 4 2 8 5" xfId="1010" xr:uid="{01D0ABD0-2B5D-44C1-A5FB-1E35F4989375}"/>
    <cellStyle name="Normal 4 2 8 5 2" xfId="2731" xr:uid="{B4C8813B-8233-4CDB-84BF-2962C19B672B}"/>
    <cellStyle name="Normal 4 2 8 5 2 2" xfId="6402" xr:uid="{209FEE58-ABD0-42D1-8201-27F7186084BA}"/>
    <cellStyle name="Normal 4 2 8 5 3" xfId="4683" xr:uid="{F07F5F41-0917-4A42-9ABD-BB04BBFE1DD0}"/>
    <cellStyle name="Normal 4 2 8 6" xfId="1228" xr:uid="{0CC27445-4477-4EE9-99EE-0323668237AC}"/>
    <cellStyle name="Normal 4 2 8 6 2" xfId="2949" xr:uid="{E4135008-DE09-4C55-8120-CF32B626B237}"/>
    <cellStyle name="Normal 4 2 8 6 2 2" xfId="6620" xr:uid="{0FECC0E3-DEE0-4780-8E8F-15C74220AF70}"/>
    <cellStyle name="Normal 4 2 8 6 3" xfId="4901" xr:uid="{43627716-2F75-4CA0-84C2-A7A233E6C9C4}"/>
    <cellStyle name="Normal 4 2 8 7" xfId="1446" xr:uid="{C5DBF528-659A-49EF-8AC9-BA042E388D46}"/>
    <cellStyle name="Normal 4 2 8 7 2" xfId="3167" xr:uid="{FCE9224E-BE09-467D-894A-C308D007368C}"/>
    <cellStyle name="Normal 4 2 8 7 2 2" xfId="6838" xr:uid="{2558CB7E-B452-44BC-A31C-F6E296CD8827}"/>
    <cellStyle name="Normal 4 2 8 7 3" xfId="5119" xr:uid="{73459F47-901F-4760-A24C-ACCEBADC6EB1}"/>
    <cellStyle name="Normal 4 2 8 8" xfId="1665" xr:uid="{FA926A14-003D-45BC-8E40-8A5F10BEA9E5}"/>
    <cellStyle name="Normal 4 2 8 8 2" xfId="3386" xr:uid="{90ACBBC3-F178-4A8A-A4BF-85FEC7753966}"/>
    <cellStyle name="Normal 4 2 8 8 2 2" xfId="7057" xr:uid="{8561EB94-91D5-4988-8157-061EA19DE077}"/>
    <cellStyle name="Normal 4 2 8 8 3" xfId="5337" xr:uid="{5FD9ED72-3F7D-443C-B2A0-18EDCD76BCE9}"/>
    <cellStyle name="Normal 4 2 8 9" xfId="1885" xr:uid="{BC418ACA-6366-43DA-9481-3684DF1BE6BE}"/>
    <cellStyle name="Normal 4 2 8 9 2" xfId="5556" xr:uid="{D438BD9C-9D51-4B98-BCC1-AD1D5774B42C}"/>
    <cellStyle name="Normal 4 2 9" xfId="145" xr:uid="{51131B40-0462-4FAD-B5A9-B6D07E462649}"/>
    <cellStyle name="Normal 4 2 9 10" xfId="3874" xr:uid="{F30F76CD-14D5-49BE-BAEA-4C22EE88BC39}"/>
    <cellStyle name="Normal 4 2 9 2" xfId="391" xr:uid="{F7CF929B-FA48-4F8A-99DE-077577E93953}"/>
    <cellStyle name="Normal 4 2 9 2 2" xfId="2090" xr:uid="{011057FA-3F46-4DF7-9792-1852BB8CBE18}"/>
    <cellStyle name="Normal 4 2 9 2 2 2" xfId="5761" xr:uid="{D164436E-CC5B-4F9B-8CA8-C956C877CA09}"/>
    <cellStyle name="Normal 4 2 9 2 3" xfId="4054" xr:uid="{63F4C1C2-3F2D-4AE3-BE1F-31B2FFCDA328}"/>
    <cellStyle name="Normal 4 2 9 3" xfId="587" xr:uid="{D28A3C7C-DF88-4436-A38C-8A04B0A9DE6C}"/>
    <cellStyle name="Normal 4 2 9 3 2" xfId="2308" xr:uid="{8C03A904-63BB-4285-95C0-D3ECB43710AF}"/>
    <cellStyle name="Normal 4 2 9 3 2 2" xfId="5979" xr:uid="{4A7A3FA3-ADFD-41A6-B978-4D676B491DDB}"/>
    <cellStyle name="Normal 4 2 9 3 3" xfId="4260" xr:uid="{B5D64EA7-5A5E-43D8-9B1F-D8ECEAAD660D}"/>
    <cellStyle name="Normal 4 2 9 4" xfId="805" xr:uid="{E4586E7A-E7DD-4646-991D-308905682FCB}"/>
    <cellStyle name="Normal 4 2 9 4 2" xfId="2526" xr:uid="{2DF73247-C105-4C4C-A34F-6072FECA7E66}"/>
    <cellStyle name="Normal 4 2 9 4 2 2" xfId="6197" xr:uid="{554C9E77-4B90-40C8-ADE7-E1C83A40DC2C}"/>
    <cellStyle name="Normal 4 2 9 4 3" xfId="4478" xr:uid="{6C23A117-938F-459B-A10E-8CE6D16BF27B}"/>
    <cellStyle name="Normal 4 2 9 5" xfId="1023" xr:uid="{1539ABCE-8DE9-403E-BB07-A2B085BD9F06}"/>
    <cellStyle name="Normal 4 2 9 5 2" xfId="2744" xr:uid="{D808242A-F11E-4241-8355-D369C5BE9165}"/>
    <cellStyle name="Normal 4 2 9 5 2 2" xfId="6415" xr:uid="{AF9A9FE1-ADB4-4B91-AAE5-BAF73EA6018A}"/>
    <cellStyle name="Normal 4 2 9 5 3" xfId="4696" xr:uid="{5E118AB0-4C16-47B2-9F3A-DC862FDA385A}"/>
    <cellStyle name="Normal 4 2 9 6" xfId="1241" xr:uid="{A455CF46-D11E-41DA-8751-2724E39FDBCA}"/>
    <cellStyle name="Normal 4 2 9 6 2" xfId="2962" xr:uid="{90EF20B6-E63D-4BF0-AE01-0CEA90718013}"/>
    <cellStyle name="Normal 4 2 9 6 2 2" xfId="6633" xr:uid="{4110A0FE-2FDF-4543-B681-A931EB33656F}"/>
    <cellStyle name="Normal 4 2 9 6 3" xfId="4914" xr:uid="{614C60F0-9FE1-43C8-96DD-5961AE9DB3E9}"/>
    <cellStyle name="Normal 4 2 9 7" xfId="1459" xr:uid="{1A7E780B-183F-423B-92B6-743E9EA133CD}"/>
    <cellStyle name="Normal 4 2 9 7 2" xfId="3180" xr:uid="{4B1412FC-D2D5-4D25-A733-BE844D42B7D2}"/>
    <cellStyle name="Normal 4 2 9 7 2 2" xfId="6851" xr:uid="{D6042980-07C4-4921-830E-3F27A0EC9CB6}"/>
    <cellStyle name="Normal 4 2 9 7 3" xfId="5132" xr:uid="{6A1C31B6-3AC6-4362-A961-05C9A9BE953A}"/>
    <cellStyle name="Normal 4 2 9 8" xfId="1678" xr:uid="{1562687A-A053-4D1D-95B7-8055BF843B3B}"/>
    <cellStyle name="Normal 4 2 9 8 2" xfId="3399" xr:uid="{328AB095-BC37-4798-B0B3-70EB7547B826}"/>
    <cellStyle name="Normal 4 2 9 8 2 2" xfId="7070" xr:uid="{5C5470B0-63C4-4BD6-8B27-FA0745625E5C}"/>
    <cellStyle name="Normal 4 2 9 8 3" xfId="5350" xr:uid="{01214773-C172-469F-8F09-5E756DF6CD84}"/>
    <cellStyle name="Normal 4 2 9 9" xfId="1898" xr:uid="{5C8929F3-B430-4159-A3BE-8A9695AB251D}"/>
    <cellStyle name="Normal 4 2 9 9 2" xfId="5569" xr:uid="{B99EAC37-E66F-47DA-B0A7-743A875452D6}"/>
    <cellStyle name="Normal 4 20" xfId="298" xr:uid="{A5B7F4B4-6E1D-4747-B058-17B7A954CA35}"/>
    <cellStyle name="Normal 4 20 2" xfId="1996" xr:uid="{F4A584C3-CFFA-4CC7-A5BD-0CD3652849FE}"/>
    <cellStyle name="Normal 4 20 2 2" xfId="5667" xr:uid="{0B2917E9-FFA7-437D-A54D-C357B225854E}"/>
    <cellStyle name="Normal 4 20 3" xfId="3972" xr:uid="{DDAB0353-B2EA-4E98-A534-FD274E341292}"/>
    <cellStyle name="Normal 4 21" xfId="493" xr:uid="{62A3FDF6-1B9E-4DD0-A1C7-7D9E545E2D40}"/>
    <cellStyle name="Normal 4 21 2" xfId="2214" xr:uid="{4A9582A7-B630-4D87-82F9-8C8B6D7ACA5A}"/>
    <cellStyle name="Normal 4 21 2 2" xfId="5885" xr:uid="{194E22FA-0BFB-42AA-90F8-18170E0A94A1}"/>
    <cellStyle name="Normal 4 21 3" xfId="4178" xr:uid="{7EA8AA9C-7015-4B05-8258-0FDC7AFC8FA6}"/>
    <cellStyle name="Normal 4 22" xfId="711" xr:uid="{1D09D596-EB09-40CD-AB04-A37F5FA32D8E}"/>
    <cellStyle name="Normal 4 22 2" xfId="2432" xr:uid="{92934A21-E1D3-4C92-AE09-8DA30848BF11}"/>
    <cellStyle name="Normal 4 22 2 2" xfId="6103" xr:uid="{9587E9C4-E85A-4C11-B7A0-6E79C1C9C660}"/>
    <cellStyle name="Normal 4 22 3" xfId="4384" xr:uid="{47C51761-5FC7-4221-AD46-F0072D57A55E}"/>
    <cellStyle name="Normal 4 23" xfId="929" xr:uid="{10ADB96D-9F07-43BB-AC7A-3499F036A0BE}"/>
    <cellStyle name="Normal 4 23 2" xfId="2650" xr:uid="{0C833766-9427-403F-AFD0-BE89E7DCA840}"/>
    <cellStyle name="Normal 4 23 2 2" xfId="6321" xr:uid="{96EF083D-1B5D-4E2C-8C8C-95D6CBADE6FE}"/>
    <cellStyle name="Normal 4 23 3" xfId="4602" xr:uid="{F4C86E9D-9CDF-41CA-8378-20918F4BC9A5}"/>
    <cellStyle name="Normal 4 24" xfId="1147" xr:uid="{A765BFEB-E62E-4438-943B-24340254B5C4}"/>
    <cellStyle name="Normal 4 24 2" xfId="2868" xr:uid="{015CAD19-D48C-4022-B0F4-65D66030A654}"/>
    <cellStyle name="Normal 4 24 2 2" xfId="6539" xr:uid="{041A99B6-6B66-4ED1-819A-46449AB43B2B}"/>
    <cellStyle name="Normal 4 24 3" xfId="4820" xr:uid="{9AE34BD5-157E-45CC-AB27-7B4EC8100DD3}"/>
    <cellStyle name="Normal 4 25" xfId="1365" xr:uid="{AD9E5D3B-50E3-479B-879D-C2B51A9CD620}"/>
    <cellStyle name="Normal 4 25 2" xfId="3086" xr:uid="{BCF1EB5F-E9A8-4C5E-A242-84CC7DFC9B17}"/>
    <cellStyle name="Normal 4 25 2 2" xfId="6757" xr:uid="{8EBC32CC-D4E0-4F27-BF05-0FE69B82AD25}"/>
    <cellStyle name="Normal 4 25 3" xfId="5038" xr:uid="{C7F797EB-E10C-4388-AC92-88DDA9CA4581}"/>
    <cellStyle name="Normal 4 26" xfId="1584" xr:uid="{E9D1EFDE-7871-4F03-BD05-FDD58EBA4C26}"/>
    <cellStyle name="Normal 4 26 2" xfId="3305" xr:uid="{67F036D4-C618-44A8-BCDC-C2F4F8B515C6}"/>
    <cellStyle name="Normal 4 26 2 2" xfId="6976" xr:uid="{5A440625-87B1-41BD-93E6-A09E7B93616A}"/>
    <cellStyle name="Normal 4 26 3" xfId="5256" xr:uid="{53070DB6-CFF5-403D-8514-D24790569957}"/>
    <cellStyle name="Normal 4 27" xfId="1804" xr:uid="{3F4468DA-D8A6-43F3-8994-5BDA104006E6}"/>
    <cellStyle name="Normal 4 27 2" xfId="5475" xr:uid="{55823BD3-910A-45B1-BFFC-017C1571CC63}"/>
    <cellStyle name="Normal 4 28" xfId="3780" xr:uid="{8E4899C5-F39D-418D-B813-9CE71520102A}"/>
    <cellStyle name="Normal 4 3" xfId="49" xr:uid="{050B8E7F-8BFB-4A4A-BB7F-445F68547C69}"/>
    <cellStyle name="Normal 4 3 10" xfId="174" xr:uid="{87846ED4-3AA2-4669-ACC1-11B2C2B69794}"/>
    <cellStyle name="Normal 4 3 10 10" xfId="3903" xr:uid="{B8AC3D80-CBD2-4A15-9DBE-6120BCCDC93E}"/>
    <cellStyle name="Normal 4 3 10 2" xfId="420" xr:uid="{9A2DBD8C-1EC9-4FB9-AD7E-A104C8729356}"/>
    <cellStyle name="Normal 4 3 10 2 2" xfId="2119" xr:uid="{39FEFCFF-4CC4-451F-9C8F-73F0FF89C488}"/>
    <cellStyle name="Normal 4 3 10 2 2 2" xfId="5790" xr:uid="{BE0E3412-B869-42B2-97CF-10DD0F429273}"/>
    <cellStyle name="Normal 4 3 10 2 3" xfId="4083" xr:uid="{09164B69-8C62-4890-8077-50A574EC8607}"/>
    <cellStyle name="Normal 4 3 10 3" xfId="616" xr:uid="{3971BFCD-0C8F-4D83-89D3-B230F97542E2}"/>
    <cellStyle name="Normal 4 3 10 3 2" xfId="2337" xr:uid="{C3E3C4BB-0BA2-44CF-A367-2AC98E73F69F}"/>
    <cellStyle name="Normal 4 3 10 3 2 2" xfId="6008" xr:uid="{FF5FBF12-BE7B-496B-B333-CCDEC0F07B93}"/>
    <cellStyle name="Normal 4 3 10 3 3" xfId="4289" xr:uid="{E78F4C4B-AFDB-4384-9F00-F2EA7AA27607}"/>
    <cellStyle name="Normal 4 3 10 4" xfId="834" xr:uid="{4D401626-05CB-440D-B272-3D580722752F}"/>
    <cellStyle name="Normal 4 3 10 4 2" xfId="2555" xr:uid="{47781301-127C-4878-8EF2-C0FAECB667E3}"/>
    <cellStyle name="Normal 4 3 10 4 2 2" xfId="6226" xr:uid="{40A7CFA6-C4AB-41AA-AC13-63FB1EBC1363}"/>
    <cellStyle name="Normal 4 3 10 4 3" xfId="4507" xr:uid="{AE0CE852-FD26-4DE0-943F-8622363AC768}"/>
    <cellStyle name="Normal 4 3 10 5" xfId="1052" xr:uid="{D7886B84-77C5-4556-BFFE-29551856125C}"/>
    <cellStyle name="Normal 4 3 10 5 2" xfId="2773" xr:uid="{AF06A345-E2C3-4A1F-B2A4-85ACEA835121}"/>
    <cellStyle name="Normal 4 3 10 5 2 2" xfId="6444" xr:uid="{AC92591E-E8A4-4A01-90BF-DD876EAB87B3}"/>
    <cellStyle name="Normal 4 3 10 5 3" xfId="4725" xr:uid="{EF6F9465-FE7F-420B-8995-97FF5C16BE94}"/>
    <cellStyle name="Normal 4 3 10 6" xfId="1270" xr:uid="{C0153F67-6EF0-4101-9937-3F4B48CE614B}"/>
    <cellStyle name="Normal 4 3 10 6 2" xfId="2991" xr:uid="{CDADA630-4F9D-4930-911C-CE27F8ED5DCA}"/>
    <cellStyle name="Normal 4 3 10 6 2 2" xfId="6662" xr:uid="{3AB33456-A227-4DAB-A4F4-C7F94218E67C}"/>
    <cellStyle name="Normal 4 3 10 6 3" xfId="4943" xr:uid="{888DBBA2-897B-4965-B7AA-2F2E67A60043}"/>
    <cellStyle name="Normal 4 3 10 7" xfId="1488" xr:uid="{28BC84AE-A8F9-419B-AC15-87900CF6864A}"/>
    <cellStyle name="Normal 4 3 10 7 2" xfId="3209" xr:uid="{E795565E-A89D-4642-8CA6-AE48B083CF61}"/>
    <cellStyle name="Normal 4 3 10 7 2 2" xfId="6880" xr:uid="{CA9F94DE-3BA1-4DE2-9277-7F43EB7BECF6}"/>
    <cellStyle name="Normal 4 3 10 7 3" xfId="5161" xr:uid="{A5BE3B15-BBAC-49A6-825E-3877E99C1BFC}"/>
    <cellStyle name="Normal 4 3 10 8" xfId="1707" xr:uid="{726CCC6B-018F-42F1-B443-C2EADC062578}"/>
    <cellStyle name="Normal 4 3 10 8 2" xfId="3428" xr:uid="{A21DBF73-E3B8-41F9-93F9-980E5B0E8F79}"/>
    <cellStyle name="Normal 4 3 10 8 2 2" xfId="7099" xr:uid="{05FEEFC0-CDBA-4846-A0F3-3C8C2936EE5C}"/>
    <cellStyle name="Normal 4 3 10 8 3" xfId="5379" xr:uid="{8BB1EF2D-1E1F-405A-82CE-C66999A5128A}"/>
    <cellStyle name="Normal 4 3 10 9" xfId="1927" xr:uid="{754D976B-C7D0-4DC7-8A2E-7BD4BE3B0BDF}"/>
    <cellStyle name="Normal 4 3 10 9 2" xfId="5598" xr:uid="{4151D02F-DB2F-4C29-9F01-586FA99153FE}"/>
    <cellStyle name="Normal 4 3 11" xfId="187" xr:uid="{AD169C9F-6737-4124-BA86-C8ADF439127C}"/>
    <cellStyle name="Normal 4 3 11 10" xfId="3916" xr:uid="{4D83B251-AE34-4ED7-99D7-60D2C4595FC5}"/>
    <cellStyle name="Normal 4 3 11 2" xfId="433" xr:uid="{32BEE1C8-DC27-409C-A181-ACAA67D1147A}"/>
    <cellStyle name="Normal 4 3 11 2 2" xfId="2132" xr:uid="{52C421F7-8CAA-4861-A589-0A6969FDF03C}"/>
    <cellStyle name="Normal 4 3 11 2 2 2" xfId="5803" xr:uid="{ABB7B68C-C722-48D7-8ECF-A814A142E564}"/>
    <cellStyle name="Normal 4 3 11 2 3" xfId="4096" xr:uid="{21416F86-34AD-46D0-AA9D-4A1CBE2D4D10}"/>
    <cellStyle name="Normal 4 3 11 3" xfId="629" xr:uid="{47D2F4A3-4034-4B1D-9F4C-24EC9F81758B}"/>
    <cellStyle name="Normal 4 3 11 3 2" xfId="2350" xr:uid="{10823D0B-067B-4C3A-B0EF-625DAE59FC9F}"/>
    <cellStyle name="Normal 4 3 11 3 2 2" xfId="6021" xr:uid="{AB0CB9F1-3BA8-4DCE-BF0B-28234BA5AD3C}"/>
    <cellStyle name="Normal 4 3 11 3 3" xfId="4302" xr:uid="{E492B1D3-38D0-4D99-9CE7-14F1E5AA6A3D}"/>
    <cellStyle name="Normal 4 3 11 4" xfId="847" xr:uid="{F2024744-1354-4DF9-BF5B-E4F75E27700B}"/>
    <cellStyle name="Normal 4 3 11 4 2" xfId="2568" xr:uid="{1475C855-00A0-4EED-8096-BCA0C424D70D}"/>
    <cellStyle name="Normal 4 3 11 4 2 2" xfId="6239" xr:uid="{A8891802-7EBE-4875-86DE-474C8DF8C09D}"/>
    <cellStyle name="Normal 4 3 11 4 3" xfId="4520" xr:uid="{6B75AC84-60F1-4357-8328-7A510705BD7B}"/>
    <cellStyle name="Normal 4 3 11 5" xfId="1065" xr:uid="{038915FD-4FF8-482B-B01B-4F2B1B469FB3}"/>
    <cellStyle name="Normal 4 3 11 5 2" xfId="2786" xr:uid="{DAF6E260-C166-4D7D-96BE-2FCE25450D9C}"/>
    <cellStyle name="Normal 4 3 11 5 2 2" xfId="6457" xr:uid="{E3508FE8-4FAC-40CB-BA87-F71A7F31F990}"/>
    <cellStyle name="Normal 4 3 11 5 3" xfId="4738" xr:uid="{6103E142-4BBB-4CD2-B73E-C387B4B8B028}"/>
    <cellStyle name="Normal 4 3 11 6" xfId="1283" xr:uid="{43055586-2AE1-4C98-971D-00D1DAE0195A}"/>
    <cellStyle name="Normal 4 3 11 6 2" xfId="3004" xr:uid="{D6AAB1BC-04EA-4E20-9DAD-FE99A6E7695C}"/>
    <cellStyle name="Normal 4 3 11 6 2 2" xfId="6675" xr:uid="{028C55EB-9F08-46FE-B1D1-E94EFF0BC3FC}"/>
    <cellStyle name="Normal 4 3 11 6 3" xfId="4956" xr:uid="{9BAAD4B1-8B2C-4847-BA5C-6420E5F1ED26}"/>
    <cellStyle name="Normal 4 3 11 7" xfId="1501" xr:uid="{47198315-0E9D-4037-9B4F-63216A1BADFE}"/>
    <cellStyle name="Normal 4 3 11 7 2" xfId="3222" xr:uid="{CD857408-812C-446B-B476-20CED5622A89}"/>
    <cellStyle name="Normal 4 3 11 7 2 2" xfId="6893" xr:uid="{B8BB703C-562A-47F4-87E1-62643A74AD5E}"/>
    <cellStyle name="Normal 4 3 11 7 3" xfId="5174" xr:uid="{DE6344DA-42A8-4808-9937-0130E498FABF}"/>
    <cellStyle name="Normal 4 3 11 8" xfId="1720" xr:uid="{0A713E50-5123-4F79-8771-C7F96CE17A02}"/>
    <cellStyle name="Normal 4 3 11 8 2" xfId="3441" xr:uid="{FD20A5BE-7D2F-4C8E-B6C5-967E73F2725E}"/>
    <cellStyle name="Normal 4 3 11 8 2 2" xfId="7112" xr:uid="{B6BB5382-9474-46DB-BA54-2A920E4081C9}"/>
    <cellStyle name="Normal 4 3 11 8 3" xfId="5392" xr:uid="{FDFBA63C-F2F6-4DA7-8179-85883EC6DA12}"/>
    <cellStyle name="Normal 4 3 11 9" xfId="1940" xr:uid="{4E197EA3-8A9A-44F1-9B9A-AB9AFD75CED2}"/>
    <cellStyle name="Normal 4 3 11 9 2" xfId="5611" xr:uid="{1784D216-E399-4DF6-9DA4-2846D1955B83}"/>
    <cellStyle name="Normal 4 3 12" xfId="200" xr:uid="{D26151A2-A497-4F47-A01A-2D06C698E49C}"/>
    <cellStyle name="Normal 4 3 12 10" xfId="3929" xr:uid="{C5E567CA-D842-4000-A730-515AC768BDE3}"/>
    <cellStyle name="Normal 4 3 12 2" xfId="446" xr:uid="{AEE39350-F7F7-4716-A89B-7E1BD4A027BE}"/>
    <cellStyle name="Normal 4 3 12 2 2" xfId="2145" xr:uid="{852C16D1-8959-4BA8-A661-B4276AD79F12}"/>
    <cellStyle name="Normal 4 3 12 2 2 2" xfId="5816" xr:uid="{40388723-AA94-4ACD-874D-735C1676BB26}"/>
    <cellStyle name="Normal 4 3 12 2 3" xfId="4109" xr:uid="{BBA67DB4-7540-4E05-92EE-37AE9D512E19}"/>
    <cellStyle name="Normal 4 3 12 3" xfId="642" xr:uid="{09DC9CB7-00B6-49D9-9634-3A32410B04CE}"/>
    <cellStyle name="Normal 4 3 12 3 2" xfId="2363" xr:uid="{4E7B76DA-36F0-4D96-9591-00A9A1030CDF}"/>
    <cellStyle name="Normal 4 3 12 3 2 2" xfId="6034" xr:uid="{4F7449EF-B3CD-44F9-9BAB-F6849F29D791}"/>
    <cellStyle name="Normal 4 3 12 3 3" xfId="4315" xr:uid="{B296F462-9F27-4B52-A72F-9A5658D0F846}"/>
    <cellStyle name="Normal 4 3 12 4" xfId="860" xr:uid="{686F8F09-EA75-4DFF-8A7D-108D9C895F35}"/>
    <cellStyle name="Normal 4 3 12 4 2" xfId="2581" xr:uid="{AA3CD738-A2C4-44F8-85B2-A1F55A674F76}"/>
    <cellStyle name="Normal 4 3 12 4 2 2" xfId="6252" xr:uid="{63FEA873-2563-47CC-A760-BEA43CAA3317}"/>
    <cellStyle name="Normal 4 3 12 4 3" xfId="4533" xr:uid="{B89C3BBA-B94D-4382-A9B6-86F54A76C752}"/>
    <cellStyle name="Normal 4 3 12 5" xfId="1078" xr:uid="{8264472F-AF67-4157-9AFB-6ACEF760E0E1}"/>
    <cellStyle name="Normal 4 3 12 5 2" xfId="2799" xr:uid="{56B43A63-2D7E-4261-8182-271AC6373599}"/>
    <cellStyle name="Normal 4 3 12 5 2 2" xfId="6470" xr:uid="{273F870D-498C-4B61-BF0B-061C6EFCF914}"/>
    <cellStyle name="Normal 4 3 12 5 3" xfId="4751" xr:uid="{F0AE5555-CFA4-420B-9E33-EC6D5C379699}"/>
    <cellStyle name="Normal 4 3 12 6" xfId="1296" xr:uid="{12E7CA9D-ABBB-4152-A67B-9845C84A68FC}"/>
    <cellStyle name="Normal 4 3 12 6 2" xfId="3017" xr:uid="{B9A5F6CA-46A3-427F-BA87-A24DA84BE0AC}"/>
    <cellStyle name="Normal 4 3 12 6 2 2" xfId="6688" xr:uid="{F30123E8-D68F-45F3-8549-BF0ECD03AE85}"/>
    <cellStyle name="Normal 4 3 12 6 3" xfId="4969" xr:uid="{2302849A-F3C1-4244-9B06-1FAE24AD4D2D}"/>
    <cellStyle name="Normal 4 3 12 7" xfId="1514" xr:uid="{97669126-7DAD-412B-95A0-A7B3C4C9367C}"/>
    <cellStyle name="Normal 4 3 12 7 2" xfId="3235" xr:uid="{3F2CA4CE-30F2-4D7A-8A8B-139B71C5105E}"/>
    <cellStyle name="Normal 4 3 12 7 2 2" xfId="6906" xr:uid="{AD735B83-0E15-46C3-8E99-D32A97B9B2CD}"/>
    <cellStyle name="Normal 4 3 12 7 3" xfId="5187" xr:uid="{1DC7CBE0-8D1F-47B3-A208-6BADEE010B3C}"/>
    <cellStyle name="Normal 4 3 12 8" xfId="1733" xr:uid="{4F048723-3FBB-4351-8731-304E39D70A69}"/>
    <cellStyle name="Normal 4 3 12 8 2" xfId="3454" xr:uid="{89AF9863-20FC-4674-A137-AFCB4874689E}"/>
    <cellStyle name="Normal 4 3 12 8 2 2" xfId="7125" xr:uid="{4158EF4B-1A69-4132-89DE-0107D39D4D50}"/>
    <cellStyle name="Normal 4 3 12 8 3" xfId="5405" xr:uid="{96296051-500E-446D-BCBE-C1373DF7445D}"/>
    <cellStyle name="Normal 4 3 12 9" xfId="1953" xr:uid="{5017F42C-F9BF-431E-A9F8-721CD5A11856}"/>
    <cellStyle name="Normal 4 3 12 9 2" xfId="5624" xr:uid="{7A4E4724-575A-4CDC-BC1E-F10C40B9601E}"/>
    <cellStyle name="Normal 4 3 13" xfId="209" xr:uid="{F9EDC75C-C605-4D46-9DCC-E62586C7A59D}"/>
    <cellStyle name="Normal 4 3 13 10" xfId="3936" xr:uid="{106815C0-1DBB-4F5F-B065-BCC2C513F116}"/>
    <cellStyle name="Normal 4 3 13 2" xfId="453" xr:uid="{51A96A17-F195-427C-BF3A-C21E3ADA81E5}"/>
    <cellStyle name="Normal 4 3 13 2 2" xfId="2152" xr:uid="{33FA74AB-A6B9-4A47-BCDA-12889C39B99A}"/>
    <cellStyle name="Normal 4 3 13 2 2 2" xfId="5823" xr:uid="{DE6DBB18-6BB6-47A0-9AED-7B3FC9F3528B}"/>
    <cellStyle name="Normal 4 3 13 2 3" xfId="4116" xr:uid="{BD6B6829-FFA3-4161-9006-12784A5551BA}"/>
    <cellStyle name="Normal 4 3 13 3" xfId="649" xr:uid="{E77A12CF-1636-4365-B306-E042CFF92B11}"/>
    <cellStyle name="Normal 4 3 13 3 2" xfId="2370" xr:uid="{FBA038C0-4175-46E0-875A-861CC30FFEE8}"/>
    <cellStyle name="Normal 4 3 13 3 2 2" xfId="6041" xr:uid="{8D0B7F93-3D93-486F-A195-6654516DDC94}"/>
    <cellStyle name="Normal 4 3 13 3 3" xfId="4322" xr:uid="{A8F0EA46-DE6F-4529-8279-B60A21B005B2}"/>
    <cellStyle name="Normal 4 3 13 4" xfId="867" xr:uid="{253655D5-7B8F-4036-A8F0-61CAD930101A}"/>
    <cellStyle name="Normal 4 3 13 4 2" xfId="2588" xr:uid="{061A3B67-3F4A-46DD-B2B0-10BE5F46CA32}"/>
    <cellStyle name="Normal 4 3 13 4 2 2" xfId="6259" xr:uid="{A3C796B7-1845-43C9-A752-82055731E8E9}"/>
    <cellStyle name="Normal 4 3 13 4 3" xfId="4540" xr:uid="{635A75CE-B97A-4E4B-B491-B2FD426B7742}"/>
    <cellStyle name="Normal 4 3 13 5" xfId="1085" xr:uid="{165FB474-40CE-4400-A5FD-53660678DE67}"/>
    <cellStyle name="Normal 4 3 13 5 2" xfId="2806" xr:uid="{FDB5FFCA-6825-46C0-A927-34BA41C5B5C2}"/>
    <cellStyle name="Normal 4 3 13 5 2 2" xfId="6477" xr:uid="{DC7E51EC-C836-4814-B6A1-8573D06D436C}"/>
    <cellStyle name="Normal 4 3 13 5 3" xfId="4758" xr:uid="{77487B33-86E6-4E26-A46A-74B4B85A70A1}"/>
    <cellStyle name="Normal 4 3 13 6" xfId="1303" xr:uid="{09AA3D96-EADC-4CF6-8EB0-728B090CB8B7}"/>
    <cellStyle name="Normal 4 3 13 6 2" xfId="3024" xr:uid="{7E92F14F-BB49-4537-9F81-FF9BC31448DB}"/>
    <cellStyle name="Normal 4 3 13 6 2 2" xfId="6695" xr:uid="{4D10A594-583F-4580-B00F-CF381976CA47}"/>
    <cellStyle name="Normal 4 3 13 6 3" xfId="4976" xr:uid="{AF7D52C1-B3B3-4210-8BE7-BE33671C68F4}"/>
    <cellStyle name="Normal 4 3 13 7" xfId="1521" xr:uid="{01AED39D-E2C0-41C4-A7AF-D9108ECEB154}"/>
    <cellStyle name="Normal 4 3 13 7 2" xfId="3242" xr:uid="{456DDF2A-1EF5-47B0-9C31-ADA8873C5A59}"/>
    <cellStyle name="Normal 4 3 13 7 2 2" xfId="6913" xr:uid="{D072D5C4-AA04-4BF3-A702-82ABF3047FAB}"/>
    <cellStyle name="Normal 4 3 13 7 3" xfId="5194" xr:uid="{2D99936A-990C-47E8-9EF3-053846B5340F}"/>
    <cellStyle name="Normal 4 3 13 8" xfId="1740" xr:uid="{A5C17F89-C9EA-41CB-BFC0-5B376D83020A}"/>
    <cellStyle name="Normal 4 3 13 8 2" xfId="3461" xr:uid="{85915EAD-48D1-4A45-8BF4-148C769529E1}"/>
    <cellStyle name="Normal 4 3 13 8 2 2" xfId="7132" xr:uid="{7DC19C44-169A-4698-AE99-7D18E2CF73F4}"/>
    <cellStyle name="Normal 4 3 13 8 3" xfId="5412" xr:uid="{F77A4D4A-CDED-4F91-A887-838DB164C187}"/>
    <cellStyle name="Normal 4 3 13 9" xfId="1960" xr:uid="{A347BDC0-DE27-47B3-B8F5-965CD68B2F60}"/>
    <cellStyle name="Normal 4 3 13 9 2" xfId="5631" xr:uid="{32063BA8-1666-4606-B69A-B5085BFB4DDB}"/>
    <cellStyle name="Normal 4 3 14" xfId="225" xr:uid="{46713EB6-D43E-4E69-B688-A265DBA79A5D}"/>
    <cellStyle name="Normal 4 3 14 10" xfId="3952" xr:uid="{E4236C92-259A-4A65-AF32-5CEAD96AAB6D}"/>
    <cellStyle name="Normal 4 3 14 2" xfId="469" xr:uid="{EDF1410F-A383-451C-B080-0ADD0ED42DD8}"/>
    <cellStyle name="Normal 4 3 14 2 2" xfId="2168" xr:uid="{26044867-B9F2-46B3-B658-882FE07068E0}"/>
    <cellStyle name="Normal 4 3 14 2 2 2" xfId="5839" xr:uid="{1346E144-0708-4014-9FB3-BA4B4DC0E8F9}"/>
    <cellStyle name="Normal 4 3 14 2 3" xfId="4132" xr:uid="{B5828E0C-96A0-46DE-9B05-A59C92FB54CC}"/>
    <cellStyle name="Normal 4 3 14 3" xfId="665" xr:uid="{5033E176-5C81-4F4E-9D94-BD79EEEA75FB}"/>
    <cellStyle name="Normal 4 3 14 3 2" xfId="2386" xr:uid="{98F20072-DC9D-43A3-BABE-8D46B567154F}"/>
    <cellStyle name="Normal 4 3 14 3 2 2" xfId="6057" xr:uid="{98B1CE59-328F-49A9-AC53-7D29973A2FFE}"/>
    <cellStyle name="Normal 4 3 14 3 3" xfId="4338" xr:uid="{B946624B-EA0B-4359-B5C7-9805B58CC050}"/>
    <cellStyle name="Normal 4 3 14 4" xfId="883" xr:uid="{A96442FE-91D6-4151-9CA6-2B5C34395EC8}"/>
    <cellStyle name="Normal 4 3 14 4 2" xfId="2604" xr:uid="{1CB1308A-6272-49E2-B3F0-2996336BB703}"/>
    <cellStyle name="Normal 4 3 14 4 2 2" xfId="6275" xr:uid="{CFD7D8C9-83A8-40FE-B268-11FAF25F6043}"/>
    <cellStyle name="Normal 4 3 14 4 3" xfId="4556" xr:uid="{60A3676A-3F99-4517-95EA-F623BA714DCD}"/>
    <cellStyle name="Normal 4 3 14 5" xfId="1101" xr:uid="{05C04D5D-D868-4CA1-8149-426E1B735500}"/>
    <cellStyle name="Normal 4 3 14 5 2" xfId="2822" xr:uid="{34323B25-CFA2-463F-8868-00AEA16662C9}"/>
    <cellStyle name="Normal 4 3 14 5 2 2" xfId="6493" xr:uid="{99BABC10-BDE9-4B62-8F53-7E90DB6D5A03}"/>
    <cellStyle name="Normal 4 3 14 5 3" xfId="4774" xr:uid="{8E9F9F73-2D63-47AC-95A2-E88ED72D0241}"/>
    <cellStyle name="Normal 4 3 14 6" xfId="1319" xr:uid="{02DD01EB-11AD-49FA-A733-7BF9A1F4CABE}"/>
    <cellStyle name="Normal 4 3 14 6 2" xfId="3040" xr:uid="{34E6F2D2-0F85-4D4B-9DA5-B4C7927917F2}"/>
    <cellStyle name="Normal 4 3 14 6 2 2" xfId="6711" xr:uid="{61DFDC89-ABBE-4A1E-82AB-72179239F5AD}"/>
    <cellStyle name="Normal 4 3 14 6 3" xfId="4992" xr:uid="{CDD62156-13BA-41E2-BE16-28D12A7F13E3}"/>
    <cellStyle name="Normal 4 3 14 7" xfId="1537" xr:uid="{1CB6A0E5-9E02-4263-B344-848787D6F8AC}"/>
    <cellStyle name="Normal 4 3 14 7 2" xfId="3258" xr:uid="{908DCBBB-8ECE-4964-B275-C47BCEE32EF1}"/>
    <cellStyle name="Normal 4 3 14 7 2 2" xfId="6929" xr:uid="{F4513F36-E645-4B0C-BAFA-93EE46685BD8}"/>
    <cellStyle name="Normal 4 3 14 7 3" xfId="5210" xr:uid="{F287BB3C-E864-4B56-ACFA-65310836EE1E}"/>
    <cellStyle name="Normal 4 3 14 8" xfId="1756" xr:uid="{10F5AB96-496B-4DC2-B007-ED54C917CBEC}"/>
    <cellStyle name="Normal 4 3 14 8 2" xfId="3477" xr:uid="{7E84AD07-47C0-444D-9CE9-4613A08759FE}"/>
    <cellStyle name="Normal 4 3 14 8 2 2" xfId="7148" xr:uid="{43DE4358-BD3D-4B9E-851E-5E9FFC135360}"/>
    <cellStyle name="Normal 4 3 14 8 3" xfId="5428" xr:uid="{9F9B2DEB-6F15-4EBA-9071-7F6273150185}"/>
    <cellStyle name="Normal 4 3 14 9" xfId="1976" xr:uid="{75C869CC-122F-411C-A0FF-95267AF3DE5C}"/>
    <cellStyle name="Normal 4 3 14 9 2" xfId="5647" xr:uid="{3F14E457-E63F-4EDA-9E3A-23D4C9D7B189}"/>
    <cellStyle name="Normal 4 3 15" xfId="238" xr:uid="{389AB93E-8E01-4E69-A12C-63AF73D143F3}"/>
    <cellStyle name="Normal 4 3 15 10" xfId="3965" xr:uid="{B2DCF0CE-32FA-4022-B939-F22A73C499B7}"/>
    <cellStyle name="Normal 4 3 15 2" xfId="482" xr:uid="{EA193613-10B1-46E2-BE7E-1518C6F16930}"/>
    <cellStyle name="Normal 4 3 15 2 2" xfId="2181" xr:uid="{743D2509-944A-4374-BF0D-B38364D2ADB1}"/>
    <cellStyle name="Normal 4 3 15 2 2 2" xfId="5852" xr:uid="{B8CCCBB8-766A-428E-936B-511A6A670047}"/>
    <cellStyle name="Normal 4 3 15 2 3" xfId="4145" xr:uid="{84F8478B-44AC-4F62-9555-8444DCE8C6F0}"/>
    <cellStyle name="Normal 4 3 15 3" xfId="678" xr:uid="{FEA67E0C-B51E-4766-A659-209A123BB013}"/>
    <cellStyle name="Normal 4 3 15 3 2" xfId="2399" xr:uid="{89CA86F0-B091-4A51-BB72-B8F3D91A8828}"/>
    <cellStyle name="Normal 4 3 15 3 2 2" xfId="6070" xr:uid="{D76F185D-9993-498E-B20A-A83BB77805A1}"/>
    <cellStyle name="Normal 4 3 15 3 3" xfId="4351" xr:uid="{6556F9D8-340E-4685-A0A3-AA6076411E82}"/>
    <cellStyle name="Normal 4 3 15 4" xfId="896" xr:uid="{24B0DDD4-C0C1-4C42-A812-1CFB9FB256F2}"/>
    <cellStyle name="Normal 4 3 15 4 2" xfId="2617" xr:uid="{EC1A4948-17CA-43C8-A925-0080784F97BB}"/>
    <cellStyle name="Normal 4 3 15 4 2 2" xfId="6288" xr:uid="{54697757-3731-4F52-A989-B9135B09769F}"/>
    <cellStyle name="Normal 4 3 15 4 3" xfId="4569" xr:uid="{B9E533A1-9E80-4767-922A-2847F79E0761}"/>
    <cellStyle name="Normal 4 3 15 5" xfId="1114" xr:uid="{6F8657C5-F19D-4717-A4A6-9C4072FC8AF7}"/>
    <cellStyle name="Normal 4 3 15 5 2" xfId="2835" xr:uid="{E0F47D9D-0D27-4AD3-82AC-E3A63DD3193F}"/>
    <cellStyle name="Normal 4 3 15 5 2 2" xfId="6506" xr:uid="{36C8D309-7B45-481A-B47F-99F1F4ED3AD1}"/>
    <cellStyle name="Normal 4 3 15 5 3" xfId="4787" xr:uid="{7C3BBFD8-88C1-4AE6-BC18-7163B28D8DF0}"/>
    <cellStyle name="Normal 4 3 15 6" xfId="1332" xr:uid="{FE0C400D-74F5-486C-B96B-EB68CB3EBD18}"/>
    <cellStyle name="Normal 4 3 15 6 2" xfId="3053" xr:uid="{629C89AB-FE8F-4962-BAEB-422D53D06F24}"/>
    <cellStyle name="Normal 4 3 15 6 2 2" xfId="6724" xr:uid="{C78D211C-5F9E-47E2-91A4-40A7FB32255F}"/>
    <cellStyle name="Normal 4 3 15 6 3" xfId="5005" xr:uid="{F7346A23-5FF1-48DA-9355-DF22BFC27DC9}"/>
    <cellStyle name="Normal 4 3 15 7" xfId="1550" xr:uid="{95BFA186-F53D-4774-83CC-C93C285CCADA}"/>
    <cellStyle name="Normal 4 3 15 7 2" xfId="3271" xr:uid="{8E129648-1FA5-4D63-A933-BA33C724001B}"/>
    <cellStyle name="Normal 4 3 15 7 2 2" xfId="6942" xr:uid="{55429B8D-F452-4F8E-AF87-8C93ACDE111D}"/>
    <cellStyle name="Normal 4 3 15 7 3" xfId="5223" xr:uid="{4A70486B-88C7-4E55-8425-623EDD582B08}"/>
    <cellStyle name="Normal 4 3 15 8" xfId="1769" xr:uid="{108E69CE-95B7-41D6-AEAE-5E67B197B635}"/>
    <cellStyle name="Normal 4 3 15 8 2" xfId="3490" xr:uid="{45D772A7-3FCF-4A84-8BC0-5CE2DB6FC284}"/>
    <cellStyle name="Normal 4 3 15 8 2 2" xfId="7161" xr:uid="{2D92160D-8B94-4A19-AD9F-EDFB60E78126}"/>
    <cellStyle name="Normal 4 3 15 8 3" xfId="5441" xr:uid="{A528B53D-ACA9-4E38-ACAF-96F2DA1FD998}"/>
    <cellStyle name="Normal 4 3 15 9" xfId="1989" xr:uid="{FF126C5A-0987-4F6C-BC79-FBA4ECDA669C}"/>
    <cellStyle name="Normal 4 3 15 9 2" xfId="5660" xr:uid="{825A3FA9-B37A-4461-927E-C56661476D44}"/>
    <cellStyle name="Normal 4 3 16" xfId="251" xr:uid="{16649578-74E1-4F43-A526-36704D43CA98}"/>
    <cellStyle name="Normal 4 3 16 2" xfId="691" xr:uid="{B59C34C0-4FE8-439F-BF4B-8767C11EA5AD}"/>
    <cellStyle name="Normal 4 3 16 2 2" xfId="2412" xr:uid="{BF0333B8-BB5E-4F26-98EA-A95DC706022E}"/>
    <cellStyle name="Normal 4 3 16 2 2 2" xfId="6083" xr:uid="{3FC34FB2-3422-46E3-A711-A0A8510DFDDD}"/>
    <cellStyle name="Normal 4 3 16 2 3" xfId="4364" xr:uid="{2281C0FA-9EB2-4DBA-BF96-AB0C8CED756D}"/>
    <cellStyle name="Normal 4 3 16 3" xfId="909" xr:uid="{12BDC168-EFCC-48AE-A37F-FDB72489A81D}"/>
    <cellStyle name="Normal 4 3 16 3 2" xfId="2630" xr:uid="{EE891782-46B3-4B66-9AD1-C477FF016BE9}"/>
    <cellStyle name="Normal 4 3 16 3 2 2" xfId="6301" xr:uid="{4E1CFF6D-BC12-4949-BB0B-74D5BFC601D8}"/>
    <cellStyle name="Normal 4 3 16 3 3" xfId="4582" xr:uid="{0260B154-32BA-462C-97D7-56575441EAD4}"/>
    <cellStyle name="Normal 4 3 16 4" xfId="1127" xr:uid="{4986C50C-34EE-458A-A60D-07073C237129}"/>
    <cellStyle name="Normal 4 3 16 4 2" xfId="2848" xr:uid="{B0D9D161-4BF6-4297-BF57-65F0C4564B59}"/>
    <cellStyle name="Normal 4 3 16 4 2 2" xfId="6519" xr:uid="{9447A679-CBE7-4A63-BF53-E17352AF5AD7}"/>
    <cellStyle name="Normal 4 3 16 4 3" xfId="4800" xr:uid="{876B2B81-B8EE-4880-B27F-0E7A59BEBADD}"/>
    <cellStyle name="Normal 4 3 16 5" xfId="1345" xr:uid="{E2E71015-7EC1-401D-9102-86A0F6473ED5}"/>
    <cellStyle name="Normal 4 3 16 5 2" xfId="3066" xr:uid="{508E3658-1E46-4AFF-81D6-C1E2444C9D42}"/>
    <cellStyle name="Normal 4 3 16 5 2 2" xfId="6737" xr:uid="{8A5B2284-71D8-4F92-A6F8-414E4C7AF7CA}"/>
    <cellStyle name="Normal 4 3 16 5 3" xfId="5018" xr:uid="{AF0E6923-6897-4029-81A5-7F4BB5CDC738}"/>
    <cellStyle name="Normal 4 3 16 6" xfId="1563" xr:uid="{80BDE559-983B-4294-A2E4-8D380BD35FC0}"/>
    <cellStyle name="Normal 4 3 16 6 2" xfId="3284" xr:uid="{72AEEFB8-636D-4A1F-B4BB-BBAB7CF3C668}"/>
    <cellStyle name="Normal 4 3 16 6 2 2" xfId="6955" xr:uid="{30C5C296-96EB-4A75-8B0C-5FB553C93303}"/>
    <cellStyle name="Normal 4 3 16 6 3" xfId="5236" xr:uid="{AD9EEADF-9D0A-4345-ADCC-487388C6EF30}"/>
    <cellStyle name="Normal 4 3 16 7" xfId="1782" xr:uid="{FA37F864-336A-4FD6-A719-5C69BEA5C13B}"/>
    <cellStyle name="Normal 4 3 16 7 2" xfId="3503" xr:uid="{E8F7ECE7-5E46-4D42-8DAE-7578E1A546E2}"/>
    <cellStyle name="Normal 4 3 16 7 2 2" xfId="7174" xr:uid="{76B2204E-9A0D-48E3-A1D2-DD5E2CCB9662}"/>
    <cellStyle name="Normal 4 3 16 7 3" xfId="5454" xr:uid="{76B302D9-0279-4B28-9356-7DF0918F0459}"/>
    <cellStyle name="Normal 4 3 16 8" xfId="2194" xr:uid="{A54A260F-6F01-49AE-9240-86C9494B58CB}"/>
    <cellStyle name="Normal 4 3 16 8 2" xfId="5865" xr:uid="{855CA96F-09DC-453F-8922-50FBE742D263}"/>
    <cellStyle name="Normal 4 3 16 9" xfId="4158" xr:uid="{130D4179-62F3-430C-8447-B0BBF8122196}"/>
    <cellStyle name="Normal 4 3 17" xfId="264" xr:uid="{89441703-79DA-491B-A4D3-F16162BE6976}"/>
    <cellStyle name="Normal 4 3 17 2" xfId="704" xr:uid="{97FD5C4D-513E-47E7-BE80-556DD835B6D1}"/>
    <cellStyle name="Normal 4 3 17 2 2" xfId="2425" xr:uid="{BBEC42E6-BEF8-4078-B610-D70F80D4721E}"/>
    <cellStyle name="Normal 4 3 17 2 2 2" xfId="6096" xr:uid="{181BE00E-C75A-43C4-A98A-EB5A4982DB6F}"/>
    <cellStyle name="Normal 4 3 17 2 3" xfId="4377" xr:uid="{9E7633C3-B722-4B94-AA5C-46A89B202B20}"/>
    <cellStyle name="Normal 4 3 17 3" xfId="922" xr:uid="{95ECDB13-6567-401A-82B6-5834CFF72FB6}"/>
    <cellStyle name="Normal 4 3 17 3 2" xfId="2643" xr:uid="{DFB5A1E2-00B6-4F5E-9BBC-4564C0FCB5CC}"/>
    <cellStyle name="Normal 4 3 17 3 2 2" xfId="6314" xr:uid="{396EFF09-7973-4295-9DB7-4824682A507F}"/>
    <cellStyle name="Normal 4 3 17 3 3" xfId="4595" xr:uid="{3F85488C-5176-482A-9380-47D20A074B49}"/>
    <cellStyle name="Normal 4 3 17 4" xfId="1140" xr:uid="{488D32D9-8752-47BE-AB37-4973D83234A2}"/>
    <cellStyle name="Normal 4 3 17 4 2" xfId="2861" xr:uid="{53057823-FE91-4876-AD5F-077E5588AFE3}"/>
    <cellStyle name="Normal 4 3 17 4 2 2" xfId="6532" xr:uid="{904B3596-E8A5-4735-95B7-CF7CF1E9EE64}"/>
    <cellStyle name="Normal 4 3 17 4 3" xfId="4813" xr:uid="{783C7145-DF8A-4A3A-9896-5A61424CD478}"/>
    <cellStyle name="Normal 4 3 17 5" xfId="1358" xr:uid="{1176EB28-D31B-4642-9C4B-65850E93BAEB}"/>
    <cellStyle name="Normal 4 3 17 5 2" xfId="3079" xr:uid="{A9D554B1-1D9D-4456-B173-339D1BFE013B}"/>
    <cellStyle name="Normal 4 3 17 5 2 2" xfId="6750" xr:uid="{40FFD82E-1BBA-423D-AFC0-D3E5653C6702}"/>
    <cellStyle name="Normal 4 3 17 5 3" xfId="5031" xr:uid="{20E3535B-F0D7-44E8-BDE2-7ADF2CF72E59}"/>
    <cellStyle name="Normal 4 3 17 6" xfId="1576" xr:uid="{A8468BBE-B1EC-4F22-BF0D-02BB79DF4BE3}"/>
    <cellStyle name="Normal 4 3 17 6 2" xfId="3297" xr:uid="{7D62C942-216F-4909-963C-A01BA7E0C52A}"/>
    <cellStyle name="Normal 4 3 17 6 2 2" xfId="6968" xr:uid="{C30F6B83-0BF6-415C-AE59-EB65B3518684}"/>
    <cellStyle name="Normal 4 3 17 6 3" xfId="5249" xr:uid="{7A49E160-7E54-4244-AEFC-A2AD5537C442}"/>
    <cellStyle name="Normal 4 3 17 7" xfId="1795" xr:uid="{DEDDE270-739E-42B7-8A26-5BC5054DDF4C}"/>
    <cellStyle name="Normal 4 3 17 7 2" xfId="3516" xr:uid="{33E1DEDC-320E-414E-A3A2-F4E80837380F}"/>
    <cellStyle name="Normal 4 3 17 7 2 2" xfId="7187" xr:uid="{EA53D66C-145F-4D61-8182-100A59BE6F57}"/>
    <cellStyle name="Normal 4 3 17 7 3" xfId="5467" xr:uid="{895606BA-51DD-4C86-A2D1-406324C9B357}"/>
    <cellStyle name="Normal 4 3 17 8" xfId="2207" xr:uid="{BFC44850-26A0-4383-9FF6-78E8A6CD9467}"/>
    <cellStyle name="Normal 4 3 17 8 2" xfId="5878" xr:uid="{FCBD3411-64FB-42CB-A5A7-E4F46DD32B93}"/>
    <cellStyle name="Normal 4 3 17 9" xfId="4171" xr:uid="{E780F1FD-73A1-4563-973A-2DBE7319E1F1}"/>
    <cellStyle name="Normal 4 3 18" xfId="304" xr:uid="{DC0DB3D2-15B8-4904-A696-D17A78BC3B8C}"/>
    <cellStyle name="Normal 4 3 18 2" xfId="2002" xr:uid="{E5F17FFF-74DE-4CA7-99C1-BEF9A828F38E}"/>
    <cellStyle name="Normal 4 3 18 2 2" xfId="5673" xr:uid="{A8B8BEEF-F08E-4812-A176-556715D9367B}"/>
    <cellStyle name="Normal 4 3 18 3" xfId="3978" xr:uid="{A4FFB4D6-FED2-4487-B2A0-010D974A56A7}"/>
    <cellStyle name="Normal 4 3 19" xfId="499" xr:uid="{598BD2CE-731A-460F-B7DA-815039F0CBFD}"/>
    <cellStyle name="Normal 4 3 19 2" xfId="2220" xr:uid="{BD00BF2B-DB99-4EEC-B3D1-188552C3A9DF}"/>
    <cellStyle name="Normal 4 3 19 2 2" xfId="5891" xr:uid="{3AAB0F46-061D-4F3B-AB46-AFA311B9CE58}"/>
    <cellStyle name="Normal 4 3 19 3" xfId="4184" xr:uid="{983660B8-F8C5-49E4-8E34-E29FCF50643C}"/>
    <cellStyle name="Normal 4 3 2" xfId="70" xr:uid="{412A0EC8-B2D7-4E0B-BE03-4AD6FF568940}"/>
    <cellStyle name="Normal 4 3 2 10" xfId="1823" xr:uid="{5016FB2B-565B-4FF6-8AAA-A9978C498699}"/>
    <cellStyle name="Normal 4 3 2 10 2" xfId="5494" xr:uid="{D3CAF110-DE50-4EC0-A97A-2A75AFD11472}"/>
    <cellStyle name="Normal 4 3 2 11" xfId="3799" xr:uid="{188595E2-2F1E-4420-86B1-0F6FB1F22177}"/>
    <cellStyle name="Normal 4 3 2 2" xfId="214" xr:uid="{157F1ED2-E528-4277-95D7-77CBC8CD686E}"/>
    <cellStyle name="Normal 4 3 2 2 10" xfId="3941" xr:uid="{BD96F004-8F8E-478A-9DAC-93A402439B9C}"/>
    <cellStyle name="Normal 4 3 2 2 2" xfId="458" xr:uid="{2BFB71A7-1026-4709-9AB4-9B1E10EDC553}"/>
    <cellStyle name="Normal 4 3 2 2 2 2" xfId="2157" xr:uid="{7D954100-9912-47FB-BB76-18FD0D28E870}"/>
    <cellStyle name="Normal 4 3 2 2 2 2 2" xfId="5828" xr:uid="{F3D27EFD-C2CE-427F-AEAF-31F6B2E21756}"/>
    <cellStyle name="Normal 4 3 2 2 2 2 2 2" xfId="7310" xr:uid="{19E0EE92-31FF-4AEC-8DDA-07CD71FBFC70}"/>
    <cellStyle name="Normal 4 3 2 2 2 2 2 2 2" xfId="3713" xr:uid="{E28FEEB2-C964-43C6-ACF4-A2E05671274D}"/>
    <cellStyle name="Normal 4 3 2 2 2 2 2 3" xfId="3699" xr:uid="{60EC5041-D480-450F-A04A-13CE836CE1C1}"/>
    <cellStyle name="Normal 4 3 2 2 2 2 3" xfId="3738" xr:uid="{1D06BA7A-7C89-4695-89D7-EC1C1A406286}"/>
    <cellStyle name="Normal 4 3 2 2 2 2 3 2" xfId="3697" xr:uid="{83AD8CDB-C1F7-4E17-BE3F-2AF6D5C36D99}"/>
    <cellStyle name="Normal 4 3 2 2 2 2 4" xfId="3676" xr:uid="{F9E7D09C-C710-48BB-8654-80CFF24D6D13}"/>
    <cellStyle name="Normal 4 3 2 2 2 3" xfId="4121" xr:uid="{9C5095AD-6B4C-4D77-936A-25C5F59F11DB}"/>
    <cellStyle name="Normal 4 3 2 2 2 3 2" xfId="3651" xr:uid="{E943DA66-9C6C-44F6-BD3D-DA790130545B}"/>
    <cellStyle name="Normal 4 3 2 2 2 3 2 2" xfId="3741" xr:uid="{C7C403F2-55E3-48A6-A823-7F357D759A60}"/>
    <cellStyle name="Normal 4 3 2 2 2 3 3" xfId="7261" xr:uid="{38AF18E5-712C-4FC3-B3EE-FDF1851C2E21}"/>
    <cellStyle name="Normal 4 3 2 2 2 4" xfId="3716" xr:uid="{ED037315-855E-4F78-B7D7-5273365B2B64}"/>
    <cellStyle name="Normal 4 3 2 2 2 4 2" xfId="3745" xr:uid="{F1E27735-D0D3-482A-8615-2CDE42884770}"/>
    <cellStyle name="Normal 4 3 2 2 2 5" xfId="3682" xr:uid="{7D1FF875-3971-45C9-B6FE-615CB9B7626F}"/>
    <cellStyle name="Normal 4 3 2 2 3" xfId="654" xr:uid="{9006D8EA-FA1C-4B1D-B7F3-A94AEBDBE4F7}"/>
    <cellStyle name="Normal 4 3 2 2 3 2" xfId="2375" xr:uid="{FB215715-7EF0-4B6A-AC14-2F4E4BD8C3DB}"/>
    <cellStyle name="Normal 4 3 2 2 3 2 2" xfId="6046" xr:uid="{BDF986F4-2DCE-4B21-B70E-A4325F3DB1DA}"/>
    <cellStyle name="Normal 4 3 2 2 3 2 2 2" xfId="7237" xr:uid="{8773D309-9B11-4A43-8B69-DBB04E94D3B7}"/>
    <cellStyle name="Normal 4 3 2 2 3 2 3" xfId="7224" xr:uid="{00E879D5-DA1F-486B-BB57-543071AC1AE2}"/>
    <cellStyle name="Normal 4 3 2 2 3 3" xfId="4327" xr:uid="{D0C9B01D-A5E0-4E23-8CF8-CB21514C0D89}"/>
    <cellStyle name="Normal 4 3 2 2 3 3 2" xfId="7251" xr:uid="{1BCED9F8-6245-49BD-B4E7-A0A535D69A94}"/>
    <cellStyle name="Normal 4 3 2 2 3 4" xfId="7243" xr:uid="{294939D0-4AAC-4CA4-A1B7-64711DF31566}"/>
    <cellStyle name="Normal 4 3 2 2 4" xfId="872" xr:uid="{F52BB476-550C-4BAF-991F-8AA7F6A39484}"/>
    <cellStyle name="Normal 4 3 2 2 4 2" xfId="2593" xr:uid="{B56B465F-0134-4E9D-964D-30C5BFF68ED6}"/>
    <cellStyle name="Normal 4 3 2 2 4 2 2" xfId="6264" xr:uid="{9AF677A4-96AC-46F6-ABD5-1AF2D51D41E8}"/>
    <cellStyle name="Normal 4 3 2 2 4 3" xfId="4545" xr:uid="{6D343E58-9501-434A-B21D-E81292EC7CC8}"/>
    <cellStyle name="Normal 4 3 2 2 5" xfId="1090" xr:uid="{60B1E740-0399-4004-A950-D0C5AD3C13E6}"/>
    <cellStyle name="Normal 4 3 2 2 5 2" xfId="2811" xr:uid="{8C37CEC6-F5CF-49A5-8068-497F7AAA2E83}"/>
    <cellStyle name="Normal 4 3 2 2 5 2 2" xfId="6482" xr:uid="{0DF43C79-8B35-4648-B225-B33BD3FC8EB4}"/>
    <cellStyle name="Normal 4 3 2 2 5 3" xfId="4763" xr:uid="{EF2C5F10-3F96-43A2-BBBA-821CC64B39BF}"/>
    <cellStyle name="Normal 4 3 2 2 6" xfId="1308" xr:uid="{C7E5D6FD-29B4-4010-915D-F2520314C056}"/>
    <cellStyle name="Normal 4 3 2 2 6 2" xfId="3029" xr:uid="{67AC9E2A-08EE-4716-B28C-4B0A8E0D1832}"/>
    <cellStyle name="Normal 4 3 2 2 6 2 2" xfId="6700" xr:uid="{058819E2-999F-4A3B-BABE-4B2C73827B92}"/>
    <cellStyle name="Normal 4 3 2 2 6 3" xfId="4981" xr:uid="{C1B54459-B891-4227-8976-E56CE3BFA8A9}"/>
    <cellStyle name="Normal 4 3 2 2 7" xfId="1526" xr:uid="{C0941789-2BEC-40CC-856F-B05565AF8797}"/>
    <cellStyle name="Normal 4 3 2 2 7 2" xfId="3247" xr:uid="{6F278AFE-2248-4132-883B-E3ACCE785315}"/>
    <cellStyle name="Normal 4 3 2 2 7 2 2" xfId="6918" xr:uid="{FBD31D74-D73D-44C2-8447-A09261B457B2}"/>
    <cellStyle name="Normal 4 3 2 2 7 3" xfId="5199" xr:uid="{E942F099-D74C-41CA-ACCB-3AE01C007ADE}"/>
    <cellStyle name="Normal 4 3 2 2 8" xfId="1745" xr:uid="{A1E2721B-8B61-48F6-8F63-0442CE0A8D7F}"/>
    <cellStyle name="Normal 4 3 2 2 8 2" xfId="3466" xr:uid="{41E2C537-B432-487D-A745-9D9B8D664AB4}"/>
    <cellStyle name="Normal 4 3 2 2 8 2 2" xfId="7137" xr:uid="{C1686A33-118C-41EA-A98C-0B4A01E0D5B7}"/>
    <cellStyle name="Normal 4 3 2 2 8 3" xfId="5417" xr:uid="{8CF23340-4A8C-4B97-BEFD-A61D50B1966D}"/>
    <cellStyle name="Normal 4 3 2 2 9" xfId="1965" xr:uid="{7C035AFD-D8EE-4B88-8A8F-896F29CF8725}"/>
    <cellStyle name="Normal 4 3 2 2 9 2" xfId="5636" xr:uid="{7E470487-FDE0-444C-8AFF-6CCC538C3184}"/>
    <cellStyle name="Normal 4 3 2 3" xfId="316" xr:uid="{9CC0C683-F100-4DC3-B46E-74330EAD1D51}"/>
    <cellStyle name="Normal 4 3 2 3 2" xfId="2015" xr:uid="{7753D29A-CDFB-4F77-A42F-E25F0B0341BA}"/>
    <cellStyle name="Normal 4 3 2 3 2 2" xfId="5686" xr:uid="{FF0AA29E-A1DD-40A1-A4BF-1584B3C5B76E}"/>
    <cellStyle name="Normal 4 3 2 3 2 2 2" xfId="3774" xr:uid="{48A827DF-D557-448E-9C39-7E1BD5FC85B9}"/>
    <cellStyle name="Normal 4 3 2 3 2 2 2 2" xfId="7279" xr:uid="{29D0A519-142A-4C1E-AE96-E540DEB00D0E}"/>
    <cellStyle name="Normal 4 3 2 3 2 2 3" xfId="7266" xr:uid="{5D90F4D1-8CBD-4222-9823-6D3764D6F972}"/>
    <cellStyle name="Normal 4 3 2 3 2 3" xfId="7209" xr:uid="{F93205F8-09BA-4CD0-A8F3-DECA65EFF3C8}"/>
    <cellStyle name="Normal 4 3 2 3 2 3 2" xfId="7297" xr:uid="{3BEC868E-3851-43A0-9E52-8FEE48AD32DF}"/>
    <cellStyle name="Normal 4 3 2 3 2 4" xfId="7284" xr:uid="{F55FE975-E077-4675-9E6A-B64DB7A3E9CB}"/>
    <cellStyle name="Normal 4 3 2 3 3" xfId="3987" xr:uid="{07640342-6C97-4D31-A693-890753039A2D}"/>
    <cellStyle name="Normal 4 3 2 3 3 2" xfId="3674" xr:uid="{67173720-1FE0-4789-8725-5AF333178081}"/>
    <cellStyle name="Normal 4 3 2 3 3 2 2" xfId="7289" xr:uid="{070982A3-3071-4173-BC7D-230A6E42EEA6}"/>
    <cellStyle name="Normal 4 3 2 3 3 3" xfId="7274" xr:uid="{A0B495C4-1BF3-426B-A1FF-B3CAC3C8C2C7}"/>
    <cellStyle name="Normal 4 3 2 3 4" xfId="3672" xr:uid="{9F4FE356-7C70-4108-8470-6E3338E1190B}"/>
    <cellStyle name="Normal 4 3 2 3 4 2" xfId="7307" xr:uid="{386C9475-D70E-432F-ABDD-F61FEC664204}"/>
    <cellStyle name="Normal 4 3 2 3 5" xfId="7293" xr:uid="{7C33F298-5C3C-47D9-9A18-544F0B7B6D55}"/>
    <cellStyle name="Normal 4 3 2 4" xfId="512" xr:uid="{03B76E8A-CFA5-4C9D-B8D7-E9734CD20DEC}"/>
    <cellStyle name="Normal 4 3 2 4 2" xfId="2233" xr:uid="{57EEF372-6137-4942-9198-B582519E8F09}"/>
    <cellStyle name="Normal 4 3 2 4 2 2" xfId="5904" xr:uid="{195A34BA-8AB2-4ECF-BC80-60C1FB21A4FF}"/>
    <cellStyle name="Normal 4 3 2 4 2 2 2" xfId="3732" xr:uid="{82BCA2AE-0A42-4B24-9D87-42F361D1D7FD}"/>
    <cellStyle name="Normal 4 3 2 4 2 3" xfId="3686" xr:uid="{18852004-6E48-4C55-90D7-9F2E8C4EE339}"/>
    <cellStyle name="Normal 4 3 2 4 3" xfId="4193" xr:uid="{E38BA6EF-A754-4481-AD24-FF5689F67A13}"/>
    <cellStyle name="Normal 4 3 2 4 3 2" xfId="3709" xr:uid="{A2CFF0B2-A223-4077-9377-CF646B70F158}"/>
    <cellStyle name="Normal 4 3 2 4 4" xfId="3702" xr:uid="{D17CBA97-1569-4123-A7C0-1389D6ED0D7A}"/>
    <cellStyle name="Normal 4 3 2 5" xfId="730" xr:uid="{219B55D1-2A37-480C-96BB-E18636CDE480}"/>
    <cellStyle name="Normal 4 3 2 5 2" xfId="2451" xr:uid="{60AC8032-78C2-46F0-B5B6-6F82C81746D9}"/>
    <cellStyle name="Normal 4 3 2 5 2 2" xfId="6122" xr:uid="{88A65A23-C67F-4598-B7F5-160E41508916}"/>
    <cellStyle name="Normal 4 3 2 5 3" xfId="4403" xr:uid="{514FCE1B-1CE8-4F71-9FDE-943BDDA347B4}"/>
    <cellStyle name="Normal 4 3 2 6" xfId="948" xr:uid="{AF13F72E-90FE-4A88-A8D2-F587A310833C}"/>
    <cellStyle name="Normal 4 3 2 6 2" xfId="2669" xr:uid="{898C461A-EB55-408F-B321-3BA46ECD47D8}"/>
    <cellStyle name="Normal 4 3 2 6 2 2" xfId="6340" xr:uid="{B65C7062-24A4-40C9-8A9E-A6AA15550283}"/>
    <cellStyle name="Normal 4 3 2 6 3" xfId="4621" xr:uid="{36BAB3FE-1B31-42C9-AE3D-DD527C7A6F1A}"/>
    <cellStyle name="Normal 4 3 2 7" xfId="1166" xr:uid="{D78D716B-FE68-4E84-BBC6-F2CB92FDE40F}"/>
    <cellStyle name="Normal 4 3 2 7 2" xfId="2887" xr:uid="{F8BA2F55-AF30-4102-A37E-39082139E01E}"/>
    <cellStyle name="Normal 4 3 2 7 2 2" xfId="6558" xr:uid="{F6010C4E-60AA-4591-AAF7-03B2F2BCDBB1}"/>
    <cellStyle name="Normal 4 3 2 7 3" xfId="4839" xr:uid="{59123351-1187-43F8-B211-7D51C9685CAC}"/>
    <cellStyle name="Normal 4 3 2 8" xfId="1384" xr:uid="{68EC4314-CC0D-4F88-BF3B-8DCC26B7B218}"/>
    <cellStyle name="Normal 4 3 2 8 2" xfId="3105" xr:uid="{F0365B37-602F-428E-8ADD-24D65E80D75F}"/>
    <cellStyle name="Normal 4 3 2 8 2 2" xfId="6776" xr:uid="{49D9E94E-3781-4F65-B1DD-71AB4A53C7C4}"/>
    <cellStyle name="Normal 4 3 2 8 3" xfId="5057" xr:uid="{EE376678-F929-40D9-B931-3F887FBA703B}"/>
    <cellStyle name="Normal 4 3 2 9" xfId="1603" xr:uid="{3F9B6DEA-3D22-4273-A00D-17BA2066C09F}"/>
    <cellStyle name="Normal 4 3 2 9 2" xfId="3324" xr:uid="{A860FBA2-5AAA-4050-8DA8-E9FE3AE8E8B9}"/>
    <cellStyle name="Normal 4 3 2 9 2 2" xfId="6995" xr:uid="{111CCD89-54B1-434A-809B-4CA82FD48715}"/>
    <cellStyle name="Normal 4 3 2 9 3" xfId="5275" xr:uid="{F276B2DF-CAC5-45D8-8FE5-437D3B491C72}"/>
    <cellStyle name="Normal 4 3 20" xfId="717" xr:uid="{22F318C2-910F-4D1F-8D5A-54340E821AED}"/>
    <cellStyle name="Normal 4 3 20 2" xfId="2438" xr:uid="{6BC623F0-475C-44D0-9DCC-74BA188E58F6}"/>
    <cellStyle name="Normal 4 3 20 2 2" xfId="6109" xr:uid="{57840D30-7CBE-4C06-B5BF-7B74E8074905}"/>
    <cellStyle name="Normal 4 3 20 3" xfId="4390" xr:uid="{0D191DEE-6125-4D7C-A825-F7C222207380}"/>
    <cellStyle name="Normal 4 3 21" xfId="935" xr:uid="{53A76166-5F8B-4DC9-B59D-C1834F86D8D0}"/>
    <cellStyle name="Normal 4 3 21 2" xfId="2656" xr:uid="{1730C01C-4D18-48F6-962D-96300EEAB40D}"/>
    <cellStyle name="Normal 4 3 21 2 2" xfId="6327" xr:uid="{6DB19C83-FCE2-40F6-B599-C5E941E7ACDA}"/>
    <cellStyle name="Normal 4 3 21 3" xfId="4608" xr:uid="{CC710828-9EBC-4359-8CC0-4017EAACD310}"/>
    <cellStyle name="Normal 4 3 22" xfId="1153" xr:uid="{53F066E5-DC1E-4759-9FD8-2602A7135B92}"/>
    <cellStyle name="Normal 4 3 22 2" xfId="2874" xr:uid="{88BC391E-EA0F-42A0-BD45-7D51698F55B5}"/>
    <cellStyle name="Normal 4 3 22 2 2" xfId="6545" xr:uid="{7803186E-57C8-4532-82CA-96DE207BD9B5}"/>
    <cellStyle name="Normal 4 3 22 3" xfId="4826" xr:uid="{BC842288-868D-4347-9725-676DBDD4CE58}"/>
    <cellStyle name="Normal 4 3 23" xfId="1371" xr:uid="{7392EA3D-B54D-4314-B6D1-DC6CF99D5553}"/>
    <cellStyle name="Normal 4 3 23 2" xfId="3092" xr:uid="{62ED89DD-2373-4684-8801-9B9FB89358FF}"/>
    <cellStyle name="Normal 4 3 23 2 2" xfId="6763" xr:uid="{95A1333D-11B6-453B-9006-3F2A322C1B92}"/>
    <cellStyle name="Normal 4 3 23 3" xfId="5044" xr:uid="{14D0EE78-CB09-4D7D-8B74-F401C7C73A49}"/>
    <cellStyle name="Normal 4 3 24" xfId="1590" xr:uid="{408FDE08-3CE6-40FC-9187-0BC8157F2888}"/>
    <cellStyle name="Normal 4 3 24 2" xfId="3311" xr:uid="{E866B627-E5FB-44BC-AAF0-281CB5D7A0D2}"/>
    <cellStyle name="Normal 4 3 24 2 2" xfId="6982" xr:uid="{5B366A3A-C75B-4277-ABDD-644AEC6ED23C}"/>
    <cellStyle name="Normal 4 3 24 3" xfId="5262" xr:uid="{9CF1391A-CAD7-4D22-8345-064BA6D57779}"/>
    <cellStyle name="Normal 4 3 25" xfId="1810" xr:uid="{BBAC9AD1-7D81-417A-9C1A-A906F7415F3F}"/>
    <cellStyle name="Normal 4 3 25 2" xfId="5481" xr:uid="{866D3E52-8C81-4FE8-8EE9-E2DA670417AE}"/>
    <cellStyle name="Normal 4 3 26" xfId="3786" xr:uid="{06949195-5249-42E6-B7D2-21388FC4497E}"/>
    <cellStyle name="Normal 4 3 3" xfId="83" xr:uid="{B9CFFD7B-9B2B-497E-9B6F-3DA4A57F9E88}"/>
    <cellStyle name="Normal 4 3 3 10" xfId="3812" xr:uid="{7A72A69D-FE3F-4EEE-8DFC-61003C7D1C68}"/>
    <cellStyle name="Normal 4 3 3 2" xfId="329" xr:uid="{1D4E9F54-AFE8-4CEC-99DA-0D8076BB54EA}"/>
    <cellStyle name="Normal 4 3 3 2 2" xfId="2028" xr:uid="{0AC15E03-AB04-467A-BE4A-A0206EBCA78F}"/>
    <cellStyle name="Normal 4 3 3 2 2 2" xfId="5699" xr:uid="{6A72396D-27ED-430A-983D-6955969E7645}"/>
    <cellStyle name="Normal 4 3 3 2 2 2 2" xfId="3656" xr:uid="{9D6C4D6B-AD09-4D66-86D6-09CCBA05B5F2}"/>
    <cellStyle name="Normal 4 3 3 2 2 2 2 2" xfId="3773" xr:uid="{6D5AF29F-8CB1-49FA-B151-BA1F3CF2C40D}"/>
    <cellStyle name="Normal 4 3 3 2 2 2 2 2 2" xfId="3735" xr:uid="{1848DE8F-0632-4BE8-87BC-DBA10908FAA8}"/>
    <cellStyle name="Normal 4 3 3 2 2 2 2 3" xfId="3763" xr:uid="{88D3376D-3AF7-4D07-8D37-C961CDFE8CD8}"/>
    <cellStyle name="Normal 4 3 3 2 2 2 3" xfId="7194" xr:uid="{14456619-8470-4A39-AECC-7B5539003106}"/>
    <cellStyle name="Normal 4 3 3 2 2 2 3 2" xfId="3649" xr:uid="{873C727B-33D4-4A9A-8E47-583B3DE0D71D}"/>
    <cellStyle name="Normal 4 3 3 2 2 2 4" xfId="3770" xr:uid="{6D8D5BF0-556B-4DE4-8521-AF23D2F354B3}"/>
    <cellStyle name="Normal 4 3 3 2 2 3" xfId="7195" xr:uid="{4898C628-B8EF-4023-AB5E-7C84B578EDE0}"/>
    <cellStyle name="Normal 4 3 3 2 2 3 2" xfId="7278" xr:uid="{FE4F5F2D-CAF5-42A8-BD6A-C9D12D1CF027}"/>
    <cellStyle name="Normal 4 3 3 2 2 3 2 2" xfId="3692" xr:uid="{693845F9-709B-4C09-8949-BCF870356761}"/>
    <cellStyle name="Normal 4 3 3 2 2 3 3" xfId="3771" xr:uid="{74E21386-9EA5-43A9-93D4-CAF757517AB1}"/>
    <cellStyle name="Normal 4 3 3 2 2 4" xfId="7202" xr:uid="{FB51353D-147A-4BB2-8914-076877CCA5D1}"/>
    <cellStyle name="Normal 4 3 3 2 2 4 2" xfId="3675" xr:uid="{30D0D0F4-236E-4478-B4EA-FFEDF5504A71}"/>
    <cellStyle name="Normal 4 3 3 2 2 5" xfId="3768" xr:uid="{454F9CD4-F4DB-4ABB-8FC6-A399433CC416}"/>
    <cellStyle name="Normal 4 3 3 2 3" xfId="3996" xr:uid="{B365A84A-BE53-4225-989F-28D6410FC238}"/>
    <cellStyle name="Normal 4 3 3 2 3 2" xfId="3667" xr:uid="{E48064DC-27C8-4139-B654-05B1886D0619}"/>
    <cellStyle name="Normal 4 3 3 2 3 2 2" xfId="3751" xr:uid="{2B9D1E82-0839-41DC-9032-F5348B8ADE53}"/>
    <cellStyle name="Normal 4 3 3 2 3 2 2 2" xfId="7305" xr:uid="{A5FB2995-772C-45C5-A244-BFA528D77C6C}"/>
    <cellStyle name="Normal 4 3 3 2 3 2 3" xfId="7291" xr:uid="{A577B66C-99C8-4FA8-8A1F-0D940D4DE23B}"/>
    <cellStyle name="Normal 4 3 3 2 3 3" xfId="7235" xr:uid="{871FEDF0-C662-47CE-BEE8-D116960FA787}"/>
    <cellStyle name="Normal 4 3 3 2 3 3 2" xfId="3710" xr:uid="{88F778B2-A7D6-46BE-BE72-50D8DFA48C7D}"/>
    <cellStyle name="Normal 4 3 3 2 3 4" xfId="7309" xr:uid="{9B67719B-388E-475C-8DFE-9230A1BF5F8E}"/>
    <cellStyle name="Normal 4 3 3 2 4" xfId="3648" xr:uid="{43AFD7C9-DE46-4A60-83E1-69FBD39C5FE6}"/>
    <cellStyle name="Normal 4 3 3 2 4 2" xfId="3653" xr:uid="{2DCD2A00-97C1-4E8E-9D97-7857A5C82FE7}"/>
    <cellStyle name="Normal 4 3 3 2 4 2 2" xfId="7312" xr:uid="{C0215604-0127-4838-9178-E6C3C15A26D2}"/>
    <cellStyle name="Normal 4 3 3 2 4 3" xfId="7300" xr:uid="{89AA5E82-5280-4B55-B233-95764EA1D70B}"/>
    <cellStyle name="Normal 4 3 3 2 5" xfId="3762" xr:uid="{C718DA1A-E049-4C42-9244-70F93AB3F9CE}"/>
    <cellStyle name="Normal 4 3 3 2 5 2" xfId="3645" xr:uid="{2EA17461-C430-4E9D-A569-4C1618E58546}"/>
    <cellStyle name="Normal 4 3 3 2 6" xfId="7317" xr:uid="{D07EF938-ED65-4147-A79B-739DEA301FAD}"/>
    <cellStyle name="Normal 4 3 3 3" xfId="525" xr:uid="{823B41CE-74DB-413C-A0B9-DEA0ECEBD7EE}"/>
    <cellStyle name="Normal 4 3 3 3 2" xfId="2246" xr:uid="{FE19CBE1-2CAD-45B6-B391-D6BF494E63AD}"/>
    <cellStyle name="Normal 4 3 3 3 2 2" xfId="5917" xr:uid="{C6CF7593-1FAA-462C-8C05-5A7D57C48662}"/>
    <cellStyle name="Normal 4 3 3 3 2 2 2" xfId="7218" xr:uid="{F51F67C4-4E6A-403E-BAC1-E711BB8B4540}"/>
    <cellStyle name="Normal 4 3 3 3 2 2 2 2" xfId="3659" xr:uid="{17496E9D-48C7-420E-98D0-6DF7F62244F5}"/>
    <cellStyle name="Normal 4 3 3 3 2 2 3" xfId="3766" xr:uid="{B593509F-A054-499D-A626-1F11EEC66C86}"/>
    <cellStyle name="Normal 4 3 3 3 2 3" xfId="7276" xr:uid="{869C7407-90AC-45FD-8FB7-0E9C69A33F2F}"/>
    <cellStyle name="Normal 4 3 3 3 2 3 2" xfId="3749" xr:uid="{A0B2365E-058B-47CF-BB4C-F30B96E6999E}"/>
    <cellStyle name="Normal 4 3 3 3 2 4" xfId="3767" xr:uid="{22F4774E-D005-4DCC-99C9-E2D1EA2FDA81}"/>
    <cellStyle name="Normal 4 3 3 3 3" xfId="4202" xr:uid="{E293907D-7618-482C-8C95-CBE21783DB4C}"/>
    <cellStyle name="Normal 4 3 3 3 3 2" xfId="7236" xr:uid="{D17B6DF5-E060-4B7F-A72B-6F74F7FB08AC}"/>
    <cellStyle name="Normal 4 3 3 3 3 2 2" xfId="3703" xr:uid="{A96FF8EE-1456-4A7D-B319-CFBB1C7FB5FA}"/>
    <cellStyle name="Normal 4 3 3 3 3 3" xfId="3744" xr:uid="{24384243-F240-4FCE-87C3-2344A99F1183}"/>
    <cellStyle name="Normal 4 3 3 3 4" xfId="3755" xr:uid="{EDC0EFEE-BA59-4040-AA44-D5821FB7B02E}"/>
    <cellStyle name="Normal 4 3 3 3 4 2" xfId="3725" xr:uid="{4D06FE60-7BF9-41C8-B0D3-B12A0B8E65D5}"/>
    <cellStyle name="Normal 4 3 3 3 5" xfId="3721" xr:uid="{A84E9898-C6E7-4DA7-88C9-9906DFAB02DA}"/>
    <cellStyle name="Normal 4 3 3 4" xfId="743" xr:uid="{BC30BEED-AC22-412A-9A65-9008523B64CA}"/>
    <cellStyle name="Normal 4 3 3 4 2" xfId="2464" xr:uid="{36B18113-464A-456C-BBFB-E543880BC54A}"/>
    <cellStyle name="Normal 4 3 3 4 2 2" xfId="6135" xr:uid="{E1B073FF-A6F4-4F0B-A464-F7E1934E0F83}"/>
    <cellStyle name="Normal 4 3 3 4 2 2 2" xfId="7196" xr:uid="{3588C6B2-B767-40E9-8294-DDD470F3A3EA}"/>
    <cellStyle name="Normal 4 3 3 4 2 3" xfId="7248" xr:uid="{573F5F92-EB88-4BB9-9D8E-26BFCC55603B}"/>
    <cellStyle name="Normal 4 3 3 4 3" xfId="4416" xr:uid="{A8F05801-028F-49A4-85E0-30E9CE32DC32}"/>
    <cellStyle name="Normal 4 3 3 4 3 2" xfId="7213" xr:uid="{D240EB53-603E-47DC-B8BE-ADFF9C08B6AF}"/>
    <cellStyle name="Normal 4 3 3 4 4" xfId="7201" xr:uid="{08FA4C3B-DD37-4489-9C86-B0E1A14EDD47}"/>
    <cellStyle name="Normal 4 3 3 5" xfId="961" xr:uid="{283E3152-45A9-4088-A532-DF611CD22DD5}"/>
    <cellStyle name="Normal 4 3 3 5 2" xfId="2682" xr:uid="{943C200A-6379-415A-977A-C4C6F588A3DB}"/>
    <cellStyle name="Normal 4 3 3 5 2 2" xfId="6353" xr:uid="{956BE466-A720-4EE4-9EB5-F3FA0F49E41A}"/>
    <cellStyle name="Normal 4 3 3 5 3" xfId="4634" xr:uid="{1C84EA52-7208-49EA-9416-2B5F40335AAF}"/>
    <cellStyle name="Normal 4 3 3 6" xfId="1179" xr:uid="{A85EDDD1-B54E-4F6A-82EE-6A616B71670F}"/>
    <cellStyle name="Normal 4 3 3 6 2" xfId="2900" xr:uid="{73437231-9DFD-47D9-92DE-7940B7BEC496}"/>
    <cellStyle name="Normal 4 3 3 6 2 2" xfId="6571" xr:uid="{4D1626A7-498A-435F-9A67-2AFADB5BD1B2}"/>
    <cellStyle name="Normal 4 3 3 6 3" xfId="4852" xr:uid="{0AB5546B-B016-44D9-8B4B-19198D0C9AAB}"/>
    <cellStyle name="Normal 4 3 3 7" xfId="1397" xr:uid="{C1F6933D-5ABC-4736-94AB-D9457292F7E7}"/>
    <cellStyle name="Normal 4 3 3 7 2" xfId="3118" xr:uid="{EDC4B607-EB96-493D-959C-5B2211926DE2}"/>
    <cellStyle name="Normal 4 3 3 7 2 2" xfId="6789" xr:uid="{83868C88-5789-4B3D-BB27-E17B541B68E4}"/>
    <cellStyle name="Normal 4 3 3 7 3" xfId="5070" xr:uid="{A615DE9E-8CB4-4BB1-91FC-6C51D571B73B}"/>
    <cellStyle name="Normal 4 3 3 8" xfId="1616" xr:uid="{2224D9F4-E170-458B-9F5B-3C728AF17EEF}"/>
    <cellStyle name="Normal 4 3 3 8 2" xfId="3337" xr:uid="{83DF8DCD-D770-432A-A9F6-B285C9CCC03E}"/>
    <cellStyle name="Normal 4 3 3 8 2 2" xfId="7008" xr:uid="{6CFA8553-0BB1-4BCC-B954-AB356B0198D1}"/>
    <cellStyle name="Normal 4 3 3 8 3" xfId="5288" xr:uid="{70BFF12D-0385-42FE-B485-526FC11C534E}"/>
    <cellStyle name="Normal 4 3 3 9" xfId="1836" xr:uid="{7ED46169-12A6-4EB0-A26D-E5D4906AF017}"/>
    <cellStyle name="Normal 4 3 3 9 2" xfId="5507" xr:uid="{16392477-8515-4770-9533-DF41759258BB}"/>
    <cellStyle name="Normal 4 3 4" xfId="96" xr:uid="{11D6A57B-DC9D-45F1-AD42-57D3249ABE17}"/>
    <cellStyle name="Normal 4 3 4 10" xfId="3825" xr:uid="{1DD53633-BD27-4FE9-9559-ED15994899B2}"/>
    <cellStyle name="Normal 4 3 4 2" xfId="342" xr:uid="{60E28549-2D98-4E7A-B990-0F8497C06FCC}"/>
    <cellStyle name="Normal 4 3 4 2 2" xfId="2041" xr:uid="{5CCEE36F-0A3D-4378-91A9-C5E9437E2AC7}"/>
    <cellStyle name="Normal 4 3 4 2 2 2" xfId="5712" xr:uid="{2D88366A-617C-4E42-9AEE-7118BB32D29F}"/>
    <cellStyle name="Normal 4 3 4 2 2 2 2" xfId="3688" xr:uid="{AEC3F6EE-BCEE-421D-9246-ED05C8C76A64}"/>
    <cellStyle name="Normal 4 3 4 2 2 2 2 2" xfId="7211" xr:uid="{2ECA4401-2FF4-4366-99B8-5EDD79A25988}"/>
    <cellStyle name="Normal 4 3 4 2 2 2 3" xfId="7198" xr:uid="{D1A5E4AF-8DB5-4202-8F96-3BE7375C7617}"/>
    <cellStyle name="Normal 4 3 4 2 2 3" xfId="3729" xr:uid="{9326DFE5-F5D7-484E-B6EA-DFA1FC8903C0}"/>
    <cellStyle name="Normal 4 3 4 2 2 3 2" xfId="7231" xr:uid="{83A233F0-C3F2-4B7A-8C9E-81DC82CCCBD3}"/>
    <cellStyle name="Normal 4 3 4 2 2 4" xfId="7215" xr:uid="{5F7C2040-3293-442B-95DE-7633C73173F1}"/>
    <cellStyle name="Normal 4 3 4 2 3" xfId="4005" xr:uid="{5EE0D3A5-9F2B-4700-BE0F-F92D6CA03411}"/>
    <cellStyle name="Normal 4 3 4 2 3 2" xfId="3765" xr:uid="{D1470C4C-9586-45CC-81C9-B7C7939AB8F3}"/>
    <cellStyle name="Normal 4 3 4 2 3 2 2" xfId="7222" xr:uid="{60088681-6C3B-4848-86AB-0D63777912A0}"/>
    <cellStyle name="Normal 4 3 4 2 3 3" xfId="7207" xr:uid="{8B54B8D6-06E4-4AF9-B871-03657FF40361}"/>
    <cellStyle name="Normal 4 3 4 2 4" xfId="7270" xr:uid="{1ED76FD6-5C6B-442E-B4C8-0EE518BE226A}"/>
    <cellStyle name="Normal 4 3 4 2 4 2" xfId="7241" xr:uid="{21EF60A4-38F3-40FC-9A96-AE0146DB33EB}"/>
    <cellStyle name="Normal 4 3 4 2 5" xfId="7227" xr:uid="{FA2D5599-ACC3-4E2A-92AC-2713BDEE4595}"/>
    <cellStyle name="Normal 4 3 4 3" xfId="538" xr:uid="{EB7A92C6-5E09-4BF0-9068-A6A8DACF9D56}"/>
    <cellStyle name="Normal 4 3 4 3 2" xfId="2259" xr:uid="{6A7C989F-F75D-4A8A-862C-D69E04A67873}"/>
    <cellStyle name="Normal 4 3 4 3 2 2" xfId="5930" xr:uid="{939801E1-34ED-423C-911A-F67829B74684}"/>
    <cellStyle name="Normal 4 3 4 3 2 2 2" xfId="3739" xr:uid="{225E28DD-0B1E-4604-B405-A3AC7C487457}"/>
    <cellStyle name="Normal 4 3 4 3 2 3" xfId="3737" xr:uid="{58BAB92B-EDBF-4B1D-AF5D-444BD854CE14}"/>
    <cellStyle name="Normal 4 3 4 3 3" xfId="4211" xr:uid="{3B9B833B-C5D1-4961-8703-F4F289E19FFF}"/>
    <cellStyle name="Normal 4 3 4 3 3 2" xfId="3746" xr:uid="{7BD82BBE-D335-4A7D-8B05-AC65848E8265}"/>
    <cellStyle name="Normal 4 3 4 3 4" xfId="3706" xr:uid="{7FD502A2-E739-44E1-9710-5299BE9A9F18}"/>
    <cellStyle name="Normal 4 3 4 4" xfId="756" xr:uid="{BCB22A22-8638-4977-8A76-485697FDBD43}"/>
    <cellStyle name="Normal 4 3 4 4 2" xfId="2477" xr:uid="{2FC41BA3-35EE-4BA8-B1CB-CAB4EAF9441F}"/>
    <cellStyle name="Normal 4 3 4 4 2 2" xfId="6148" xr:uid="{987A42A6-1069-448D-84EE-48A09359D60C}"/>
    <cellStyle name="Normal 4 3 4 4 3" xfId="4429" xr:uid="{56C45603-B95C-49AF-A729-8186D40539AB}"/>
    <cellStyle name="Normal 4 3 4 5" xfId="974" xr:uid="{95CF6EB0-C777-400F-9ED5-04D0E99FCA19}"/>
    <cellStyle name="Normal 4 3 4 5 2" xfId="2695" xr:uid="{996DB319-A336-4F69-8477-C634E0E58AFD}"/>
    <cellStyle name="Normal 4 3 4 5 2 2" xfId="6366" xr:uid="{670E9468-2E11-4FE3-BF67-C6E436C20416}"/>
    <cellStyle name="Normal 4 3 4 5 3" xfId="4647" xr:uid="{440AA906-7577-4B2C-9294-3DC1688B1119}"/>
    <cellStyle name="Normal 4 3 4 6" xfId="1192" xr:uid="{FC7F343B-AF89-48A4-9456-61F466980A28}"/>
    <cellStyle name="Normal 4 3 4 6 2" xfId="2913" xr:uid="{8D7DC744-CCCC-450A-88E2-34DF3750C998}"/>
    <cellStyle name="Normal 4 3 4 6 2 2" xfId="6584" xr:uid="{D3898DF4-4C1B-463D-A73D-6F03AF019D21}"/>
    <cellStyle name="Normal 4 3 4 6 3" xfId="4865" xr:uid="{778ED648-58EE-40CE-84B7-C2DAD41E97ED}"/>
    <cellStyle name="Normal 4 3 4 7" xfId="1410" xr:uid="{48FD7272-9185-4A6A-B546-164A8583E8FC}"/>
    <cellStyle name="Normal 4 3 4 7 2" xfId="3131" xr:uid="{6BDF94DF-D193-459F-A0A4-D5388DC1BCCE}"/>
    <cellStyle name="Normal 4 3 4 7 2 2" xfId="6802" xr:uid="{9951B503-14F7-4397-9DFE-AC3DEB9BFFD0}"/>
    <cellStyle name="Normal 4 3 4 7 3" xfId="5083" xr:uid="{9A417495-DAEA-47BC-9276-0C28955E0CFA}"/>
    <cellStyle name="Normal 4 3 4 8" xfId="1629" xr:uid="{B1F3171C-0E4F-43E8-952C-9A66DDAC2F4D}"/>
    <cellStyle name="Normal 4 3 4 8 2" xfId="3350" xr:uid="{1D54E27A-B932-4F24-9514-C55AE422A497}"/>
    <cellStyle name="Normal 4 3 4 8 2 2" xfId="7021" xr:uid="{06D8D0B5-9F35-45C3-8C25-3E4C40C76A7A}"/>
    <cellStyle name="Normal 4 3 4 8 3" xfId="5301" xr:uid="{A80EE55D-732D-408A-B8E7-68409EB7A24F}"/>
    <cellStyle name="Normal 4 3 4 9" xfId="1849" xr:uid="{C873B384-93E6-4232-8BF5-9F7A3FDF5E10}"/>
    <cellStyle name="Normal 4 3 4 9 2" xfId="5520" xr:uid="{F8D0DF4A-FD66-441C-B92D-47A4ACC44B3B}"/>
    <cellStyle name="Normal 4 3 5" xfId="109" xr:uid="{22BEDD0B-A478-4D52-8BDF-56036CACC084}"/>
    <cellStyle name="Normal 4 3 5 10" xfId="3838" xr:uid="{1BA60FB7-19DC-440F-89A1-F4D3A57F3BD9}"/>
    <cellStyle name="Normal 4 3 5 2" xfId="355" xr:uid="{85E53437-37FB-444F-B419-F999BB513C02}"/>
    <cellStyle name="Normal 4 3 5 2 2" xfId="2054" xr:uid="{F269D390-A8DC-46E6-91ED-C77A0F5C2FBD}"/>
    <cellStyle name="Normal 4 3 5 2 2 2" xfId="5725" xr:uid="{F6F70A36-B796-4460-AD8E-D5B46FC0BFFF}"/>
    <cellStyle name="Normal 4 3 5 2 2 2 2" xfId="3698" xr:uid="{2D8C745C-1B63-4779-B205-21A119C080F7}"/>
    <cellStyle name="Normal 4 3 5 2 2 3" xfId="3719" xr:uid="{0E172B58-ED08-49D3-89D5-2B03197EB255}"/>
    <cellStyle name="Normal 4 3 5 2 3" xfId="4018" xr:uid="{51EB670C-5812-420F-BD9B-4F40BCF10E64}"/>
    <cellStyle name="Normal 4 3 5 2 3 2" xfId="3696" xr:uid="{8984F48C-89F4-4396-BFCF-BC64A1FFC63A}"/>
    <cellStyle name="Normal 4 3 5 2 4" xfId="3661" xr:uid="{168A1BA8-9CFA-40CB-BB7E-1CC911D61676}"/>
    <cellStyle name="Normal 4 3 5 3" xfId="551" xr:uid="{702DAF53-F32A-43F1-8672-C4FDBB4C7ACA}"/>
    <cellStyle name="Normal 4 3 5 3 2" xfId="2272" xr:uid="{E9369456-DB5C-471E-A305-861172ADF0B7}"/>
    <cellStyle name="Normal 4 3 5 3 2 2" xfId="5943" xr:uid="{ABDD9653-89F6-4D55-B2F4-09091832124C}"/>
    <cellStyle name="Normal 4 3 5 3 3" xfId="4224" xr:uid="{6D2879F8-28D3-4E97-BA70-EE4F1C9BC31A}"/>
    <cellStyle name="Normal 4 3 5 4" xfId="769" xr:uid="{34D6E073-BB7A-46F2-ADF9-0EE2F6CC0A69}"/>
    <cellStyle name="Normal 4 3 5 4 2" xfId="2490" xr:uid="{AAC1C9E2-4951-436D-B224-45DA51FA608D}"/>
    <cellStyle name="Normal 4 3 5 4 2 2" xfId="6161" xr:uid="{CB24690A-F228-4477-8899-A755344CB998}"/>
    <cellStyle name="Normal 4 3 5 4 3" xfId="4442" xr:uid="{58F6216F-093A-48F4-8B5C-62149F715316}"/>
    <cellStyle name="Normal 4 3 5 5" xfId="987" xr:uid="{B7837FD4-03EA-436F-B904-14A59102028E}"/>
    <cellStyle name="Normal 4 3 5 5 2" xfId="2708" xr:uid="{DEE6B084-1E21-474A-B890-07D658879CF0}"/>
    <cellStyle name="Normal 4 3 5 5 2 2" xfId="6379" xr:uid="{3A398CDA-BBC9-447B-B048-96BD03F6C6F2}"/>
    <cellStyle name="Normal 4 3 5 5 3" xfId="4660" xr:uid="{F9A81ACF-220D-40B0-AEA3-26E4B9607F3B}"/>
    <cellStyle name="Normal 4 3 5 6" xfId="1205" xr:uid="{283C401A-7F6D-470A-B3DB-B5310B079169}"/>
    <cellStyle name="Normal 4 3 5 6 2" xfId="2926" xr:uid="{CFBED835-3692-449B-B8E5-22ABBBFB253F}"/>
    <cellStyle name="Normal 4 3 5 6 2 2" xfId="6597" xr:uid="{A0E305B2-C182-496D-862A-63F492F44465}"/>
    <cellStyle name="Normal 4 3 5 6 3" xfId="4878" xr:uid="{9797A21C-27D4-4E27-BBF7-82BF107D21D5}"/>
    <cellStyle name="Normal 4 3 5 7" xfId="1423" xr:uid="{84893C56-A1C8-4DC8-B561-77D5E0415ECC}"/>
    <cellStyle name="Normal 4 3 5 7 2" xfId="3144" xr:uid="{FC17252B-7EEA-4A62-A016-299F910096E8}"/>
    <cellStyle name="Normal 4 3 5 7 2 2" xfId="6815" xr:uid="{9E675680-3902-4099-B1A4-5C083207225B}"/>
    <cellStyle name="Normal 4 3 5 7 3" xfId="5096" xr:uid="{9295FB32-8B56-474D-8559-B1BB065E2F72}"/>
    <cellStyle name="Normal 4 3 5 8" xfId="1642" xr:uid="{3D20B0A9-CBE8-4809-95E7-B7C944C19064}"/>
    <cellStyle name="Normal 4 3 5 8 2" xfId="3363" xr:uid="{1974AD48-A5C8-4F8E-A02C-AB0FDC48E455}"/>
    <cellStyle name="Normal 4 3 5 8 2 2" xfId="7034" xr:uid="{66773CBF-35E8-491D-B41E-A117A983D6FB}"/>
    <cellStyle name="Normal 4 3 5 8 3" xfId="5314" xr:uid="{6DFDAB1A-2941-4B2F-AE74-727E5DA52209}"/>
    <cellStyle name="Normal 4 3 5 9" xfId="1862" xr:uid="{EFDE22C0-19E1-41EF-BD2B-22851F8D0C8F}"/>
    <cellStyle name="Normal 4 3 5 9 2" xfId="5533" xr:uid="{5E039F68-DDC0-41B8-A777-B0FAFDDCD4AA}"/>
    <cellStyle name="Normal 4 3 6" xfId="122" xr:uid="{39320A18-6928-456A-B17D-5DBE39E531D6}"/>
    <cellStyle name="Normal 4 3 6 10" xfId="3851" xr:uid="{F81CFAD1-1905-4877-B748-9D1C63B7D3CC}"/>
    <cellStyle name="Normal 4 3 6 2" xfId="368" xr:uid="{2086B8A1-7BB1-4FC9-A06F-C49896C22518}"/>
    <cellStyle name="Normal 4 3 6 2 2" xfId="2067" xr:uid="{5EB15996-1653-4142-AB31-A627757A3A4F}"/>
    <cellStyle name="Normal 4 3 6 2 2 2" xfId="5738" xr:uid="{28C36F54-151F-4E06-9CAF-4283FE222333}"/>
    <cellStyle name="Normal 4 3 6 2 3" xfId="4031" xr:uid="{807265DF-2EF5-4EB0-A938-047D388A60F1}"/>
    <cellStyle name="Normal 4 3 6 3" xfId="564" xr:uid="{86B4CC8B-E6C9-4104-A834-7A9A4A97B6EF}"/>
    <cellStyle name="Normal 4 3 6 3 2" xfId="2285" xr:uid="{3AF860B9-C95D-4718-983A-59B25DA13380}"/>
    <cellStyle name="Normal 4 3 6 3 2 2" xfId="5956" xr:uid="{1A27D3D5-B237-42FF-8F00-96DF7C618C71}"/>
    <cellStyle name="Normal 4 3 6 3 3" xfId="4237" xr:uid="{E931E209-3B4F-4E6A-BC0C-C432DD8E2194}"/>
    <cellStyle name="Normal 4 3 6 4" xfId="782" xr:uid="{FDFE80B2-F308-4ED5-B92E-90EF0B3CB9A1}"/>
    <cellStyle name="Normal 4 3 6 4 2" xfId="2503" xr:uid="{BF322047-BDAB-45D8-8772-82F56413E0DD}"/>
    <cellStyle name="Normal 4 3 6 4 2 2" xfId="6174" xr:uid="{57BF9553-FE75-4E2B-A23F-44070B1F56D6}"/>
    <cellStyle name="Normal 4 3 6 4 3" xfId="4455" xr:uid="{92A24FB7-A924-4384-869D-1C28C4418079}"/>
    <cellStyle name="Normal 4 3 6 5" xfId="1000" xr:uid="{A983CD58-5E2A-4A2F-B23E-39B467CB385A}"/>
    <cellStyle name="Normal 4 3 6 5 2" xfId="2721" xr:uid="{B2054552-86C1-4902-AFFC-DC242768CD5D}"/>
    <cellStyle name="Normal 4 3 6 5 2 2" xfId="6392" xr:uid="{599E446F-ACDE-42AE-A5C9-139F84C5D213}"/>
    <cellStyle name="Normal 4 3 6 5 3" xfId="4673" xr:uid="{4283E19C-AC81-4925-B0E0-584141183161}"/>
    <cellStyle name="Normal 4 3 6 6" xfId="1218" xr:uid="{9BE23C36-E3B6-48CF-A3E0-10A608EB94A9}"/>
    <cellStyle name="Normal 4 3 6 6 2" xfId="2939" xr:uid="{F6EBE857-1B2D-46A5-94DB-D167384CDD35}"/>
    <cellStyle name="Normal 4 3 6 6 2 2" xfId="6610" xr:uid="{33B8B511-FC10-43A0-AEF7-67CDC29AC065}"/>
    <cellStyle name="Normal 4 3 6 6 3" xfId="4891" xr:uid="{153523E9-D33E-43B2-99A0-F4D749F28EFA}"/>
    <cellStyle name="Normal 4 3 6 7" xfId="1436" xr:uid="{417D4ACB-41D9-49A5-9461-7627FC2E1F3D}"/>
    <cellStyle name="Normal 4 3 6 7 2" xfId="3157" xr:uid="{95DA3AE3-CD8A-4396-9339-AE258B4B5E49}"/>
    <cellStyle name="Normal 4 3 6 7 2 2" xfId="6828" xr:uid="{9238874F-5819-435B-BDF2-237A3474745B}"/>
    <cellStyle name="Normal 4 3 6 7 3" xfId="5109" xr:uid="{3B5C8AEC-E32F-4FA5-BBBD-49298136599B}"/>
    <cellStyle name="Normal 4 3 6 8" xfId="1655" xr:uid="{ACAEB87D-8E67-4D16-8DB9-509B8DA1419E}"/>
    <cellStyle name="Normal 4 3 6 8 2" xfId="3376" xr:uid="{9A072833-F028-4010-9908-AC18E226E30D}"/>
    <cellStyle name="Normal 4 3 6 8 2 2" xfId="7047" xr:uid="{F3DE6D52-A272-4ACE-9457-F2CDED7B1E8A}"/>
    <cellStyle name="Normal 4 3 6 8 3" xfId="5327" xr:uid="{1D3ADD56-B761-4478-9195-6F2C6EAB5E89}"/>
    <cellStyle name="Normal 4 3 6 9" xfId="1875" xr:uid="{B619D6C9-0816-4DA3-9417-44A14041E9CE}"/>
    <cellStyle name="Normal 4 3 6 9 2" xfId="5546" xr:uid="{9AD09635-C24C-4BB6-822E-87D36627DB31}"/>
    <cellStyle name="Normal 4 3 7" xfId="135" xr:uid="{D1BF936D-9E14-4BC3-8296-AB52CBD4CB03}"/>
    <cellStyle name="Normal 4 3 7 10" xfId="3864" xr:uid="{A1D4E6BA-1040-488C-AAC9-9B25913FBF36}"/>
    <cellStyle name="Normal 4 3 7 2" xfId="381" xr:uid="{F17DE65A-B532-4824-B6E9-F399996BC5AE}"/>
    <cellStyle name="Normal 4 3 7 2 2" xfId="2080" xr:uid="{01AC9AB2-24B6-4519-94DB-073A2A6B165B}"/>
    <cellStyle name="Normal 4 3 7 2 2 2" xfId="5751" xr:uid="{079DF110-3F98-42B8-BE3A-D49BC44FC0F0}"/>
    <cellStyle name="Normal 4 3 7 2 3" xfId="4044" xr:uid="{E589196B-DED7-45DC-9D4C-24F566DB4FB7}"/>
    <cellStyle name="Normal 4 3 7 3" xfId="577" xr:uid="{AB76CA7A-391B-4D93-A979-07A24A0975D3}"/>
    <cellStyle name="Normal 4 3 7 3 2" xfId="2298" xr:uid="{120E5C9E-601E-4477-AFFD-92942F0FC12C}"/>
    <cellStyle name="Normal 4 3 7 3 2 2" xfId="5969" xr:uid="{33275BC6-1534-4BBF-8882-BC935FF7C324}"/>
    <cellStyle name="Normal 4 3 7 3 3" xfId="4250" xr:uid="{A0DF8B5E-D364-4CA7-8F4B-DF34454C7C2F}"/>
    <cellStyle name="Normal 4 3 7 4" xfId="795" xr:uid="{2A7B77E2-1837-406A-9079-F7A2C51046C6}"/>
    <cellStyle name="Normal 4 3 7 4 2" xfId="2516" xr:uid="{C330C1A5-A749-45DD-98CE-951803FD655E}"/>
    <cellStyle name="Normal 4 3 7 4 2 2" xfId="6187" xr:uid="{8EA28D6C-99E7-4575-AB36-E6583DE6A20D}"/>
    <cellStyle name="Normal 4 3 7 4 3" xfId="4468" xr:uid="{3E584C46-BA6D-484A-BEA8-03C3B809EE05}"/>
    <cellStyle name="Normal 4 3 7 5" xfId="1013" xr:uid="{9359866D-B2E8-4CA9-992C-5BC5C0BBA7FA}"/>
    <cellStyle name="Normal 4 3 7 5 2" xfId="2734" xr:uid="{345489FF-F5E0-4991-9708-2EC0975C637E}"/>
    <cellStyle name="Normal 4 3 7 5 2 2" xfId="6405" xr:uid="{94D2109A-DA06-4198-90A7-C14AD900BF28}"/>
    <cellStyle name="Normal 4 3 7 5 3" xfId="4686" xr:uid="{72FF6816-70ED-4737-A81E-F7EF3EAFD7B1}"/>
    <cellStyle name="Normal 4 3 7 6" xfId="1231" xr:uid="{B27DB5EB-C574-49D6-8295-F02FA4F98AFD}"/>
    <cellStyle name="Normal 4 3 7 6 2" xfId="2952" xr:uid="{F686298B-5FF3-4973-9A82-2BC0A889DBD9}"/>
    <cellStyle name="Normal 4 3 7 6 2 2" xfId="6623" xr:uid="{D4B6449B-B6F3-4B3F-A6A7-FDFED1BEDFC5}"/>
    <cellStyle name="Normal 4 3 7 6 3" xfId="4904" xr:uid="{9FE9FD47-1838-48BD-818B-0BA88485548E}"/>
    <cellStyle name="Normal 4 3 7 7" xfId="1449" xr:uid="{8B86BB87-06E3-4CEE-A546-D2BA9061EA96}"/>
    <cellStyle name="Normal 4 3 7 7 2" xfId="3170" xr:uid="{1997C53E-80E6-4605-BA53-9562AE5CC8D4}"/>
    <cellStyle name="Normal 4 3 7 7 2 2" xfId="6841" xr:uid="{D8D61BBC-2700-4075-9D00-9A63ED2E6A20}"/>
    <cellStyle name="Normal 4 3 7 7 3" xfId="5122" xr:uid="{8730ED41-8452-46A2-8889-276729B05308}"/>
    <cellStyle name="Normal 4 3 7 8" xfId="1668" xr:uid="{EEF44835-D702-4E16-B5D1-FB0FCCB2B092}"/>
    <cellStyle name="Normal 4 3 7 8 2" xfId="3389" xr:uid="{BB460C0D-5FFC-4DB9-AADD-9FED13308234}"/>
    <cellStyle name="Normal 4 3 7 8 2 2" xfId="7060" xr:uid="{E6D19680-E65C-4612-85F0-4820361E2D98}"/>
    <cellStyle name="Normal 4 3 7 8 3" xfId="5340" xr:uid="{41846B6E-14EA-4412-9594-7979F00FD34F}"/>
    <cellStyle name="Normal 4 3 7 9" xfId="1888" xr:uid="{64EA09B0-061A-4D32-A052-FCA7AFFFBB18}"/>
    <cellStyle name="Normal 4 3 7 9 2" xfId="5559" xr:uid="{2B17F88B-1AC1-4B5F-8EA8-F8C9615CF435}"/>
    <cellStyle name="Normal 4 3 8" xfId="148" xr:uid="{7871605A-74B6-45AE-9CB4-4AD0EDD6B365}"/>
    <cellStyle name="Normal 4 3 8 10" xfId="3877" xr:uid="{0DCE7067-648E-48AD-A30D-3B992A53A19C}"/>
    <cellStyle name="Normal 4 3 8 2" xfId="394" xr:uid="{BDBE9CB2-6225-4FB9-968E-ED9A928FA8AD}"/>
    <cellStyle name="Normal 4 3 8 2 2" xfId="2093" xr:uid="{2C747F7C-7376-41C2-953E-9600E082B2CB}"/>
    <cellStyle name="Normal 4 3 8 2 2 2" xfId="5764" xr:uid="{5C2375CD-E88B-41FB-A446-4031850A36BF}"/>
    <cellStyle name="Normal 4 3 8 2 3" xfId="4057" xr:uid="{871C0957-6F0B-4C2E-BA45-024421C020A1}"/>
    <cellStyle name="Normal 4 3 8 3" xfId="590" xr:uid="{3DEAA04D-EE6A-43BA-B427-4C88CAAE3651}"/>
    <cellStyle name="Normal 4 3 8 3 2" xfId="2311" xr:uid="{B41CEFAE-881B-41A5-B8BE-F194A07F7E91}"/>
    <cellStyle name="Normal 4 3 8 3 2 2" xfId="5982" xr:uid="{8878C908-3481-4642-9123-D785055C3F36}"/>
    <cellStyle name="Normal 4 3 8 3 3" xfId="4263" xr:uid="{4FA29D75-D267-4B68-9B28-2F81655E5651}"/>
    <cellStyle name="Normal 4 3 8 4" xfId="808" xr:uid="{66B4860E-FB25-4ADB-8A76-9DB2252989E4}"/>
    <cellStyle name="Normal 4 3 8 4 2" xfId="2529" xr:uid="{8A4A8DBD-58AB-48E3-8D04-0483A3FE1210}"/>
    <cellStyle name="Normal 4 3 8 4 2 2" xfId="6200" xr:uid="{48C752E8-1CDD-4F48-99FE-F561233D4699}"/>
    <cellStyle name="Normal 4 3 8 4 3" xfId="4481" xr:uid="{4393B67F-EC64-4FB5-8458-B257D96B9E3B}"/>
    <cellStyle name="Normal 4 3 8 5" xfId="1026" xr:uid="{83B3502D-0BB4-4E28-A89D-0C59F4382E48}"/>
    <cellStyle name="Normal 4 3 8 5 2" xfId="2747" xr:uid="{03013443-8266-4E14-BF04-792145A2C6F1}"/>
    <cellStyle name="Normal 4 3 8 5 2 2" xfId="6418" xr:uid="{EC090E1E-B20B-4EEB-A989-900A9418A0FE}"/>
    <cellStyle name="Normal 4 3 8 5 3" xfId="4699" xr:uid="{F2B60B04-035D-4530-AAA2-FD806A55F1BA}"/>
    <cellStyle name="Normal 4 3 8 6" xfId="1244" xr:uid="{7E4C13C3-EC04-4F4F-A402-553C0A369A4E}"/>
    <cellStyle name="Normal 4 3 8 6 2" xfId="2965" xr:uid="{BE4B1AC4-A65C-4CE0-8849-B6D2F4685C30}"/>
    <cellStyle name="Normal 4 3 8 6 2 2" xfId="6636" xr:uid="{E3F4E847-28F5-4139-BEAA-EA929236E4BA}"/>
    <cellStyle name="Normal 4 3 8 6 3" xfId="4917" xr:uid="{DA421BF2-A57D-4452-B191-1DEADF35C86F}"/>
    <cellStyle name="Normal 4 3 8 7" xfId="1462" xr:uid="{0250F09F-09FA-4036-A67C-AA3CCA4C757F}"/>
    <cellStyle name="Normal 4 3 8 7 2" xfId="3183" xr:uid="{E0D6D719-BC46-416E-AE5E-680D13D5EC5D}"/>
    <cellStyle name="Normal 4 3 8 7 2 2" xfId="6854" xr:uid="{237C207E-CAF2-4BC8-8920-E2A8EDF44BBB}"/>
    <cellStyle name="Normal 4 3 8 7 3" xfId="5135" xr:uid="{B0088654-D02F-4112-98CD-52A7AB5F808A}"/>
    <cellStyle name="Normal 4 3 8 8" xfId="1681" xr:uid="{912F1B2C-C129-4EFD-A814-D4FAAEB29E51}"/>
    <cellStyle name="Normal 4 3 8 8 2" xfId="3402" xr:uid="{CE1DE506-2DF7-4E47-9A52-5942CD5F4B2C}"/>
    <cellStyle name="Normal 4 3 8 8 2 2" xfId="7073" xr:uid="{F1B84D4A-C26C-4940-B6E5-CA2AAE756FFD}"/>
    <cellStyle name="Normal 4 3 8 8 3" xfId="5353" xr:uid="{F11CB6D9-6052-4B08-9856-E8B224A4D319}"/>
    <cellStyle name="Normal 4 3 8 9" xfId="1901" xr:uid="{C96CBCFA-BDC7-43D7-B357-73BF598B7D9F}"/>
    <cellStyle name="Normal 4 3 8 9 2" xfId="5572" xr:uid="{3B75B562-99C5-40DC-8E5E-7EA4635EF636}"/>
    <cellStyle name="Normal 4 3 9" xfId="161" xr:uid="{549396CE-9964-40C1-87AD-312E6BBC3FC4}"/>
    <cellStyle name="Normal 4 3 9 10" xfId="3890" xr:uid="{5123BC59-06B2-4B60-AE9E-DDBBE3AC9898}"/>
    <cellStyle name="Normal 4 3 9 2" xfId="407" xr:uid="{C358663E-3217-4673-963B-0A5E89596B58}"/>
    <cellStyle name="Normal 4 3 9 2 2" xfId="2106" xr:uid="{7761A5C4-4C4C-47BF-AB7F-498C4A857AAF}"/>
    <cellStyle name="Normal 4 3 9 2 2 2" xfId="5777" xr:uid="{074AEBF7-914B-453D-828C-6641D26510D2}"/>
    <cellStyle name="Normal 4 3 9 2 3" xfId="4070" xr:uid="{7D17E184-8EF1-4F8A-A209-1D51558C931E}"/>
    <cellStyle name="Normal 4 3 9 3" xfId="603" xr:uid="{498F6BEA-52E2-424B-BDEE-A5A12EA53EF7}"/>
    <cellStyle name="Normal 4 3 9 3 2" xfId="2324" xr:uid="{3C5BC497-432F-4049-A04E-ABE358AB2930}"/>
    <cellStyle name="Normal 4 3 9 3 2 2" xfId="5995" xr:uid="{403E442D-8585-414D-93F2-4F2C2EEBD84F}"/>
    <cellStyle name="Normal 4 3 9 3 3" xfId="4276" xr:uid="{108B5C1E-3927-4048-B904-5A1C9A0E3225}"/>
    <cellStyle name="Normal 4 3 9 4" xfId="821" xr:uid="{5BAD67F4-D554-4FCA-B3CD-96D1DB9F0DD3}"/>
    <cellStyle name="Normal 4 3 9 4 2" xfId="2542" xr:uid="{3BF82881-0561-4FDD-BBBB-D883BB5C48A2}"/>
    <cellStyle name="Normal 4 3 9 4 2 2" xfId="6213" xr:uid="{AA877091-1C35-42B5-AD16-048A28229FFA}"/>
    <cellStyle name="Normal 4 3 9 4 3" xfId="4494" xr:uid="{15B5581E-2BA1-4C1D-BE2E-A94F090DFB6D}"/>
    <cellStyle name="Normal 4 3 9 5" xfId="1039" xr:uid="{09F37413-113E-4DEC-AD7B-A36B662CFD4C}"/>
    <cellStyle name="Normal 4 3 9 5 2" xfId="2760" xr:uid="{93AD2B1A-FBEA-4F55-9065-9BBD7F9D4FCB}"/>
    <cellStyle name="Normal 4 3 9 5 2 2" xfId="6431" xr:uid="{59A10B29-40EF-4560-A7A9-22FACF29AC28}"/>
    <cellStyle name="Normal 4 3 9 5 3" xfId="4712" xr:uid="{EC0FFFFF-6C11-426C-97B4-466DD8ABE60A}"/>
    <cellStyle name="Normal 4 3 9 6" xfId="1257" xr:uid="{9EF0F7D2-1005-4D93-A9F0-87CCC68C4BB1}"/>
    <cellStyle name="Normal 4 3 9 6 2" xfId="2978" xr:uid="{915FAB84-EFE9-4CD2-B832-43D4B9D2B38C}"/>
    <cellStyle name="Normal 4 3 9 6 2 2" xfId="6649" xr:uid="{47B005D6-73F4-437D-B39B-603371331D56}"/>
    <cellStyle name="Normal 4 3 9 6 3" xfId="4930" xr:uid="{F6D3851B-E180-459A-B5E7-DDD48C76ACF8}"/>
    <cellStyle name="Normal 4 3 9 7" xfId="1475" xr:uid="{6EA5CEB3-58BF-4587-8EF5-695B9862C4E2}"/>
    <cellStyle name="Normal 4 3 9 7 2" xfId="3196" xr:uid="{45FB0D61-0B66-47F3-954D-2E7B7EB0A61A}"/>
    <cellStyle name="Normal 4 3 9 7 2 2" xfId="6867" xr:uid="{1F0BE89F-33FA-4D0A-9060-3164274D5614}"/>
    <cellStyle name="Normal 4 3 9 7 3" xfId="5148" xr:uid="{80D81FA0-9BB7-44DD-9975-ACA45E803112}"/>
    <cellStyle name="Normal 4 3 9 8" xfId="1694" xr:uid="{8905DDBF-B5BC-4E56-A54C-8E6F044DCCDE}"/>
    <cellStyle name="Normal 4 3 9 8 2" xfId="3415" xr:uid="{AD7017D8-F45E-4B66-8FCC-02CABD0B4A56}"/>
    <cellStyle name="Normal 4 3 9 8 2 2" xfId="7086" xr:uid="{51BB7DF1-91CB-43BD-83BC-B08278944F1D}"/>
    <cellStyle name="Normal 4 3 9 8 3" xfId="5366" xr:uid="{77FB851C-E0DF-48F5-93C9-0D82F384ED43}"/>
    <cellStyle name="Normal 4 3 9 9" xfId="1914" xr:uid="{8EF198A7-D715-4B93-945D-8F7FE7146A5E}"/>
    <cellStyle name="Normal 4 3 9 9 2" xfId="5585" xr:uid="{BC60FCA5-8CC2-4170-8E7B-BAD76A73783A}"/>
    <cellStyle name="Normal 4 4" xfId="64" xr:uid="{2CFFFD6C-A94C-44FE-B0BF-483FE73D5372}"/>
    <cellStyle name="Normal 4 4 10" xfId="1817" xr:uid="{692EE5E1-AB1F-4015-826F-551425537480}"/>
    <cellStyle name="Normal 4 4 10 2" xfId="5488" xr:uid="{5284AAB2-E248-4E90-9AAF-66DA7588B72F}"/>
    <cellStyle name="Normal 4 4 11" xfId="3793" xr:uid="{8C3CBB41-89E1-4F54-B513-DAAA53D6D67F}"/>
    <cellStyle name="Normal 4 4 2" xfId="212" xr:uid="{2040C70B-52F3-430D-BD21-C547D22B0FEC}"/>
    <cellStyle name="Normal 4 4 2 10" xfId="3939" xr:uid="{BF0A33A7-8E24-4D38-A58B-781BD52B1EEC}"/>
    <cellStyle name="Normal 4 4 2 2" xfId="456" xr:uid="{A6F36303-1102-4742-8F56-77C018888465}"/>
    <cellStyle name="Normal 4 4 2 2 2" xfId="2155" xr:uid="{3F898010-1D5E-496E-B3D4-75CC2EEACC3D}"/>
    <cellStyle name="Normal 4 4 2 2 2 2" xfId="5826" xr:uid="{036B1E6A-A42F-46AB-91BE-BC2345EC1D5E}"/>
    <cellStyle name="Normal 4 4 2 2 2 2 2" xfId="3759" xr:uid="{C1B445F2-8942-412A-9257-1E75EF4D28A3}"/>
    <cellStyle name="Normal 4 4 2 2 2 2 2 2" xfId="7203" xr:uid="{7D06EEDF-1883-4E81-9738-4AD7D92601CC}"/>
    <cellStyle name="Normal 4 4 2 2 2 2 3" xfId="7253" xr:uid="{5F87427E-A71B-42AC-A64C-63FEEC1F6244}"/>
    <cellStyle name="Normal 4 4 2 2 2 3" xfId="7256" xr:uid="{A0944F5C-AEA8-4CED-B9D6-8DC2BD096AE4}"/>
    <cellStyle name="Normal 4 4 2 2 2 3 2" xfId="7223" xr:uid="{BEEA12D6-1E50-4F62-8ACA-348DC7F7F68A}"/>
    <cellStyle name="Normal 4 4 2 2 2 4" xfId="7208" xr:uid="{57E84D6E-5818-437A-B8DC-86F9E7F21C30}"/>
    <cellStyle name="Normal 4 4 2 2 3" xfId="4119" xr:uid="{1D066B50-F210-4857-9CC1-64A464206822}"/>
    <cellStyle name="Normal 4 4 2 2 3 2" xfId="3715" xr:uid="{1E4DE533-D0B3-42D7-808F-88E436A778A2}"/>
    <cellStyle name="Normal 4 4 2 2 3 2 2" xfId="7212" xr:uid="{F46A6068-D278-4C4F-9D03-F0B3F80DB472}"/>
    <cellStyle name="Normal 4 4 2 2 3 3" xfId="7199" xr:uid="{0276B35D-BDE0-4DC2-910D-626686676E51}"/>
    <cellStyle name="Normal 4 4 2 2 4" xfId="7263" xr:uid="{E31509CB-C920-4E93-9D3B-E69AE2CA2281}"/>
    <cellStyle name="Normal 4 4 2 2 4 2" xfId="7232" xr:uid="{539126D0-0C8B-444C-A9D1-260775CECF6B}"/>
    <cellStyle name="Normal 4 4 2 2 5" xfId="7217" xr:uid="{441C7037-97FC-410C-B2F3-2137FBCB5FC4}"/>
    <cellStyle name="Normal 4 4 2 3" xfId="652" xr:uid="{8D8340EC-F550-4735-A943-45F8ABBB044A}"/>
    <cellStyle name="Normal 4 4 2 3 2" xfId="2373" xr:uid="{5D602545-3A42-4D88-A137-237BD57FCAEF}"/>
    <cellStyle name="Normal 4 4 2 3 2 2" xfId="6044" xr:uid="{9F10430C-5C83-4383-B86B-53767DB15808}"/>
    <cellStyle name="Normal 4 4 2 3 2 2 2" xfId="3664" xr:uid="{B839A31F-4B1E-41C0-9AC1-7C764C3E854F}"/>
    <cellStyle name="Normal 4 4 2 3 2 3" xfId="3775" xr:uid="{F1CDFE81-ECD4-4ACC-A842-907A93B37A6D}"/>
    <cellStyle name="Normal 4 4 2 3 3" xfId="4325" xr:uid="{BAB8BE8D-5D14-4F31-B4FD-96F2071C7D2D}"/>
    <cellStyle name="Normal 4 4 2 3 3 2" xfId="7258" xr:uid="{B9848AB1-873E-49A5-888B-4111CF2702A6}"/>
    <cellStyle name="Normal 4 4 2 3 4" xfId="3777" xr:uid="{F38D48AD-AF35-47DC-92B2-02706A9340EF}"/>
    <cellStyle name="Normal 4 4 2 4" xfId="870" xr:uid="{102FB782-F505-44E7-A749-54C1E06DA987}"/>
    <cellStyle name="Normal 4 4 2 4 2" xfId="2591" xr:uid="{9EE01015-14C8-4505-8E5D-BB60FCB33A3F}"/>
    <cellStyle name="Normal 4 4 2 4 2 2" xfId="6262" xr:uid="{52310256-3E40-433B-A856-BF6682E68651}"/>
    <cellStyle name="Normal 4 4 2 4 3" xfId="4543" xr:uid="{8C9D6EDF-E6BE-4CDB-B056-BB0B6DF02BE4}"/>
    <cellStyle name="Normal 4 4 2 5" xfId="1088" xr:uid="{DD7DFCCD-8D04-4A16-9556-8562E8F2A7D9}"/>
    <cellStyle name="Normal 4 4 2 5 2" xfId="2809" xr:uid="{B7FA3C16-9623-4818-A1F9-9C5DEF971079}"/>
    <cellStyle name="Normal 4 4 2 5 2 2" xfId="6480" xr:uid="{EB8CFDA3-D60A-4EFC-B5A2-9C2E1965BEFF}"/>
    <cellStyle name="Normal 4 4 2 5 3" xfId="4761" xr:uid="{E9242A30-3D20-4B40-A650-AAE8D3D1F785}"/>
    <cellStyle name="Normal 4 4 2 6" xfId="1306" xr:uid="{FD04863D-0B9A-42BE-9E70-0DEF737F7C28}"/>
    <cellStyle name="Normal 4 4 2 6 2" xfId="3027" xr:uid="{7A0B301E-3436-47B1-82DA-F87AA07B65AC}"/>
    <cellStyle name="Normal 4 4 2 6 2 2" xfId="6698" xr:uid="{D1A60556-14CC-483E-8001-6B16C489E710}"/>
    <cellStyle name="Normal 4 4 2 6 3" xfId="4979" xr:uid="{68573766-8867-427E-A57E-34B1C07FF3A5}"/>
    <cellStyle name="Normal 4 4 2 7" xfId="1524" xr:uid="{4B62C4F2-ADF0-4450-B537-91E51D351440}"/>
    <cellStyle name="Normal 4 4 2 7 2" xfId="3245" xr:uid="{044F0434-41D9-458F-94F1-2C87C208CE62}"/>
    <cellStyle name="Normal 4 4 2 7 2 2" xfId="6916" xr:uid="{997CD5A0-209D-4A9D-AE03-34E6DFF4E773}"/>
    <cellStyle name="Normal 4 4 2 7 3" xfId="5197" xr:uid="{F07A0100-BB4A-4CC8-952C-F3F2AA0CF09B}"/>
    <cellStyle name="Normal 4 4 2 8" xfId="1743" xr:uid="{B30F2B2E-29C2-4F57-B63D-FDE8C7959C4A}"/>
    <cellStyle name="Normal 4 4 2 8 2" xfId="3464" xr:uid="{00592FE9-0625-4ADD-AD01-E11EC04F807A}"/>
    <cellStyle name="Normal 4 4 2 8 2 2" xfId="7135" xr:uid="{D5038EBC-2F39-4875-AB47-45FB34911B48}"/>
    <cellStyle name="Normal 4 4 2 8 3" xfId="5415" xr:uid="{29112DEF-C0CC-41EA-9884-F068D758B7D6}"/>
    <cellStyle name="Normal 4 4 2 9" xfId="1963" xr:uid="{89F54C38-0022-4EC3-A9AD-83C9A5B7CACE}"/>
    <cellStyle name="Normal 4 4 2 9 2" xfId="5634" xr:uid="{639B6A65-A3DE-4730-AFFB-CF299652A649}"/>
    <cellStyle name="Normal 4 4 3" xfId="310" xr:uid="{B18343C5-F37D-4605-8A81-38B55DA22E00}"/>
    <cellStyle name="Normal 4 4 3 2" xfId="2009" xr:uid="{50F1A686-B470-4CA0-ABE3-50E17F1CE821}"/>
    <cellStyle name="Normal 4 4 3 2 2" xfId="5680" xr:uid="{347AA7FA-30F4-4681-B3AC-4D05D7D3BDB2}"/>
    <cellStyle name="Normal 4 4 3 2 2 2" xfId="7277" xr:uid="{3F1609B8-C9AF-4B2E-9B45-EB1172FA4498}"/>
    <cellStyle name="Normal 4 4 3 2 2 2 2" xfId="3754" xr:uid="{0D8C4A7C-143A-418D-A18E-8A675B070668}"/>
    <cellStyle name="Normal 4 4 3 2 2 3" xfId="3654" xr:uid="{CC2E2FDE-E6EF-40B7-8953-8D8CCF40F228}"/>
    <cellStyle name="Normal 4 4 3 2 3" xfId="3742" xr:uid="{A08E3356-D277-4390-8F0B-F0CC48AE26DE}"/>
    <cellStyle name="Normal 4 4 3 2 3 2" xfId="3662" xr:uid="{3CFC8F38-4324-4C08-99DA-F9CD80B9C882}"/>
    <cellStyle name="Normal 4 4 3 2 4" xfId="3658" xr:uid="{E3472FD2-B8AC-43EC-8A04-AFD3E10F022D}"/>
    <cellStyle name="Normal 4 4 3 3" xfId="3983" xr:uid="{B7F3A76A-75FA-4B8B-9E66-1BBFC6FFF010}"/>
    <cellStyle name="Normal 4 4 3 3 2" xfId="7294" xr:uid="{198D9A8B-A7CC-4C8A-8E39-F84F3DDBD125}"/>
    <cellStyle name="Normal 4 4 3 3 2 2" xfId="3717" xr:uid="{FFEFC0E2-5419-45E2-BE15-90E31DDF1919}"/>
    <cellStyle name="Normal 4 4 3 3 3" xfId="3666" xr:uid="{B8039260-5B62-4F0C-9A35-26D6EB82F079}"/>
    <cellStyle name="Normal 4 4 3 4" xfId="7220" xr:uid="{2AABD8EA-7217-40F0-B044-65A6027F1045}"/>
    <cellStyle name="Normal 4 4 3 4 2" xfId="3772" xr:uid="{7A61FB0F-BB38-4CD1-86E1-3194320C3FE7}"/>
    <cellStyle name="Normal 4 4 3 5" xfId="3655" xr:uid="{3C05DB9F-470C-4825-94CE-71751B472568}"/>
    <cellStyle name="Normal 4 4 4" xfId="506" xr:uid="{F048CAC9-DE0D-4B86-BEBD-286C0CE54B20}"/>
    <cellStyle name="Normal 4 4 4 2" xfId="2227" xr:uid="{9AB70AE1-B573-4EC5-B695-AAC7864911EF}"/>
    <cellStyle name="Normal 4 4 4 2 2" xfId="5898" xr:uid="{140CE0BC-AF5D-4C47-B457-BBEBBF9961CB}"/>
    <cellStyle name="Normal 4 4 4 2 2 2" xfId="3685" xr:uid="{6673AD7B-973F-4F3E-903A-E19879F845D5}"/>
    <cellStyle name="Normal 4 4 4 2 3" xfId="7308" xr:uid="{ECB0B5C2-6D5A-4F95-B9F0-90DE31C224DE}"/>
    <cellStyle name="Normal 4 4 4 3" xfId="4189" xr:uid="{0DD06D9A-FF7A-457D-ABBE-9D04B3D31F28}"/>
    <cellStyle name="Normal 4 4 4 3 2" xfId="7272" xr:uid="{7047DECE-CABE-4E89-98B9-A01B2D37CBC8}"/>
    <cellStyle name="Normal 4 4 4 4" xfId="3750" xr:uid="{62A57088-87B5-40CA-A851-8D8179C9209B}"/>
    <cellStyle name="Normal 4 4 5" xfId="724" xr:uid="{E8B4CB5E-9FDA-4834-81D3-B43BB5AE072C}"/>
    <cellStyle name="Normal 4 4 5 2" xfId="2445" xr:uid="{170937F8-F3E6-4BE0-8265-CB3333246EDA}"/>
    <cellStyle name="Normal 4 4 5 2 2" xfId="6116" xr:uid="{499F2C7E-08DE-458B-A13E-B4DFFB4D0988}"/>
    <cellStyle name="Normal 4 4 5 3" xfId="4397" xr:uid="{D24E6E3A-F9AF-4E5D-B4B1-7BFB4A8DAAEB}"/>
    <cellStyle name="Normal 4 4 6" xfId="942" xr:uid="{6FD9D85C-432F-4BA1-A06B-F2EE575F21B2}"/>
    <cellStyle name="Normal 4 4 6 2" xfId="2663" xr:uid="{8781BDF9-4AE8-4B1D-AB13-DEB18AE7EA42}"/>
    <cellStyle name="Normal 4 4 6 2 2" xfId="6334" xr:uid="{88F1146F-25B3-4E2F-A9A2-3EDF3C5D2920}"/>
    <cellStyle name="Normal 4 4 6 3" xfId="4615" xr:uid="{A4B4B092-B92A-4CDC-9B1D-63F87C59EBFD}"/>
    <cellStyle name="Normal 4 4 7" xfId="1160" xr:uid="{C09FB092-5A6F-497E-B493-AD5B3E2D57A3}"/>
    <cellStyle name="Normal 4 4 7 2" xfId="2881" xr:uid="{A4ECD347-3329-480A-8ACF-A62BE76C3FF4}"/>
    <cellStyle name="Normal 4 4 7 2 2" xfId="6552" xr:uid="{F8AA626D-E53C-4F9A-8837-2A9053263498}"/>
    <cellStyle name="Normal 4 4 7 3" xfId="4833" xr:uid="{3E3CBD52-C1DB-4FD3-A9F9-22AA00DCA195}"/>
    <cellStyle name="Normal 4 4 8" xfId="1378" xr:uid="{988454C7-E7C0-4ED6-A244-D807FA7ABE9C}"/>
    <cellStyle name="Normal 4 4 8 2" xfId="3099" xr:uid="{47ECA620-9AA7-467A-85C0-9D0D42589914}"/>
    <cellStyle name="Normal 4 4 8 2 2" xfId="6770" xr:uid="{99B8C8F9-3290-4D86-BD8E-C82F257A82C2}"/>
    <cellStyle name="Normal 4 4 8 3" xfId="5051" xr:uid="{A06CDAA7-ECD8-4491-A5E0-C14776844FCF}"/>
    <cellStyle name="Normal 4 4 9" xfId="1597" xr:uid="{C6FFF3D6-D989-44C0-AA01-5FF668EC721A}"/>
    <cellStyle name="Normal 4 4 9 2" xfId="3318" xr:uid="{D42D1737-F86E-4DA7-938C-BF1E3952B2B4}"/>
    <cellStyle name="Normal 4 4 9 2 2" xfId="6989" xr:uid="{5A172A71-E552-412B-842F-6A537F5E58D7}"/>
    <cellStyle name="Normal 4 4 9 3" xfId="5269" xr:uid="{C22FFC17-7285-4043-8905-A1F60703D1EB}"/>
    <cellStyle name="Normal 4 5" xfId="77" xr:uid="{B65DA290-ECA6-4CFF-8AD6-7EEEFF9D5D69}"/>
    <cellStyle name="Normal 4 5 10" xfId="3806" xr:uid="{6E31E8DA-6928-4F4C-A737-8E89239CA290}"/>
    <cellStyle name="Normal 4 5 2" xfId="323" xr:uid="{BFAEEE23-467E-4782-879C-65A0480FB708}"/>
    <cellStyle name="Normal 4 5 2 2" xfId="2022" xr:uid="{55969A74-6958-4262-96AC-91C5C9ECCC25}"/>
    <cellStyle name="Normal 4 5 2 2 2" xfId="5693" xr:uid="{AA632D5F-87FF-4DC6-81A2-099B51441119}"/>
    <cellStyle name="Normal 4 5 2 2 2 2" xfId="3669" xr:uid="{A419B654-3B9E-45C3-BC0A-AF8481134DEB}"/>
    <cellStyle name="Normal 4 5 2 2 2 2 2" xfId="7255" xr:uid="{492D3E7E-67FA-4B52-B3B2-0CEB2432276B}"/>
    <cellStyle name="Normal 4 5 2 2 2 2 2 2" xfId="7271" xr:uid="{56445B6B-8F8F-4CFB-8BFB-7DB89BC6BB24}"/>
    <cellStyle name="Normal 4 5 2 2 2 2 3" xfId="3758" xr:uid="{2533C168-3378-4136-9CD4-FEB2F0528ECD}"/>
    <cellStyle name="Normal 4 5 2 2 2 3" xfId="7200" xr:uid="{D7EADB9D-5CD7-443D-9DB0-2A7D9A7A9AF0}"/>
    <cellStyle name="Normal 4 5 2 2 2 3 2" xfId="7290" xr:uid="{405C0A8B-898F-46B2-8F89-A5A55FE1AA23}"/>
    <cellStyle name="Normal 4 5 2 2 2 4" xfId="7275" xr:uid="{41ADD29E-9992-45B5-B80A-5AED3F12F133}"/>
    <cellStyle name="Normal 4 5 2 2 3" xfId="3668" xr:uid="{A1E15CC5-3E5A-45A8-9073-2CF620FF5E13}"/>
    <cellStyle name="Normal 4 5 2 2 3 2" xfId="3731" xr:uid="{BF3A8EA5-2C4E-4D19-9EDA-8BBB3399A28C}"/>
    <cellStyle name="Normal 4 5 2 2 3 2 2" xfId="7280" xr:uid="{94B56656-2257-4948-A307-7B88435829B8}"/>
    <cellStyle name="Normal 4 5 2 2 3 3" xfId="7267" xr:uid="{E65E036E-4EBD-48E2-B7D9-A2D5F818057F}"/>
    <cellStyle name="Normal 4 5 2 2 4" xfId="3652" xr:uid="{E87CD1D3-FA78-439B-B496-5740ABCD5AD3}"/>
    <cellStyle name="Normal 4 5 2 2 4 2" xfId="7298" xr:uid="{6A334122-7B82-4FDE-AD2A-491A3D8E9D46}"/>
    <cellStyle name="Normal 4 5 2 2 5" xfId="7285" xr:uid="{CDECCA72-41A8-4940-A1F0-C76922EE6888}"/>
    <cellStyle name="Normal 4 5 2 3" xfId="3992" xr:uid="{91D2EA72-F450-4084-B4DA-46FDB6318CA5}"/>
    <cellStyle name="Normal 4 5 2 3 2" xfId="7229" xr:uid="{21AE23D9-2585-4429-A497-454B6F0FC732}"/>
    <cellStyle name="Normal 4 5 2 3 2 2" xfId="7304" xr:uid="{B5E97121-727A-423A-AB52-109351884942}"/>
    <cellStyle name="Normal 4 5 2 3 2 2 2" xfId="3670" xr:uid="{A85C5F36-67B7-4F98-9F82-1FD7ECEEE76B}"/>
    <cellStyle name="Normal 4 5 2 3 2 3" xfId="3673" xr:uid="{54C449BF-C59F-4A33-89F3-835243424F37}"/>
    <cellStyle name="Normal 4 5 2 3 3" xfId="3712" xr:uid="{A5B78B2E-9C80-4623-A94A-C7638768E3A4}"/>
    <cellStyle name="Normal 4 5 2 3 3 2" xfId="3748" xr:uid="{8F89A919-58E5-4696-9412-35C7A048A241}"/>
    <cellStyle name="Normal 4 5 2 3 4" xfId="3708" xr:uid="{F772BB3C-EEE8-44A3-9C90-07F4DDA41DA9}"/>
    <cellStyle name="Normal 4 5 2 4" xfId="7238" xr:uid="{F765F1BA-6D55-4524-A73F-DA5C4C4BC4EF}"/>
    <cellStyle name="Normal 4 5 2 4 2" xfId="7319" xr:uid="{B0D3C7D4-73F3-41B1-8E4E-44B144D2F24D}"/>
    <cellStyle name="Normal 4 5 2 4 2 2" xfId="3743" xr:uid="{9D194D5C-656D-4F18-85F2-C9C00A9DA7CE}"/>
    <cellStyle name="Normal 4 5 2 4 3" xfId="3764" xr:uid="{9F9DED69-2D6C-46AA-B8D7-CE18E8D0177A}"/>
    <cellStyle name="Normal 4 5 2 5" xfId="7245" xr:uid="{E23B667B-90CB-4B01-BABA-9180E7F1076C}"/>
    <cellStyle name="Normal 4 5 2 5 2" xfId="7205" xr:uid="{3F7A50FC-19F9-4CFE-A324-FAC7D4FB0B87}"/>
    <cellStyle name="Normal 4 5 2 6" xfId="3693" xr:uid="{3CCECD67-6412-4654-99F5-6E9BFD564EF1}"/>
    <cellStyle name="Normal 4 5 3" xfId="519" xr:uid="{BBF668F0-2888-45CD-9D5F-BE6C2E3C50F1}"/>
    <cellStyle name="Normal 4 5 3 2" xfId="2240" xr:uid="{0DD8CF96-D180-456C-8D92-84135AE4BA49}"/>
    <cellStyle name="Normal 4 5 3 2 2" xfId="5911" xr:uid="{50532867-1D31-4497-8D4E-DED2ECD6181B}"/>
    <cellStyle name="Normal 4 5 3 2 2 2" xfId="3687" xr:uid="{1A7610A5-6AA5-4F17-8CA1-2E03025EDB5B}"/>
    <cellStyle name="Normal 4 5 3 2 2 2 2" xfId="7230" xr:uid="{FE03FFBF-715E-4D0A-9A44-4FA689C02B58}"/>
    <cellStyle name="Normal 4 5 3 2 2 3" xfId="7214" xr:uid="{6947DBC3-DA36-42EB-A2F3-E436680F855D}"/>
    <cellStyle name="Normal 4 5 3 2 3" xfId="3752" xr:uid="{9392958E-46FC-4CE7-B9FB-E40969FF6250}"/>
    <cellStyle name="Normal 4 5 3 2 3 2" xfId="7247" xr:uid="{8CF1B4EE-4D45-42F0-AF3E-F313DA5E5046}"/>
    <cellStyle name="Normal 4 5 3 2 4" xfId="7234" xr:uid="{C566EFD7-8B8A-4C61-BB6F-CC7777051B37}"/>
    <cellStyle name="Normal 4 5 3 3" xfId="4198" xr:uid="{A61001A5-5ACA-48BD-A389-DF1C13AF9445}"/>
    <cellStyle name="Normal 4 5 3 3 2" xfId="3694" xr:uid="{3F041237-8E5D-4FD2-AEFA-F57F21A7662C}"/>
    <cellStyle name="Normal 4 5 3 3 2 2" xfId="7239" xr:uid="{DD9F8DE3-BE63-4630-8750-64DD8657A83B}"/>
    <cellStyle name="Normal 4 5 3 3 3" xfId="7225" xr:uid="{2FFE4899-E0BC-4888-8FA6-52B62EB2AEB1}"/>
    <cellStyle name="Normal 4 5 3 4" xfId="7287" xr:uid="{24EC629E-EE60-4BD3-BB77-73480108A54C}"/>
    <cellStyle name="Normal 4 5 3 4 2" xfId="7252" xr:uid="{1F027E34-1EC7-4A82-A652-02BA2F0CEAB5}"/>
    <cellStyle name="Normal 4 5 3 5" xfId="7244" xr:uid="{1E21F27A-C9AB-4B33-8C1D-5197E5437703}"/>
    <cellStyle name="Normal 4 5 4" xfId="737" xr:uid="{2602542A-20EA-4157-BBC9-2915089CDA07}"/>
    <cellStyle name="Normal 4 5 4 2" xfId="2458" xr:uid="{0AABF00D-4819-49A3-9191-4DE4535D8F11}"/>
    <cellStyle name="Normal 4 5 4 2 2" xfId="6129" xr:uid="{37753994-711C-4E40-A9FC-EB8F4014D1BC}"/>
    <cellStyle name="Normal 4 5 4 2 2 2" xfId="3722" xr:uid="{0DE2C1A2-82C0-45B4-B15B-73AD91C96324}"/>
    <cellStyle name="Normal 4 5 4 2 3" xfId="3714" xr:uid="{D2F92361-7419-4DF6-A38F-CBE96A5A41EA}"/>
    <cellStyle name="Normal 4 5 4 3" xfId="4410" xr:uid="{1AE7A1B6-90DD-4E18-B2A9-44820C3AA492}"/>
    <cellStyle name="Normal 4 5 4 3 2" xfId="3711" xr:uid="{105297F8-2DC3-4F16-9432-12823481D52C}"/>
    <cellStyle name="Normal 4 5 4 4" xfId="3657" xr:uid="{6047B693-FD58-4512-88CF-3E2832A874E0}"/>
    <cellStyle name="Normal 4 5 5" xfId="955" xr:uid="{988C9AAF-61A1-4DF7-900D-268BB4E3B12E}"/>
    <cellStyle name="Normal 4 5 5 2" xfId="2676" xr:uid="{7CA7FB21-0494-49D4-AAF7-E7A40F1E760D}"/>
    <cellStyle name="Normal 4 5 5 2 2" xfId="6347" xr:uid="{E5C02301-95AE-4917-9C8A-1E2485DA00A2}"/>
    <cellStyle name="Normal 4 5 5 3" xfId="4628" xr:uid="{72134977-12ED-4739-AE21-25CBA1696978}"/>
    <cellStyle name="Normal 4 5 6" xfId="1173" xr:uid="{85BF477B-25A7-4E1B-8A20-54F306023334}"/>
    <cellStyle name="Normal 4 5 6 2" xfId="2894" xr:uid="{72AD90F7-11F9-4669-AB09-5D7BE4F34760}"/>
    <cellStyle name="Normal 4 5 6 2 2" xfId="6565" xr:uid="{21F485A5-FD99-47E1-969C-FF2CB434DC65}"/>
    <cellStyle name="Normal 4 5 6 3" xfId="4846" xr:uid="{A881B6F1-4433-46C5-9750-ADFE84CC6089}"/>
    <cellStyle name="Normal 4 5 7" xfId="1391" xr:uid="{B43D167A-61BB-4461-843E-F80EE94D62B8}"/>
    <cellStyle name="Normal 4 5 7 2" xfId="3112" xr:uid="{C0D218F8-5D73-410D-93D3-488C93488577}"/>
    <cellStyle name="Normal 4 5 7 2 2" xfId="6783" xr:uid="{60B0E7CE-D41F-4052-82E1-70662E658ABD}"/>
    <cellStyle name="Normal 4 5 7 3" xfId="5064" xr:uid="{C8C93099-019B-4759-BB5A-B9E1BAB78516}"/>
    <cellStyle name="Normal 4 5 8" xfId="1610" xr:uid="{59841566-A5EB-4568-B8E0-349342BBA006}"/>
    <cellStyle name="Normal 4 5 8 2" xfId="3331" xr:uid="{E8B951D5-87C2-4951-811A-E4947459B664}"/>
    <cellStyle name="Normal 4 5 8 2 2" xfId="7002" xr:uid="{ADB8DD26-9713-4267-A340-BDDFB8C16AB3}"/>
    <cellStyle name="Normal 4 5 8 3" xfId="5282" xr:uid="{D4496566-7639-4C51-9541-A73F41E43837}"/>
    <cellStyle name="Normal 4 5 9" xfId="1830" xr:uid="{89C737F9-30FD-47A5-81AC-E19B50AFA92B}"/>
    <cellStyle name="Normal 4 5 9 2" xfId="5501" xr:uid="{55DDD01D-E872-42E6-8B7B-4F371292F0B6}"/>
    <cellStyle name="Normal 4 6" xfId="90" xr:uid="{41AD0C37-BBEB-4253-96B0-BF1C29094FA7}"/>
    <cellStyle name="Normal 4 6 10" xfId="3819" xr:uid="{6591E4FA-8B65-40E1-BF20-A138E3F76267}"/>
    <cellStyle name="Normal 4 6 2" xfId="336" xr:uid="{D150E29A-6E47-4DFF-ABE7-124626FDB9D3}"/>
    <cellStyle name="Normal 4 6 2 2" xfId="2035" xr:uid="{40C6F214-BEFF-4669-88AA-47A221432074}"/>
    <cellStyle name="Normal 4 6 2 2 2" xfId="5706" xr:uid="{84F23221-BB89-454A-B42F-BA1C788C0099}"/>
    <cellStyle name="Normal 4 6 2 2 2 2" xfId="3705" xr:uid="{AEC2605F-525C-4B4C-A90F-F73E675B2BCD}"/>
    <cellStyle name="Normal 4 6 2 2 2 2 2" xfId="3671" xr:uid="{618974A0-6EAA-4BA6-A450-58FE8A7582D6}"/>
    <cellStyle name="Normal 4 6 2 2 2 3" xfId="3691" xr:uid="{D1933FEA-3144-4D5A-A9DA-A92C5D641A6F}"/>
    <cellStyle name="Normal 4 6 2 2 3" xfId="7269" xr:uid="{0A9B7ECA-0FB5-48D1-8470-AC8D58EAE296}"/>
    <cellStyle name="Normal 4 6 2 2 3 2" xfId="3718" xr:uid="{7E1F8281-A14A-405C-87ED-AE07D13AE777}"/>
    <cellStyle name="Normal 4 6 2 2 4" xfId="3727" xr:uid="{03FD1D5C-F262-4D95-9E3E-186091EEF42A}"/>
    <cellStyle name="Normal 4 6 2 3" xfId="4001" xr:uid="{29BFB965-D4D9-4DBE-98B9-6F80AACD70D3}"/>
    <cellStyle name="Normal 4 6 2 3 2" xfId="7228" xr:uid="{54FBC103-B5F2-44D1-9431-9EEBB7B8C1AC}"/>
    <cellStyle name="Normal 4 6 2 3 2 2" xfId="3678" xr:uid="{F200B201-26B2-40D3-BD21-36C9AC30CBB6}"/>
    <cellStyle name="Normal 4 6 2 3 3" xfId="3644" xr:uid="{59B67C08-8258-4C7D-B457-182F933495D2}"/>
    <cellStyle name="Normal 4 6 2 4" xfId="3681" xr:uid="{12FE0050-2B7E-4FE0-9491-E1D4D9776023}"/>
    <cellStyle name="Normal 4 6 2 4 2" xfId="3689" xr:uid="{3FEB37EC-049A-49AC-B471-8186B50BD496}"/>
    <cellStyle name="Normal 4 6 2 5" xfId="3757" xr:uid="{86C12FF8-019E-470C-86FE-B435577335D8}"/>
    <cellStyle name="Normal 4 6 3" xfId="532" xr:uid="{08E88B73-1703-46B8-A764-267E7381DA1A}"/>
    <cellStyle name="Normal 4 6 3 2" xfId="2253" xr:uid="{CD005550-19F5-4DD2-8E9B-DE104A99A9ED}"/>
    <cellStyle name="Normal 4 6 3 2 2" xfId="5924" xr:uid="{3B152AE2-FE0B-4B25-853B-C5F02961564A}"/>
    <cellStyle name="Normal 4 6 3 2 2 2" xfId="7250" xr:uid="{5203E19D-C88C-40BA-B4AB-876AC18AB38D}"/>
    <cellStyle name="Normal 4 6 3 2 3" xfId="7242" xr:uid="{591071E8-CF80-4C2D-AA86-3B105D8403C8}"/>
    <cellStyle name="Normal 4 6 3 3" xfId="4207" xr:uid="{189A297D-E8AA-410A-BC06-29CE16F83A67}"/>
    <cellStyle name="Normal 4 6 3 3 2" xfId="7204" xr:uid="{2EA2B840-866F-45D0-ACB8-5C45B9547964}"/>
    <cellStyle name="Normal 4 6 3 4" xfId="7254" xr:uid="{FC9E1BDA-17CC-491A-A42B-925408E6D74E}"/>
    <cellStyle name="Normal 4 6 4" xfId="750" xr:uid="{105D2839-AFE9-45D3-885F-F98346625F9F}"/>
    <cellStyle name="Normal 4 6 4 2" xfId="2471" xr:uid="{2CAFFA12-C4C3-4E97-BB6E-A1B52F77A84B}"/>
    <cellStyle name="Normal 4 6 4 2 2" xfId="6142" xr:uid="{D86025E8-274C-49D7-85A7-9702E5BC3B94}"/>
    <cellStyle name="Normal 4 6 4 3" xfId="4423" xr:uid="{63CB1802-C10F-408B-9ED3-939649D3CC8C}"/>
    <cellStyle name="Normal 4 6 5" xfId="968" xr:uid="{7C2F19A9-9EA2-49D9-AB19-71B2BCFA2B9A}"/>
    <cellStyle name="Normal 4 6 5 2" xfId="2689" xr:uid="{DA502FCA-D6D1-4F47-BDF9-FD3BB067AF93}"/>
    <cellStyle name="Normal 4 6 5 2 2" xfId="6360" xr:uid="{1EF1E885-E640-4FDB-ABB4-12F0EAF88E4E}"/>
    <cellStyle name="Normal 4 6 5 3" xfId="4641" xr:uid="{789798F5-352A-4979-9EA8-792E1FE3A2F6}"/>
    <cellStyle name="Normal 4 6 6" xfId="1186" xr:uid="{831EBB1B-4FB4-44F7-A19B-4982FDD6608B}"/>
    <cellStyle name="Normal 4 6 6 2" xfId="2907" xr:uid="{D0D1F9D1-1F0A-4C0D-AA32-31761E73F657}"/>
    <cellStyle name="Normal 4 6 6 2 2" xfId="6578" xr:uid="{88810BFD-2069-4201-B15B-15C719084D2E}"/>
    <cellStyle name="Normal 4 6 6 3" xfId="4859" xr:uid="{46106E80-DD31-4567-BEAB-2ABE6BAE12AB}"/>
    <cellStyle name="Normal 4 6 7" xfId="1404" xr:uid="{5F0D7A0E-B03D-4A6D-A8C0-33458E5AC2F7}"/>
    <cellStyle name="Normal 4 6 7 2" xfId="3125" xr:uid="{50D69ED7-ADBE-48F5-AE4E-996E1B26BB7B}"/>
    <cellStyle name="Normal 4 6 7 2 2" xfId="6796" xr:uid="{ACB88A15-7132-4CA5-9F93-C0D6964242B3}"/>
    <cellStyle name="Normal 4 6 7 3" xfId="5077" xr:uid="{87DCBA8C-137B-41B7-9882-40F5F6D2C8EC}"/>
    <cellStyle name="Normal 4 6 8" xfId="1623" xr:uid="{DAE36B10-769F-44FE-8BF2-1A285A7F626B}"/>
    <cellStyle name="Normal 4 6 8 2" xfId="3344" xr:uid="{89847DF8-BA42-4989-A599-AD5887E270CD}"/>
    <cellStyle name="Normal 4 6 8 2 2" xfId="7015" xr:uid="{1DE99141-0A85-429A-B5C2-4635E23D15C2}"/>
    <cellStyle name="Normal 4 6 8 3" xfId="5295" xr:uid="{2C7DCA1E-580A-4F74-90C9-F68210539553}"/>
    <cellStyle name="Normal 4 6 9" xfId="1843" xr:uid="{672526D4-C331-4D9F-9AC8-1383603CB33B}"/>
    <cellStyle name="Normal 4 6 9 2" xfId="5514" xr:uid="{E27EE214-17AD-43FA-B753-AD81A9783678}"/>
    <cellStyle name="Normal 4 7" xfId="103" xr:uid="{DE6CF2B5-5BC7-44BF-8699-EF16C3AE5619}"/>
    <cellStyle name="Normal 4 7 10" xfId="3832" xr:uid="{113DAE86-DA8F-4077-9665-4901545A52ED}"/>
    <cellStyle name="Normal 4 7 2" xfId="349" xr:uid="{EF9530BD-2071-4A12-9135-6495AB126311}"/>
    <cellStyle name="Normal 4 7 2 2" xfId="2048" xr:uid="{7C2BF326-3E2F-41CF-8FFF-7BABB9B52266}"/>
    <cellStyle name="Normal 4 7 2 2 2" xfId="5719" xr:uid="{D3CC97FE-C8BB-4A03-AD5E-68A6F85027FD}"/>
    <cellStyle name="Normal 4 7 2 2 2 2" xfId="7295" xr:uid="{EE3A6A7D-AE3F-4F9D-A930-23C22B09EB5F}"/>
    <cellStyle name="Normal 4 7 2 2 3" xfId="7282" xr:uid="{201B7628-B807-450D-849B-A99EF63930FA}"/>
    <cellStyle name="Normal 4 7 2 3" xfId="4012" xr:uid="{C0C4B858-8DB9-45A4-8699-F86D88E4AEC5}"/>
    <cellStyle name="Normal 4 7 2 3 2" xfId="7313" xr:uid="{238AA893-7ED3-4F5D-A675-56515C5E4A5F}"/>
    <cellStyle name="Normal 4 7 2 4" xfId="7301" xr:uid="{74165746-2F02-4478-816B-31145AC5D798}"/>
    <cellStyle name="Normal 4 7 3" xfId="545" xr:uid="{2270145D-4356-45D5-AFA3-26A048DF3B94}"/>
    <cellStyle name="Normal 4 7 3 2" xfId="2266" xr:uid="{4E49E9DD-9331-4892-9DEF-E80A411CE63E}"/>
    <cellStyle name="Normal 4 7 3 2 2" xfId="5937" xr:uid="{3CEE8899-98DC-46A1-90A2-7F79943897B8}"/>
    <cellStyle name="Normal 4 7 3 3" xfId="4218" xr:uid="{AF243644-9971-4CFC-AF6C-4127FE4123AD}"/>
    <cellStyle name="Normal 4 7 4" xfId="763" xr:uid="{A232D6CF-72CB-4AFA-817F-7F103A6023C1}"/>
    <cellStyle name="Normal 4 7 4 2" xfId="2484" xr:uid="{5C380092-9A6D-41DC-B70E-BB881B6D6BE5}"/>
    <cellStyle name="Normal 4 7 4 2 2" xfId="6155" xr:uid="{7E12CA36-5A25-4243-8955-53CA1334AEE4}"/>
    <cellStyle name="Normal 4 7 4 3" xfId="4436" xr:uid="{6551E828-83F9-45D3-A645-7279CCB9ACBA}"/>
    <cellStyle name="Normal 4 7 5" xfId="981" xr:uid="{004A80EF-27B3-4CF0-A54A-FB394E9B8BCE}"/>
    <cellStyle name="Normal 4 7 5 2" xfId="2702" xr:uid="{F1C58F82-940D-410B-9E76-0AEF159824C0}"/>
    <cellStyle name="Normal 4 7 5 2 2" xfId="6373" xr:uid="{16FB6BBC-0DC9-4972-9155-058D43310657}"/>
    <cellStyle name="Normal 4 7 5 3" xfId="4654" xr:uid="{B35CDFD8-DDA1-42E7-BC18-D5EF9C48A50F}"/>
    <cellStyle name="Normal 4 7 6" xfId="1199" xr:uid="{BB20B89E-A3F7-4E63-B54F-668207E975C3}"/>
    <cellStyle name="Normal 4 7 6 2" xfId="2920" xr:uid="{083C4AB0-3717-47AF-96A4-45D2BC965DD1}"/>
    <cellStyle name="Normal 4 7 6 2 2" xfId="6591" xr:uid="{0644744D-3BAC-4FE3-B995-A76971DA0491}"/>
    <cellStyle name="Normal 4 7 6 3" xfId="4872" xr:uid="{6079949F-E9D4-489C-AEC0-3D101D671238}"/>
    <cellStyle name="Normal 4 7 7" xfId="1417" xr:uid="{BDC8CF99-3DDC-478A-A49C-A80CF7B6C1F3}"/>
    <cellStyle name="Normal 4 7 7 2" xfId="3138" xr:uid="{C86AA516-2324-4EA1-83D1-CD3E9F36589F}"/>
    <cellStyle name="Normal 4 7 7 2 2" xfId="6809" xr:uid="{629BC33C-35C2-4A3C-953B-E3B75E152A2F}"/>
    <cellStyle name="Normal 4 7 7 3" xfId="5090" xr:uid="{19799704-B0C5-4866-AC5B-CEC556EB6312}"/>
    <cellStyle name="Normal 4 7 8" xfId="1636" xr:uid="{5270777A-C08B-4DCC-B414-DCFD2EB43082}"/>
    <cellStyle name="Normal 4 7 8 2" xfId="3357" xr:uid="{7D1D24AA-5103-4B93-96C1-6810F895B5AF}"/>
    <cellStyle name="Normal 4 7 8 2 2" xfId="7028" xr:uid="{E7AFCBA7-8561-456D-80C7-3A58DEF2D48A}"/>
    <cellStyle name="Normal 4 7 8 3" xfId="5308" xr:uid="{7602DEBB-B07C-467D-8EC0-E9B609B0786C}"/>
    <cellStyle name="Normal 4 7 9" xfId="1856" xr:uid="{187E5FC0-B706-4CDB-BC7E-72E59801ECC2}"/>
    <cellStyle name="Normal 4 7 9 2" xfId="5527" xr:uid="{F4849E86-D92F-4509-9244-F59F4DDB6C6C}"/>
    <cellStyle name="Normal 4 8" xfId="116" xr:uid="{65EB96E8-FCC1-4A9F-9155-FC5903EF1E61}"/>
    <cellStyle name="Normal 4 8 10" xfId="3845" xr:uid="{E7E6458C-CA17-4D27-B5F2-D25CB321506C}"/>
    <cellStyle name="Normal 4 8 2" xfId="362" xr:uid="{42D5A5AD-D5AD-4C2C-8399-10A74B771584}"/>
    <cellStyle name="Normal 4 8 2 2" xfId="2061" xr:uid="{7472436A-3EDB-4C19-93AB-08289B339231}"/>
    <cellStyle name="Normal 4 8 2 2 2" xfId="5732" xr:uid="{CBE3E301-3DCA-49EB-AF55-FDC7312B71B9}"/>
    <cellStyle name="Normal 4 8 2 3" xfId="4025" xr:uid="{3BA870A5-BFD6-4B89-81F3-3F35B5796E44}"/>
    <cellStyle name="Normal 4 8 3" xfId="558" xr:uid="{1850B247-E136-4C3A-AFBA-24B471AE604D}"/>
    <cellStyle name="Normal 4 8 3 2" xfId="2279" xr:uid="{F320319A-9BC0-4D20-A7F3-E749546E56AC}"/>
    <cellStyle name="Normal 4 8 3 2 2" xfId="5950" xr:uid="{5DF46F30-28BA-40AE-B7FD-B61BEA25BB4E}"/>
    <cellStyle name="Normal 4 8 3 3" xfId="4231" xr:uid="{8F50A91D-6A4F-4EDF-B65F-0B34115FC9B0}"/>
    <cellStyle name="Normal 4 8 4" xfId="776" xr:uid="{2AC57496-6B59-492F-A195-5B9C038E1131}"/>
    <cellStyle name="Normal 4 8 4 2" xfId="2497" xr:uid="{E55A8909-8A94-44E3-BEFA-46B613C17578}"/>
    <cellStyle name="Normal 4 8 4 2 2" xfId="6168" xr:uid="{097EABC5-13E6-475F-8999-378E0428E19B}"/>
    <cellStyle name="Normal 4 8 4 3" xfId="4449" xr:uid="{6334C3CD-D88B-4E14-B154-16D8FEED5EB6}"/>
    <cellStyle name="Normal 4 8 5" xfId="994" xr:uid="{BBD0AA1B-3CDB-41EC-B3E0-E78F5BC820E2}"/>
    <cellStyle name="Normal 4 8 5 2" xfId="2715" xr:uid="{362913B9-2594-4071-AB3B-D1454C73DF1B}"/>
    <cellStyle name="Normal 4 8 5 2 2" xfId="6386" xr:uid="{E23C1BA0-EE33-4247-B440-A7D6AB36FDC8}"/>
    <cellStyle name="Normal 4 8 5 3" xfId="4667" xr:uid="{48C19F95-33C7-4287-804D-887CA8737C00}"/>
    <cellStyle name="Normal 4 8 6" xfId="1212" xr:uid="{A2A651E7-3691-4E2B-A6E9-15B581CDA838}"/>
    <cellStyle name="Normal 4 8 6 2" xfId="2933" xr:uid="{2C90CF56-136B-48C2-A148-4FDE31F61F67}"/>
    <cellStyle name="Normal 4 8 6 2 2" xfId="6604" xr:uid="{4AE96E6A-1559-47B3-9AC4-C1BE87C1E864}"/>
    <cellStyle name="Normal 4 8 6 3" xfId="4885" xr:uid="{79A69BA1-A15C-45D6-85E2-1E40DB5A232C}"/>
    <cellStyle name="Normal 4 8 7" xfId="1430" xr:uid="{317479E0-0D72-40E4-8316-4FFA4D3B3EC4}"/>
    <cellStyle name="Normal 4 8 7 2" xfId="3151" xr:uid="{77756392-6668-4A9F-90E8-9955DB3770C6}"/>
    <cellStyle name="Normal 4 8 7 2 2" xfId="6822" xr:uid="{662B755F-318F-4DFF-A2E3-5BB193E327BE}"/>
    <cellStyle name="Normal 4 8 7 3" xfId="5103" xr:uid="{28D0904D-8701-42A9-B9CB-44031545EAD1}"/>
    <cellStyle name="Normal 4 8 8" xfId="1649" xr:uid="{FD0DE70D-4417-48B4-9D75-0890519CB93D}"/>
    <cellStyle name="Normal 4 8 8 2" xfId="3370" xr:uid="{DC73E003-70FD-424D-A25C-7040A1373757}"/>
    <cellStyle name="Normal 4 8 8 2 2" xfId="7041" xr:uid="{CEC1C417-58BD-438E-8A54-18FB8C5ACFBB}"/>
    <cellStyle name="Normal 4 8 8 3" xfId="5321" xr:uid="{46421CCE-D2B5-401D-9E3D-B100D17AA570}"/>
    <cellStyle name="Normal 4 8 9" xfId="1869" xr:uid="{89DD7D47-4D5D-4C44-9A56-3A809DD4A9D3}"/>
    <cellStyle name="Normal 4 8 9 2" xfId="5540" xr:uid="{CB453972-110C-4853-9539-9A76E2CCCD48}"/>
    <cellStyle name="Normal 4 9" xfId="129" xr:uid="{1F8C2DB5-3722-4EF2-ABC6-7ABBE8BEC276}"/>
    <cellStyle name="Normal 4 9 10" xfId="3858" xr:uid="{C473E985-A09D-4BFE-BF71-E2954E912055}"/>
    <cellStyle name="Normal 4 9 2" xfId="375" xr:uid="{F36A4886-06DF-4557-973F-F86BB23FE60B}"/>
    <cellStyle name="Normal 4 9 2 2" xfId="2074" xr:uid="{78ECBD6C-517A-4FA5-A9B1-B33B05E4CC72}"/>
    <cellStyle name="Normal 4 9 2 2 2" xfId="5745" xr:uid="{D6FDD50E-5722-4C0C-A403-9F55DB5EF69C}"/>
    <cellStyle name="Normal 4 9 2 3" xfId="4038" xr:uid="{8AA0F69B-16F1-47ED-A3D4-A86886428370}"/>
    <cellStyle name="Normal 4 9 3" xfId="571" xr:uid="{EB8E80A9-CD3F-4B19-890C-BB0C3CCD6796}"/>
    <cellStyle name="Normal 4 9 3 2" xfId="2292" xr:uid="{4FFA42D3-5323-4555-B4DD-6AD1F3928DEB}"/>
    <cellStyle name="Normal 4 9 3 2 2" xfId="5963" xr:uid="{4DAFBC16-CE82-4F9F-B46D-4EE31CA8B642}"/>
    <cellStyle name="Normal 4 9 3 3" xfId="4244" xr:uid="{1FFCE243-A54B-4131-99D6-CEF4339BDBB6}"/>
    <cellStyle name="Normal 4 9 4" xfId="789" xr:uid="{5F93C9DF-EC3A-4B28-93DB-A8BAD0972490}"/>
    <cellStyle name="Normal 4 9 4 2" xfId="2510" xr:uid="{CD8F6932-B2BE-4196-B219-62ADDAC0E2B8}"/>
    <cellStyle name="Normal 4 9 4 2 2" xfId="6181" xr:uid="{CBF5C677-4071-4418-8F38-4C6B5169AFFB}"/>
    <cellStyle name="Normal 4 9 4 3" xfId="4462" xr:uid="{7E5D48D0-23F4-4F4C-BC5C-D20777278346}"/>
    <cellStyle name="Normal 4 9 5" xfId="1007" xr:uid="{BCE80A5F-A37E-4074-88D5-3A7FD4B4D6F9}"/>
    <cellStyle name="Normal 4 9 5 2" xfId="2728" xr:uid="{AFF5A352-E56A-498F-A29B-B8BBFB3E6035}"/>
    <cellStyle name="Normal 4 9 5 2 2" xfId="6399" xr:uid="{164619FB-B1A7-4F77-9A7C-DBB99CC11B9E}"/>
    <cellStyle name="Normal 4 9 5 3" xfId="4680" xr:uid="{584E55C3-C21A-4A7B-890E-F8AE7A3CEEF9}"/>
    <cellStyle name="Normal 4 9 6" xfId="1225" xr:uid="{808D0412-FCF9-4D6B-85F4-686F5617DBF0}"/>
    <cellStyle name="Normal 4 9 6 2" xfId="2946" xr:uid="{119E9E81-2AE0-4A8C-ADDC-BA6419B27E44}"/>
    <cellStyle name="Normal 4 9 6 2 2" xfId="6617" xr:uid="{0B3C0A2E-7D21-4086-B5DC-EDE525ED58A2}"/>
    <cellStyle name="Normal 4 9 6 3" xfId="4898" xr:uid="{8429A912-E627-4BAE-8FE8-4191DA14EFB8}"/>
    <cellStyle name="Normal 4 9 7" xfId="1443" xr:uid="{554A5590-A8E6-4BAE-AC1F-5CFC36578EA8}"/>
    <cellStyle name="Normal 4 9 7 2" xfId="3164" xr:uid="{63ED0486-7526-4CC7-9F64-057CF844EB16}"/>
    <cellStyle name="Normal 4 9 7 2 2" xfId="6835" xr:uid="{916159C9-7346-4565-8F70-D072258FDBEE}"/>
    <cellStyle name="Normal 4 9 7 3" xfId="5116" xr:uid="{327EF997-3D10-45C0-84D3-9AD3B1FFACC1}"/>
    <cellStyle name="Normal 4 9 8" xfId="1662" xr:uid="{82159C99-5F52-4368-A5BA-05D09759923F}"/>
    <cellStyle name="Normal 4 9 8 2" xfId="3383" xr:uid="{76F9208B-5A9E-4447-A059-917736C3F434}"/>
    <cellStyle name="Normal 4 9 8 2 2" xfId="7054" xr:uid="{9D57315C-E8D4-4BAB-B3B9-77F440340DC0}"/>
    <cellStyle name="Normal 4 9 8 3" xfId="5334" xr:uid="{0C5BEEEC-EB21-4866-B1D0-34BF583A9EE0}"/>
    <cellStyle name="Normal 4 9 9" xfId="1882" xr:uid="{89FD72A7-F454-41AF-9DA3-AAF5C6B937AB}"/>
    <cellStyle name="Normal 4 9 9 2" xfId="5553" xr:uid="{2840953D-04A9-4EDE-841F-7BFE3742F266}"/>
    <cellStyle name="Normal 5" xfId="44" xr:uid="{9134E9A6-A559-44E3-A4C3-8E495A64DC50}"/>
    <cellStyle name="Normal 5 10" xfId="178" xr:uid="{673112B0-8FBB-4894-B26A-A8BC67D739DA}"/>
    <cellStyle name="Normal 5 10 10" xfId="3907" xr:uid="{9AC6D7DB-CDB0-4BCE-874C-B5A5DEE8B259}"/>
    <cellStyle name="Normal 5 10 2" xfId="424" xr:uid="{137FA8EA-7C37-43B7-BE86-B455DBBC0BFB}"/>
    <cellStyle name="Normal 5 10 2 2" xfId="2123" xr:uid="{664398A3-234F-4FD2-B74F-BEC3F8BC98D3}"/>
    <cellStyle name="Normal 5 10 2 2 2" xfId="5794" xr:uid="{DF7478B5-B89C-47A3-8FD4-DFDB21F1F75D}"/>
    <cellStyle name="Normal 5 10 2 3" xfId="4087" xr:uid="{82FBD1EF-F081-47CA-ADE3-B00329B5F357}"/>
    <cellStyle name="Normal 5 10 3" xfId="620" xr:uid="{A4F13517-CCC5-48A6-BA37-CBE36FBBD8A2}"/>
    <cellStyle name="Normal 5 10 3 2" xfId="2341" xr:uid="{0C20716E-A262-4C07-9CB0-2705D12E4BB9}"/>
    <cellStyle name="Normal 5 10 3 2 2" xfId="6012" xr:uid="{FCF397D5-7ACA-46F2-81D9-95CC2E806EEC}"/>
    <cellStyle name="Normal 5 10 3 3" xfId="4293" xr:uid="{F6ACF2E5-65BE-4BC3-9525-946E16E302EE}"/>
    <cellStyle name="Normal 5 10 4" xfId="838" xr:uid="{EF1C55E1-383F-4CDF-992C-E86BC0ABADB8}"/>
    <cellStyle name="Normal 5 10 4 2" xfId="2559" xr:uid="{7254CC26-A9AA-43EB-9AF8-19FA55F39166}"/>
    <cellStyle name="Normal 5 10 4 2 2" xfId="6230" xr:uid="{7F043EC2-1549-40AD-9C76-8F57BD308DEB}"/>
    <cellStyle name="Normal 5 10 4 3" xfId="4511" xr:uid="{DDC87FEE-B7BD-45B1-929C-7E35B41F5085}"/>
    <cellStyle name="Normal 5 10 5" xfId="1056" xr:uid="{3C634ED0-F8B4-4436-8604-BD501E017B80}"/>
    <cellStyle name="Normal 5 10 5 2" xfId="2777" xr:uid="{81EE912B-A4DE-46EF-9B33-023EE2522CEB}"/>
    <cellStyle name="Normal 5 10 5 2 2" xfId="6448" xr:uid="{4C01A5A0-85A4-4216-8FA5-47C095BF008C}"/>
    <cellStyle name="Normal 5 10 5 3" xfId="4729" xr:uid="{FCA0B35D-D397-4F8E-9B1B-361BB6027A32}"/>
    <cellStyle name="Normal 5 10 6" xfId="1274" xr:uid="{F54122E8-E577-4B4B-BE31-7984FFC9A47C}"/>
    <cellStyle name="Normal 5 10 6 2" xfId="2995" xr:uid="{AE6A2F21-84AA-4511-88E3-A1E452A528E6}"/>
    <cellStyle name="Normal 5 10 6 2 2" xfId="6666" xr:uid="{9973750C-3FAC-454D-9D95-E1AA337EAB66}"/>
    <cellStyle name="Normal 5 10 6 3" xfId="4947" xr:uid="{6B4C1FE6-496D-4625-920B-9DAAAB19D2CA}"/>
    <cellStyle name="Normal 5 10 7" xfId="1492" xr:uid="{295B54BA-C393-4C51-9E2B-E28462CDC4A4}"/>
    <cellStyle name="Normal 5 10 7 2" xfId="3213" xr:uid="{0D17985C-CF1C-420A-970D-41E802800696}"/>
    <cellStyle name="Normal 5 10 7 2 2" xfId="6884" xr:uid="{203C562B-9616-46B9-A931-D8FE083EE99E}"/>
    <cellStyle name="Normal 5 10 7 3" xfId="5165" xr:uid="{23018D9D-7BF1-44B0-9FB0-27E19837BEA2}"/>
    <cellStyle name="Normal 5 10 8" xfId="1711" xr:uid="{307BFD35-0CC5-4961-AA3D-A95FE1CB8A91}"/>
    <cellStyle name="Normal 5 10 8 2" xfId="3432" xr:uid="{D5F5DAC0-767E-4BE3-A717-FB80FA8659CC}"/>
    <cellStyle name="Normal 5 10 8 2 2" xfId="7103" xr:uid="{67DDE432-A9CC-4BEC-A228-7A87C3BD5695}"/>
    <cellStyle name="Normal 5 10 8 3" xfId="5383" xr:uid="{B54FCB7A-E820-42F6-B1B8-822FF8D2DB75}"/>
    <cellStyle name="Normal 5 10 9" xfId="1931" xr:uid="{89FF9989-C965-4F59-B98B-8439CB13EBAF}"/>
    <cellStyle name="Normal 5 10 9 2" xfId="5602" xr:uid="{557F8758-F6F2-4FB9-81A3-DFAB5B4329EC}"/>
    <cellStyle name="Normal 5 11" xfId="191" xr:uid="{DBCC4F9C-DA4F-40FB-8BBE-230758B701B5}"/>
    <cellStyle name="Normal 5 11 10" xfId="3920" xr:uid="{4547A898-73A9-45F5-8128-7361F80F3435}"/>
    <cellStyle name="Normal 5 11 2" xfId="437" xr:uid="{11B7CA89-DD8B-49A6-81C3-F594A69BD35D}"/>
    <cellStyle name="Normal 5 11 2 2" xfId="2136" xr:uid="{78F89D26-A5D1-4136-9859-11BDD609375D}"/>
    <cellStyle name="Normal 5 11 2 2 2" xfId="5807" xr:uid="{68B4C0E6-C4FE-441C-B291-0D4814A15710}"/>
    <cellStyle name="Normal 5 11 2 3" xfId="4100" xr:uid="{62D09EDB-6F09-4E36-925F-9C2979B3EA13}"/>
    <cellStyle name="Normal 5 11 3" xfId="633" xr:uid="{3005707D-C7DE-4EC3-BA99-7492C7B71664}"/>
    <cellStyle name="Normal 5 11 3 2" xfId="2354" xr:uid="{08633C4B-E24C-434E-BDE4-591360D114A0}"/>
    <cellStyle name="Normal 5 11 3 2 2" xfId="6025" xr:uid="{B775F370-F14F-46DC-9AF6-BFB2BC28FAE1}"/>
    <cellStyle name="Normal 5 11 3 3" xfId="4306" xr:uid="{7DB161B3-3572-4E91-907D-1C5BD51A2D93}"/>
    <cellStyle name="Normal 5 11 4" xfId="851" xr:uid="{A102613B-FB51-40F0-97C8-CE51832FE5C4}"/>
    <cellStyle name="Normal 5 11 4 2" xfId="2572" xr:uid="{D7C7AA47-5492-4EA5-8237-D4A24B9F8D72}"/>
    <cellStyle name="Normal 5 11 4 2 2" xfId="6243" xr:uid="{3F4B0591-A0B7-41AE-B500-87786E9DB130}"/>
    <cellStyle name="Normal 5 11 4 3" xfId="4524" xr:uid="{B62415E4-EC93-4B6B-8171-003F5DC186A4}"/>
    <cellStyle name="Normal 5 11 5" xfId="1069" xr:uid="{35DEA13F-7A7C-4D22-BA35-CA67C2F97B26}"/>
    <cellStyle name="Normal 5 11 5 2" xfId="2790" xr:uid="{4C57F544-184C-4AF5-9435-952F3F71E8CE}"/>
    <cellStyle name="Normal 5 11 5 2 2" xfId="6461" xr:uid="{80D8A235-FBD1-4BBC-A8D7-4FE75555B40B}"/>
    <cellStyle name="Normal 5 11 5 3" xfId="4742" xr:uid="{BC9658B4-1562-4269-8882-7A6343705893}"/>
    <cellStyle name="Normal 5 11 6" xfId="1287" xr:uid="{5681C68B-0261-4B71-92AB-FAB867FED5BA}"/>
    <cellStyle name="Normal 5 11 6 2" xfId="3008" xr:uid="{51208F33-CDB6-43A6-B828-942A612B3875}"/>
    <cellStyle name="Normal 5 11 6 2 2" xfId="6679" xr:uid="{EB0A2B9F-4436-4B2C-8E68-170266850574}"/>
    <cellStyle name="Normal 5 11 6 3" xfId="4960" xr:uid="{4C68F4CE-368F-434D-BB49-1E7643C663D0}"/>
    <cellStyle name="Normal 5 11 7" xfId="1505" xr:uid="{E9C1415C-B398-415A-A9A4-555649F7702D}"/>
    <cellStyle name="Normal 5 11 7 2" xfId="3226" xr:uid="{F0FE20B3-136F-4162-AEEF-E7B0C8C17100}"/>
    <cellStyle name="Normal 5 11 7 2 2" xfId="6897" xr:uid="{9F464ADB-E9A5-4DA6-A974-F2CC3715F43B}"/>
    <cellStyle name="Normal 5 11 7 3" xfId="5178" xr:uid="{BE6CC645-28D3-45BB-A76C-143C8FE50F45}"/>
    <cellStyle name="Normal 5 11 8" xfId="1724" xr:uid="{D2E4F851-BC79-42CF-9152-F2D9C16CFE75}"/>
    <cellStyle name="Normal 5 11 8 2" xfId="3445" xr:uid="{3EEEE0B6-7A15-4F04-BCF8-BB1EDA63D319}"/>
    <cellStyle name="Normal 5 11 8 2 2" xfId="7116" xr:uid="{6688D341-E701-40DA-8F7D-9591CF9E3F4E}"/>
    <cellStyle name="Normal 5 11 8 3" xfId="5396" xr:uid="{8F290C68-FFA8-4B1A-8AED-4F8C4D0219DA}"/>
    <cellStyle name="Normal 5 11 9" xfId="1944" xr:uid="{C433F75E-6943-461A-9D9B-F0CC59D89D59}"/>
    <cellStyle name="Normal 5 11 9 2" xfId="5615" xr:uid="{949DAE8F-7AAD-4BEA-9B27-D70B48D64C4D}"/>
    <cellStyle name="Normal 5 12" xfId="204" xr:uid="{875E529D-A723-4471-9ECD-04A44D3BD844}"/>
    <cellStyle name="Normal 5 12 10" xfId="3933" xr:uid="{80CA8FCC-0E3D-491B-BF73-470DFD20A51A}"/>
    <cellStyle name="Normal 5 12 2" xfId="450" xr:uid="{D31A5D6F-9B40-4E34-ACA0-6B22E1E9577D}"/>
    <cellStyle name="Normal 5 12 2 2" xfId="2149" xr:uid="{6AD3BA89-970D-4292-B96C-08F11848ED74}"/>
    <cellStyle name="Normal 5 12 2 2 2" xfId="5820" xr:uid="{06F4DF3A-083C-4FC7-970F-239C3CB176C5}"/>
    <cellStyle name="Normal 5 12 2 3" xfId="4113" xr:uid="{7EECF7F2-CD19-4476-A7A4-4F9BC6C1FE34}"/>
    <cellStyle name="Normal 5 12 3" xfId="646" xr:uid="{D28705F5-0429-405F-8CD3-837298DA3766}"/>
    <cellStyle name="Normal 5 12 3 2" xfId="2367" xr:uid="{08F866A7-C96C-413C-BAC8-21A612465F45}"/>
    <cellStyle name="Normal 5 12 3 2 2" xfId="6038" xr:uid="{CE8DEC1B-E4FD-407F-857B-FD6C853E688A}"/>
    <cellStyle name="Normal 5 12 3 3" xfId="4319" xr:uid="{381EBCEA-5AF4-4014-BBE8-ADF3B7A0985E}"/>
    <cellStyle name="Normal 5 12 4" xfId="864" xr:uid="{E4113466-8E7A-4010-93F1-454CA7CE12CF}"/>
    <cellStyle name="Normal 5 12 4 2" xfId="2585" xr:uid="{2895479B-4DB5-4281-A732-6EA3A753C229}"/>
    <cellStyle name="Normal 5 12 4 2 2" xfId="6256" xr:uid="{CEEA2470-D9B7-4696-834C-CBD26786382C}"/>
    <cellStyle name="Normal 5 12 4 3" xfId="4537" xr:uid="{7DEA83D5-D51D-41F0-9F94-AF576553815D}"/>
    <cellStyle name="Normal 5 12 5" xfId="1082" xr:uid="{BD44AF38-2D14-43BD-919A-F819C2521E2D}"/>
    <cellStyle name="Normal 5 12 5 2" xfId="2803" xr:uid="{7EA82E01-24F8-4D1A-B271-152B73BAB7B2}"/>
    <cellStyle name="Normal 5 12 5 2 2" xfId="6474" xr:uid="{199B7AFD-27E6-44B1-860B-BEB54D1F26B1}"/>
    <cellStyle name="Normal 5 12 5 3" xfId="4755" xr:uid="{3CBA716B-3D87-4E4B-AC9D-CD18AA74C4AB}"/>
    <cellStyle name="Normal 5 12 6" xfId="1300" xr:uid="{7070272B-577C-42B6-B860-F5A667E719BA}"/>
    <cellStyle name="Normal 5 12 6 2" xfId="3021" xr:uid="{B114FD90-057B-4398-AF6C-43AF457A15AD}"/>
    <cellStyle name="Normal 5 12 6 2 2" xfId="6692" xr:uid="{56F7E1F0-8424-4933-9CAB-C5380DDC282A}"/>
    <cellStyle name="Normal 5 12 6 3" xfId="4973" xr:uid="{67D95B81-9B79-4471-A8C6-1F41F8F25F83}"/>
    <cellStyle name="Normal 5 12 7" xfId="1518" xr:uid="{663486E1-6C53-4EB9-B7EA-84164262C752}"/>
    <cellStyle name="Normal 5 12 7 2" xfId="3239" xr:uid="{A0DBAB1C-4EE4-448B-BE40-546BA4021E0C}"/>
    <cellStyle name="Normal 5 12 7 2 2" xfId="6910" xr:uid="{60A92EFC-4DB0-4A31-98B6-3402FD6BFEFF}"/>
    <cellStyle name="Normal 5 12 7 3" xfId="5191" xr:uid="{6C1D9EEC-AD95-48F5-ADE4-FFC847416A3E}"/>
    <cellStyle name="Normal 5 12 8" xfId="1737" xr:uid="{B48F1421-C629-4B02-B11C-1B3FD7FD0B27}"/>
    <cellStyle name="Normal 5 12 8 2" xfId="3458" xr:uid="{F9DDECE6-0CB7-4B10-B66D-397CE4FA1710}"/>
    <cellStyle name="Normal 5 12 8 2 2" xfId="7129" xr:uid="{E1615196-245B-4541-93CB-4C0369011BD5}"/>
    <cellStyle name="Normal 5 12 8 3" xfId="5409" xr:uid="{2598A2DC-8FDE-4A70-A728-A80293DFB75E}"/>
    <cellStyle name="Normal 5 12 9" xfId="1957" xr:uid="{744C6426-9269-498A-BA45-3B0399D52072}"/>
    <cellStyle name="Normal 5 12 9 2" xfId="5628" xr:uid="{3B6D9850-19C4-4673-9D8E-6B35ACD5F85E}"/>
    <cellStyle name="Normal 5 13" xfId="211" xr:uid="{2175EF34-4779-4CEC-9437-41368A93839B}"/>
    <cellStyle name="Normal 5 13 10" xfId="3938" xr:uid="{0FD29DB2-4EBD-42D9-97B1-4A8DBE00612D}"/>
    <cellStyle name="Normal 5 13 2" xfId="455" xr:uid="{D09A66D6-E7BE-4590-B35A-D9AA6AFD7A4D}"/>
    <cellStyle name="Normal 5 13 2 2" xfId="2154" xr:uid="{CC17CE8F-D7FB-4261-AFA5-471716713B06}"/>
    <cellStyle name="Normal 5 13 2 2 2" xfId="5825" xr:uid="{6497BD4D-0EC3-4245-AEC5-3117BF4BC73F}"/>
    <cellStyle name="Normal 5 13 2 3" xfId="4118" xr:uid="{49D31749-2A0F-4B30-A5BA-00388599A542}"/>
    <cellStyle name="Normal 5 13 3" xfId="651" xr:uid="{97CE2FA1-03D3-43DB-B8FA-88D2AE7AB29B}"/>
    <cellStyle name="Normal 5 13 3 2" xfId="2372" xr:uid="{03F2A376-5106-4714-974D-8CCBB254C890}"/>
    <cellStyle name="Normal 5 13 3 2 2" xfId="6043" xr:uid="{F0F1CAE4-3CE9-4F3B-B6A3-0DF0419665C2}"/>
    <cellStyle name="Normal 5 13 3 3" xfId="4324" xr:uid="{B3D89AF6-ECC9-4F72-A7CE-21DF918342FA}"/>
    <cellStyle name="Normal 5 13 4" xfId="869" xr:uid="{BF4BB0F2-FAEC-4FAA-80E5-E47D79376E9F}"/>
    <cellStyle name="Normal 5 13 4 2" xfId="2590" xr:uid="{4A02F1CF-C157-4868-8900-EE147935E0C2}"/>
    <cellStyle name="Normal 5 13 4 2 2" xfId="6261" xr:uid="{C7E52BD4-174E-437F-A1CE-1C0486F117CF}"/>
    <cellStyle name="Normal 5 13 4 3" xfId="4542" xr:uid="{49C37329-97BD-4EE5-803D-7B0A241BEC57}"/>
    <cellStyle name="Normal 5 13 5" xfId="1087" xr:uid="{8709C020-FB6C-4979-8892-4663BF3E3C20}"/>
    <cellStyle name="Normal 5 13 5 2" xfId="2808" xr:uid="{D0F73E35-0554-4E54-8175-C895DA965834}"/>
    <cellStyle name="Normal 5 13 5 2 2" xfId="6479" xr:uid="{EF1253BA-317A-412E-9FA6-D0880C80B016}"/>
    <cellStyle name="Normal 5 13 5 3" xfId="4760" xr:uid="{A031B441-D5C4-46EB-8AD5-5579A7CA12D7}"/>
    <cellStyle name="Normal 5 13 6" xfId="1305" xr:uid="{C3F5C6DB-665F-4982-A391-E804DA507E0F}"/>
    <cellStyle name="Normal 5 13 6 2" xfId="3026" xr:uid="{F9327B1C-F131-4E2E-AD25-490D6E80BA2B}"/>
    <cellStyle name="Normal 5 13 6 2 2" xfId="6697" xr:uid="{14D9C7FB-314A-4F05-BF3D-13B774F3035C}"/>
    <cellStyle name="Normal 5 13 6 3" xfId="4978" xr:uid="{283F5562-8D39-4AEF-8B89-40472BE66863}"/>
    <cellStyle name="Normal 5 13 7" xfId="1523" xr:uid="{F9512408-5BE2-4D93-A056-38FABEF12D7C}"/>
    <cellStyle name="Normal 5 13 7 2" xfId="3244" xr:uid="{8F72C35B-91EC-4077-BB21-FBC0C2630957}"/>
    <cellStyle name="Normal 5 13 7 2 2" xfId="6915" xr:uid="{8BEAED3F-DCAA-491C-BF9D-B8CCEB99AF27}"/>
    <cellStyle name="Normal 5 13 7 3" xfId="5196" xr:uid="{B97156CE-D1B7-4965-BD14-4BEBC0CC1A9B}"/>
    <cellStyle name="Normal 5 13 8" xfId="1742" xr:uid="{64D5D04C-2A44-480A-823E-1860B0953E03}"/>
    <cellStyle name="Normal 5 13 8 2" xfId="3463" xr:uid="{70A48912-8B7D-47AE-B808-0CA7EFE0B2FF}"/>
    <cellStyle name="Normal 5 13 8 2 2" xfId="7134" xr:uid="{758618A8-1E33-4EE0-A713-BD2003F623E8}"/>
    <cellStyle name="Normal 5 13 8 3" xfId="5414" xr:uid="{64575907-1704-4A3A-B97E-EFB34F651929}"/>
    <cellStyle name="Normal 5 13 9" xfId="1962" xr:uid="{716ADA7D-679E-4522-B102-D44388DDBAD5}"/>
    <cellStyle name="Normal 5 13 9 2" xfId="5633" xr:uid="{9F3AF837-6F0B-45C1-BBBE-619EACB7C402}"/>
    <cellStyle name="Normal 5 14" xfId="229" xr:uid="{B4D013D7-F388-482A-B7A8-428DD7F0FD67}"/>
    <cellStyle name="Normal 5 14 10" xfId="3956" xr:uid="{FBC9311B-823C-4FFB-95A4-2F4B82977049}"/>
    <cellStyle name="Normal 5 14 2" xfId="473" xr:uid="{0FD0A5A9-D539-4024-AB8A-FDA9189E8337}"/>
    <cellStyle name="Normal 5 14 2 2" xfId="2172" xr:uid="{3383A672-1788-4F5F-B983-04FC69947A20}"/>
    <cellStyle name="Normal 5 14 2 2 2" xfId="5843" xr:uid="{0C113462-3EB7-4C86-8F92-D6F7D9406BF2}"/>
    <cellStyle name="Normal 5 14 2 3" xfId="4136" xr:uid="{5DE2C9B8-ABFB-437A-A6A4-136F6621A5E2}"/>
    <cellStyle name="Normal 5 14 3" xfId="669" xr:uid="{372E6829-FD7F-4DCC-A690-61A49056CE38}"/>
    <cellStyle name="Normal 5 14 3 2" xfId="2390" xr:uid="{CDB6A8D9-B00E-463F-A3A0-DFE9CBB495EC}"/>
    <cellStyle name="Normal 5 14 3 2 2" xfId="6061" xr:uid="{FD04652A-F3A3-4169-AC02-C0A52D49EBC4}"/>
    <cellStyle name="Normal 5 14 3 3" xfId="4342" xr:uid="{1AD5C8D8-7D86-4873-A607-B5D4D49484B9}"/>
    <cellStyle name="Normal 5 14 4" xfId="887" xr:uid="{EF3311F2-7A2F-4B36-AC2D-373575C1A67D}"/>
    <cellStyle name="Normal 5 14 4 2" xfId="2608" xr:uid="{328E8EA4-42E4-4586-A38E-FDC2418A364F}"/>
    <cellStyle name="Normal 5 14 4 2 2" xfId="6279" xr:uid="{62661AC6-21EF-4233-8588-C5B25D10BF63}"/>
    <cellStyle name="Normal 5 14 4 3" xfId="4560" xr:uid="{92857103-B728-4E7F-8DF0-C8CD56E0C522}"/>
    <cellStyle name="Normal 5 14 5" xfId="1105" xr:uid="{836D7E35-F3BD-4A6A-87A7-2B1FA123CE90}"/>
    <cellStyle name="Normal 5 14 5 2" xfId="2826" xr:uid="{944532EE-ACE2-49C0-9F02-6463F3D92808}"/>
    <cellStyle name="Normal 5 14 5 2 2" xfId="6497" xr:uid="{2FD88A3A-26C6-4A29-9FFD-3157404718CA}"/>
    <cellStyle name="Normal 5 14 5 3" xfId="4778" xr:uid="{0FDAC6F3-B7D8-4D69-9299-9418E3BB8151}"/>
    <cellStyle name="Normal 5 14 6" xfId="1323" xr:uid="{0B5BA7E3-ECF5-4AC4-86AC-919021FDFF09}"/>
    <cellStyle name="Normal 5 14 6 2" xfId="3044" xr:uid="{BFD14EF0-5FBB-42A7-AA43-D922346FE0D6}"/>
    <cellStyle name="Normal 5 14 6 2 2" xfId="6715" xr:uid="{D41E7A4B-EB0C-4564-9B47-F9477C951E0A}"/>
    <cellStyle name="Normal 5 14 6 3" xfId="4996" xr:uid="{D39B2567-4A5C-4BD9-8837-D53E152F2D5B}"/>
    <cellStyle name="Normal 5 14 7" xfId="1541" xr:uid="{13F0DFAA-BD61-4B88-B55E-F252262C1550}"/>
    <cellStyle name="Normal 5 14 7 2" xfId="3262" xr:uid="{E9202A32-F421-407E-80CD-0187B451DD49}"/>
    <cellStyle name="Normal 5 14 7 2 2" xfId="6933" xr:uid="{D332587B-A266-4B6F-ADDF-B359E7E89F8C}"/>
    <cellStyle name="Normal 5 14 7 3" xfId="5214" xr:uid="{42B7AFD0-8A9E-4278-8A2E-AC07A172E52B}"/>
    <cellStyle name="Normal 5 14 8" xfId="1760" xr:uid="{2D689247-984E-4987-81AD-3E49DE9E4398}"/>
    <cellStyle name="Normal 5 14 8 2" xfId="3481" xr:uid="{40A2E50E-2296-4965-B526-0D16D6A0D3E3}"/>
    <cellStyle name="Normal 5 14 8 2 2" xfId="7152" xr:uid="{BE5699E6-CAA9-4DDE-88CB-59E0F9FC00F8}"/>
    <cellStyle name="Normal 5 14 8 3" xfId="5432" xr:uid="{640D4D98-C28B-4106-B2A7-EF98C72342FB}"/>
    <cellStyle name="Normal 5 14 9" xfId="1980" xr:uid="{1D8EE9BA-8A40-49C5-B08B-7C11F5D016CC}"/>
    <cellStyle name="Normal 5 14 9 2" xfId="5651" xr:uid="{577B58FD-062B-4EAA-B681-0A72A101D234}"/>
    <cellStyle name="Normal 5 15" xfId="242" xr:uid="{A580D5AB-CF73-46EB-B1E9-6AB6CD75A887}"/>
    <cellStyle name="Normal 5 15 10" xfId="3969" xr:uid="{C26775DE-5904-4F01-97CA-949C1EABD40F}"/>
    <cellStyle name="Normal 5 15 2" xfId="486" xr:uid="{B940EC20-FB41-430B-8CEE-07D9B6D98EF9}"/>
    <cellStyle name="Normal 5 15 2 2" xfId="2185" xr:uid="{E695EDEE-48AC-4466-822A-80DB1C8C22BC}"/>
    <cellStyle name="Normal 5 15 2 2 2" xfId="5856" xr:uid="{669C164E-2954-4758-AD51-A985FF536646}"/>
    <cellStyle name="Normal 5 15 2 3" xfId="4149" xr:uid="{2D1132ED-C91C-4B44-98FD-37FE87D2254F}"/>
    <cellStyle name="Normal 5 15 3" xfId="682" xr:uid="{63DFC8A9-CF54-474A-B30D-9FAD2F5CC616}"/>
    <cellStyle name="Normal 5 15 3 2" xfId="2403" xr:uid="{4D91E9F8-237A-48A5-A874-0BFC0745D060}"/>
    <cellStyle name="Normal 5 15 3 2 2" xfId="6074" xr:uid="{52859B99-1AF2-49F2-9878-A1D22E8537A9}"/>
    <cellStyle name="Normal 5 15 3 3" xfId="4355" xr:uid="{9CE88E37-554F-4A8D-956B-E945702C26A6}"/>
    <cellStyle name="Normal 5 15 4" xfId="900" xr:uid="{0781E1B5-1578-4B25-8C96-9EF28F560701}"/>
    <cellStyle name="Normal 5 15 4 2" xfId="2621" xr:uid="{72ED79B8-BD04-48FB-B09D-959F56368F77}"/>
    <cellStyle name="Normal 5 15 4 2 2" xfId="6292" xr:uid="{91AC19C7-AFB8-451A-A40F-7B95ECC58204}"/>
    <cellStyle name="Normal 5 15 4 3" xfId="4573" xr:uid="{F776F09B-908F-4A24-973A-52D52741FC16}"/>
    <cellStyle name="Normal 5 15 5" xfId="1118" xr:uid="{C530D145-1811-4845-95C8-DA48C6351816}"/>
    <cellStyle name="Normal 5 15 5 2" xfId="2839" xr:uid="{4C0EAE3C-CB91-454A-BFA6-13E9D569EE8C}"/>
    <cellStyle name="Normal 5 15 5 2 2" xfId="6510" xr:uid="{27E6316E-C524-47A2-A012-329EBFAEE6A1}"/>
    <cellStyle name="Normal 5 15 5 3" xfId="4791" xr:uid="{E37DAA7A-2E5C-4531-A9AC-46198470E5D5}"/>
    <cellStyle name="Normal 5 15 6" xfId="1336" xr:uid="{13DE3CA5-7F0B-455C-9411-E6C3B0DECC4A}"/>
    <cellStyle name="Normal 5 15 6 2" xfId="3057" xr:uid="{82CCACD3-9E82-42CD-90ED-47146F193B78}"/>
    <cellStyle name="Normal 5 15 6 2 2" xfId="6728" xr:uid="{52DDB6BC-72B5-44B2-A25B-2B9535ADF285}"/>
    <cellStyle name="Normal 5 15 6 3" xfId="5009" xr:uid="{C91F97E3-5CA4-4C62-8633-F18492D3F6F5}"/>
    <cellStyle name="Normal 5 15 7" xfId="1554" xr:uid="{0AA899AC-2230-4651-B4E5-E58D84D9626A}"/>
    <cellStyle name="Normal 5 15 7 2" xfId="3275" xr:uid="{1EED3CB2-22BA-4870-8E3A-99E9CBB6D54F}"/>
    <cellStyle name="Normal 5 15 7 2 2" xfId="6946" xr:uid="{CA0FC099-3B70-40F7-BF56-1A63BDB08DDC}"/>
    <cellStyle name="Normal 5 15 7 3" xfId="5227" xr:uid="{61AE54BA-2C30-4DF5-AE10-9D587B90E6ED}"/>
    <cellStyle name="Normal 5 15 8" xfId="1773" xr:uid="{CCDF58AA-2FA8-492F-A9EF-9B53BA81664F}"/>
    <cellStyle name="Normal 5 15 8 2" xfId="3494" xr:uid="{DBD55D90-BC87-4A56-AB8A-4E0EEF9E6885}"/>
    <cellStyle name="Normal 5 15 8 2 2" xfId="7165" xr:uid="{24F4310E-C57A-457A-BF4F-2F78077CF911}"/>
    <cellStyle name="Normal 5 15 8 3" xfId="5445" xr:uid="{7D1B3ECB-37BB-440C-8B5A-0E7C4D445BAD}"/>
    <cellStyle name="Normal 5 15 9" xfId="1993" xr:uid="{9354ADCD-A5B2-4EF4-AF34-136A65981EA2}"/>
    <cellStyle name="Normal 5 15 9 2" xfId="5664" xr:uid="{9EF0C4B0-16C3-4A4B-AD4C-972839F7202C}"/>
    <cellStyle name="Normal 5 16" xfId="255" xr:uid="{502BC1B3-34FE-4275-999A-8CFF8ABC0AEB}"/>
    <cellStyle name="Normal 5 16 2" xfId="695" xr:uid="{68284774-41B8-43BE-BE80-477EAF408125}"/>
    <cellStyle name="Normal 5 16 2 2" xfId="2416" xr:uid="{0A2B64C4-18B9-4742-B9B8-404BC969C290}"/>
    <cellStyle name="Normal 5 16 2 2 2" xfId="6087" xr:uid="{0627CE73-674C-4FF0-A406-A0C7976AC588}"/>
    <cellStyle name="Normal 5 16 2 3" xfId="4368" xr:uid="{4C04E29A-D214-4668-BCD1-96F26CA88A50}"/>
    <cellStyle name="Normal 5 16 3" xfId="913" xr:uid="{6DA2EA32-2B1C-40EA-964C-45F105F2C26B}"/>
    <cellStyle name="Normal 5 16 3 2" xfId="2634" xr:uid="{9D51A72A-5638-458F-A632-B89B44B4E825}"/>
    <cellStyle name="Normal 5 16 3 2 2" xfId="6305" xr:uid="{129D9A6B-5890-43F8-8A8A-7EED24AB6840}"/>
    <cellStyle name="Normal 5 16 3 3" xfId="4586" xr:uid="{5C61810C-F271-4423-AA7B-458CEA15DE20}"/>
    <cellStyle name="Normal 5 16 4" xfId="1131" xr:uid="{726F892B-9475-40B2-8D2B-DC69390CFD4A}"/>
    <cellStyle name="Normal 5 16 4 2" xfId="2852" xr:uid="{4130E977-1DC4-46EA-A8FA-7199FE254CEF}"/>
    <cellStyle name="Normal 5 16 4 2 2" xfId="6523" xr:uid="{6FB42982-26C7-4557-9649-E62A84BE852A}"/>
    <cellStyle name="Normal 5 16 4 3" xfId="4804" xr:uid="{F819EDB0-1682-48FD-96D4-E1612D93F8F1}"/>
    <cellStyle name="Normal 5 16 5" xfId="1349" xr:uid="{8E6D25B1-1C16-4BED-82F9-EEC97020511B}"/>
    <cellStyle name="Normal 5 16 5 2" xfId="3070" xr:uid="{9C4E8633-E980-4054-913B-B7704352B3E0}"/>
    <cellStyle name="Normal 5 16 5 2 2" xfId="6741" xr:uid="{DFC92C5D-33F9-484F-9FE8-B2079DF06959}"/>
    <cellStyle name="Normal 5 16 5 3" xfId="5022" xr:uid="{A683A64A-1B45-4C81-8A13-5F7FEC756FB2}"/>
    <cellStyle name="Normal 5 16 6" xfId="1567" xr:uid="{8D83FEF2-875D-4551-B9D6-06F644415D0B}"/>
    <cellStyle name="Normal 5 16 6 2" xfId="3288" xr:uid="{7BFF9881-785C-49CE-AB36-BE90318579D1}"/>
    <cellStyle name="Normal 5 16 6 2 2" xfId="6959" xr:uid="{E28DB5AB-5F2F-4A6C-BECB-B81EF41C11D6}"/>
    <cellStyle name="Normal 5 16 6 3" xfId="5240" xr:uid="{596FC147-B6B6-453C-BE57-0E46854716F8}"/>
    <cellStyle name="Normal 5 16 7" xfId="1786" xr:uid="{6774F948-B6F7-4B63-9863-617BD73D1301}"/>
    <cellStyle name="Normal 5 16 7 2" xfId="3507" xr:uid="{BC3562B0-5C89-4B9A-BB69-1DE07B1EB30F}"/>
    <cellStyle name="Normal 5 16 7 2 2" xfId="7178" xr:uid="{F57FB4EF-3603-48C3-8312-E77033F54291}"/>
    <cellStyle name="Normal 5 16 7 3" xfId="5458" xr:uid="{96769D7E-4390-496C-99FA-462B8553E3BC}"/>
    <cellStyle name="Normal 5 16 8" xfId="2198" xr:uid="{B5EBAE0B-D678-43F2-9813-ADBD10B6808F}"/>
    <cellStyle name="Normal 5 16 8 2" xfId="5869" xr:uid="{D311F2C5-5636-4BDE-BC4A-E4EB3AE9ABEA}"/>
    <cellStyle name="Normal 5 16 9" xfId="4162" xr:uid="{701DF27B-7372-4F63-B9F6-16503DA7309D}"/>
    <cellStyle name="Normal 5 17" xfId="268" xr:uid="{9DB18AFB-6019-4EF1-9FBD-21A24BCBFD40}"/>
    <cellStyle name="Normal 5 17 2" xfId="708" xr:uid="{6C94FE11-8942-4EFF-8722-C11F13356682}"/>
    <cellStyle name="Normal 5 17 2 2" xfId="2429" xr:uid="{56576D3E-E2B9-47FF-8AC3-BD3820590443}"/>
    <cellStyle name="Normal 5 17 2 2 2" xfId="6100" xr:uid="{9B35B428-B592-4560-9B55-1D8A5E6F000B}"/>
    <cellStyle name="Normal 5 17 2 3" xfId="4381" xr:uid="{818F27BD-B2BD-4311-A9CE-815029A2081F}"/>
    <cellStyle name="Normal 5 17 3" xfId="926" xr:uid="{EA5A3334-99B9-44EA-ADFE-834485DE53DE}"/>
    <cellStyle name="Normal 5 17 3 2" xfId="2647" xr:uid="{5ABF1DB8-9FB2-4DC4-BB5F-89F7C1133D72}"/>
    <cellStyle name="Normal 5 17 3 2 2" xfId="6318" xr:uid="{2C2EB3AF-F57C-4D68-8F19-0E5CBB293992}"/>
    <cellStyle name="Normal 5 17 3 3" xfId="4599" xr:uid="{9271883A-1E1E-462F-960F-61CEDE9D9C78}"/>
    <cellStyle name="Normal 5 17 4" xfId="1144" xr:uid="{8CE752AC-EEFC-48D4-BBD0-FAEC26D8D3F2}"/>
    <cellStyle name="Normal 5 17 4 2" xfId="2865" xr:uid="{21B09070-0E64-42C1-A50A-13C192A6F338}"/>
    <cellStyle name="Normal 5 17 4 2 2" xfId="6536" xr:uid="{7DAA78ED-F31B-4038-85A6-FFFFF48DE5DA}"/>
    <cellStyle name="Normal 5 17 4 3" xfId="4817" xr:uid="{D04F52CF-D452-44D0-AEF3-6318BC99115B}"/>
    <cellStyle name="Normal 5 17 5" xfId="1362" xr:uid="{16C27578-FF34-4627-AC2D-E6F111AC131B}"/>
    <cellStyle name="Normal 5 17 5 2" xfId="3083" xr:uid="{605A306D-6A84-4CFA-9AAA-E0DA3513FDEF}"/>
    <cellStyle name="Normal 5 17 5 2 2" xfId="6754" xr:uid="{655534C0-4525-402C-9BEB-6C1C11FDD638}"/>
    <cellStyle name="Normal 5 17 5 3" xfId="5035" xr:uid="{D89FD5D1-C803-4E86-BA10-D5C6B14D11A0}"/>
    <cellStyle name="Normal 5 17 6" xfId="1580" xr:uid="{62F07599-B6FB-4A1F-AF0C-431E73A541A9}"/>
    <cellStyle name="Normal 5 17 6 2" xfId="3301" xr:uid="{58D5A529-0863-43FD-9A3D-E3B6EC9CFADD}"/>
    <cellStyle name="Normal 5 17 6 2 2" xfId="6972" xr:uid="{FCD7D96E-65B8-4446-85F6-BE977266F538}"/>
    <cellStyle name="Normal 5 17 6 3" xfId="5253" xr:uid="{51FE149E-831E-4039-8BE0-6E226106E8F2}"/>
    <cellStyle name="Normal 5 17 7" xfId="1799" xr:uid="{F03853FB-1567-46AA-A861-C2E0F9CE03B4}"/>
    <cellStyle name="Normal 5 17 7 2" xfId="3520" xr:uid="{540AFE6F-70BA-44E2-9A42-0FD0D7E4EEE0}"/>
    <cellStyle name="Normal 5 17 7 2 2" xfId="7191" xr:uid="{E79A1D80-E0D6-427D-B9DD-9EEB2C68E1CD}"/>
    <cellStyle name="Normal 5 17 7 3" xfId="5471" xr:uid="{B7764A7F-BF8A-43AE-9E1B-A2E546B34BDD}"/>
    <cellStyle name="Normal 5 17 8" xfId="2211" xr:uid="{4CD95BC5-9F43-47EC-8C17-4B9037E9B9FB}"/>
    <cellStyle name="Normal 5 17 8 2" xfId="5882" xr:uid="{F37453E6-A852-443B-B929-5508F1FE78B0}"/>
    <cellStyle name="Normal 5 17 9" xfId="4175" xr:uid="{333C7D9A-E5FA-47A2-ABBB-CC9CFA5B163E}"/>
    <cellStyle name="Normal 5 18" xfId="61" xr:uid="{92900543-7B0E-40B2-BB83-A3AB86803DAD}"/>
    <cellStyle name="Normal 5 18 2" xfId="2006" xr:uid="{E88EBE77-C2FF-4AB2-85E1-148B5269DA5E}"/>
    <cellStyle name="Normal 5 18 2 2" xfId="5677" xr:uid="{DFDFAFA9-045C-41BC-BD1B-1390178E1A5C}"/>
    <cellStyle name="Normal 5 18 3" xfId="3982" xr:uid="{5DA2CCE6-5884-43EB-9742-CA048BDEFC10}"/>
    <cellStyle name="Normal 5 19" xfId="503" xr:uid="{1D9E51D1-92BB-40FF-87D1-4764743E887E}"/>
    <cellStyle name="Normal 5 19 2" xfId="2224" xr:uid="{1003BABF-815A-4502-A367-0FCC67FE51BD}"/>
    <cellStyle name="Normal 5 19 2 2" xfId="5895" xr:uid="{75A849D8-8C99-4AEF-BDBF-9C01113E047A}"/>
    <cellStyle name="Normal 5 19 3" xfId="4188" xr:uid="{03F4F2D0-4931-45D4-B3FE-01DA1F16FCA9}"/>
    <cellStyle name="Normal 5 2" xfId="74" xr:uid="{8A1B6723-07D9-4937-8BF4-18F09E150235}"/>
    <cellStyle name="Normal 5 2 10" xfId="1827" xr:uid="{471815D9-8171-4F4F-A1C7-D99AE13F574B}"/>
    <cellStyle name="Normal 5 2 10 2" xfId="5498" xr:uid="{F96C64DE-91D2-4A6A-9382-9B7B5494B79F}"/>
    <cellStyle name="Normal 5 2 11" xfId="276" xr:uid="{398DA9D7-0106-42AA-AF4F-40AB24951B95}"/>
    <cellStyle name="Normal 5 2 11 2" xfId="3803" xr:uid="{FF9842A5-14DC-415B-9FE4-5494AA1CBE59}"/>
    <cellStyle name="Normal 5 2 2" xfId="216" xr:uid="{549CA361-2D36-43BB-AEF9-172135EB83F2}"/>
    <cellStyle name="Normal 5 2 2 10" xfId="3943" xr:uid="{A03F13C5-DA08-44E4-AE4B-E19B24643569}"/>
    <cellStyle name="Normal 5 2 2 2" xfId="460" xr:uid="{34977577-657E-461B-983A-0ED0A8FCF0F2}"/>
    <cellStyle name="Normal 5 2 2 2 2" xfId="2159" xr:uid="{52C993C5-8B68-46D0-8BDB-4436DC8B036A}"/>
    <cellStyle name="Normal 5 2 2 2 2 2" xfId="5830" xr:uid="{9346704B-0B4A-42AE-A0F6-E5D3FBCBA114}"/>
    <cellStyle name="Normal 5 2 2 2 3" xfId="4123" xr:uid="{3B932D77-9450-4AE0-93AC-47AFAABEAA27}"/>
    <cellStyle name="Normal 5 2 2 3" xfId="656" xr:uid="{C881697C-D6F0-435C-8CB9-E6302A55F37B}"/>
    <cellStyle name="Normal 5 2 2 3 2" xfId="2377" xr:uid="{7CC57616-668F-45C3-B71B-CB9172249443}"/>
    <cellStyle name="Normal 5 2 2 3 2 2" xfId="6048" xr:uid="{E8B5D780-876A-4BEB-BB00-4E73D7CD1BF8}"/>
    <cellStyle name="Normal 5 2 2 3 3" xfId="4329" xr:uid="{73654057-CB0B-4991-A771-D16B16F2C9BA}"/>
    <cellStyle name="Normal 5 2 2 4" xfId="874" xr:uid="{43AC0BAB-6B3F-4C55-AC56-06AF93495A14}"/>
    <cellStyle name="Normal 5 2 2 4 2" xfId="2595" xr:uid="{5CC66156-44D2-49A0-ABCC-B00EE72C131E}"/>
    <cellStyle name="Normal 5 2 2 4 2 2" xfId="6266" xr:uid="{ED58D95A-A9DF-490A-B937-020A29BC0EB1}"/>
    <cellStyle name="Normal 5 2 2 4 3" xfId="4547" xr:uid="{739EA5F9-BD51-4822-92A9-EA81435C89D0}"/>
    <cellStyle name="Normal 5 2 2 5" xfId="1092" xr:uid="{7A59D9A5-70B1-418F-A9AB-AC91204F7209}"/>
    <cellStyle name="Normal 5 2 2 5 2" xfId="2813" xr:uid="{AE3C8F80-3CFC-4B3D-BE45-918DF68138D4}"/>
    <cellStyle name="Normal 5 2 2 5 2 2" xfId="6484" xr:uid="{39785A76-A926-47CD-A509-7E6918ABE63A}"/>
    <cellStyle name="Normal 5 2 2 5 3" xfId="4765" xr:uid="{9EE1FDA8-B19A-44AA-9CCD-5DEBE775D921}"/>
    <cellStyle name="Normal 5 2 2 6" xfId="1310" xr:uid="{F37FC1BB-DE55-46AA-B3EC-DC033F726463}"/>
    <cellStyle name="Normal 5 2 2 6 2" xfId="3031" xr:uid="{5AD5A6F4-2329-4F27-9D47-BAC5684A6D1E}"/>
    <cellStyle name="Normal 5 2 2 6 2 2" xfId="6702" xr:uid="{94D0DFC3-6923-48D1-9BB6-4FFD8FB99FEB}"/>
    <cellStyle name="Normal 5 2 2 6 3" xfId="4983" xr:uid="{4533C440-EB37-432F-AB85-C02B056F27FA}"/>
    <cellStyle name="Normal 5 2 2 7" xfId="1528" xr:uid="{E09FCFC9-C73C-4D7D-8C8F-1C7B9B96B878}"/>
    <cellStyle name="Normal 5 2 2 7 2" xfId="3249" xr:uid="{6D2E0BD9-ADB4-42D0-94DB-A6EBC5199ACB}"/>
    <cellStyle name="Normal 5 2 2 7 2 2" xfId="6920" xr:uid="{B8814323-0EAC-4745-9213-725583966FB8}"/>
    <cellStyle name="Normal 5 2 2 7 3" xfId="5201" xr:uid="{BB24DBCC-01E1-4215-82B5-38E5776C2F9C}"/>
    <cellStyle name="Normal 5 2 2 8" xfId="1747" xr:uid="{8C964874-32B3-4BEF-9142-B8712D930363}"/>
    <cellStyle name="Normal 5 2 2 8 2" xfId="3468" xr:uid="{CB065139-DB5A-4C60-8FEA-1FFC6D1A4806}"/>
    <cellStyle name="Normal 5 2 2 8 2 2" xfId="7139" xr:uid="{3A7B73FB-DF90-4E5F-85B5-EA5F6D8F190A}"/>
    <cellStyle name="Normal 5 2 2 8 3" xfId="5419" xr:uid="{0CC7A110-FF98-4C41-8BA7-C9CB2247389C}"/>
    <cellStyle name="Normal 5 2 2 9" xfId="1967" xr:uid="{4DA10070-CF13-4360-B7E8-F722AAA9AC70}"/>
    <cellStyle name="Normal 5 2 2 9 2" xfId="5638" xr:uid="{6E82B6F9-C80C-415B-A172-5CA5ED6DA594}"/>
    <cellStyle name="Normal 5 2 3" xfId="320" xr:uid="{9581B95F-FE98-4444-AE96-AE8E6461E323}"/>
    <cellStyle name="Normal 5 2 3 2" xfId="2019" xr:uid="{14A1E54B-C319-4903-9090-A605C8B2BF28}"/>
    <cellStyle name="Normal 5 2 3 2 2" xfId="5690" xr:uid="{CA026830-5529-4B7B-90D0-31B0CC6A575A}"/>
    <cellStyle name="Normal 5 2 3 3" xfId="3990" xr:uid="{15F34179-B05E-49E3-B2D4-453C6908B2ED}"/>
    <cellStyle name="Normal 5 2 4" xfId="516" xr:uid="{40F12D7D-4645-425D-B800-3162928F30A4}"/>
    <cellStyle name="Normal 5 2 4 2" xfId="2237" xr:uid="{C85A3048-70A2-42E0-BAEE-870189E9864D}"/>
    <cellStyle name="Normal 5 2 4 2 2" xfId="5908" xr:uid="{EDD22BF3-54ED-4BC0-95B8-92837556E3B4}"/>
    <cellStyle name="Normal 5 2 4 3" xfId="4196" xr:uid="{145A9EB1-27D4-4519-9C24-E85E15DD1854}"/>
    <cellStyle name="Normal 5 2 5" xfId="734" xr:uid="{CC333193-4DE4-461C-89FD-23BFC2B08A1D}"/>
    <cellStyle name="Normal 5 2 5 2" xfId="2455" xr:uid="{74BCBEA6-E48B-42F4-B061-96B91516EF96}"/>
    <cellStyle name="Normal 5 2 5 2 2" xfId="6126" xr:uid="{920414DA-51DB-4CE1-A1B8-90FDC54C6E10}"/>
    <cellStyle name="Normal 5 2 5 3" xfId="4407" xr:uid="{4685EF3E-F5ED-49F3-8767-6E17B45E984D}"/>
    <cellStyle name="Normal 5 2 6" xfId="952" xr:uid="{655F21E2-D303-4FB8-BD2C-3D9AF46219AE}"/>
    <cellStyle name="Normal 5 2 6 2" xfId="2673" xr:uid="{A599F227-8004-4DC2-969F-7E6570E79E76}"/>
    <cellStyle name="Normal 5 2 6 2 2" xfId="6344" xr:uid="{D19EB783-8074-4349-82F8-4339D7EBE51C}"/>
    <cellStyle name="Normal 5 2 6 3" xfId="4625" xr:uid="{F2521656-E27B-40EC-8F38-3BD84A1A88B5}"/>
    <cellStyle name="Normal 5 2 7" xfId="1170" xr:uid="{A4728DED-9125-49AB-A107-9AC5AA427028}"/>
    <cellStyle name="Normal 5 2 7 2" xfId="2891" xr:uid="{A5E3FC98-64B8-4B28-9240-D3C2BAB1C440}"/>
    <cellStyle name="Normal 5 2 7 2 2" xfId="6562" xr:uid="{01DFBB70-0659-40DA-A475-28B21C02AB8E}"/>
    <cellStyle name="Normal 5 2 7 3" xfId="4843" xr:uid="{57244C76-90D4-4ABE-A690-9A9876B61484}"/>
    <cellStyle name="Normal 5 2 8" xfId="1388" xr:uid="{E8D4E718-F509-458B-8871-FE32816ADED9}"/>
    <cellStyle name="Normal 5 2 8 2" xfId="3109" xr:uid="{77DE9E5E-2430-444F-A9F2-D192A7A7A994}"/>
    <cellStyle name="Normal 5 2 8 2 2" xfId="6780" xr:uid="{A378EBCF-A5EE-454F-B9B8-C42E42B01557}"/>
    <cellStyle name="Normal 5 2 8 3" xfId="5061" xr:uid="{7903BE07-9546-4421-8F4C-C5B89AAE8EE0}"/>
    <cellStyle name="Normal 5 2 9" xfId="1607" xr:uid="{46692944-0C63-41C4-A8D6-5874E93C0EB9}"/>
    <cellStyle name="Normal 5 2 9 2" xfId="3328" xr:uid="{67F03132-8EAA-4713-804D-A61EA5014725}"/>
    <cellStyle name="Normal 5 2 9 2 2" xfId="6999" xr:uid="{17C6AAEB-ED89-4E5F-B80C-031503E3360C}"/>
    <cellStyle name="Normal 5 2 9 3" xfId="5279" xr:uid="{AE940ACA-D3C1-4DD7-9618-FAA31916C124}"/>
    <cellStyle name="Normal 5 20" xfId="721" xr:uid="{B8138CB3-4B46-4BC1-B4BE-40B01FAAC926}"/>
    <cellStyle name="Normal 5 20 2" xfId="2442" xr:uid="{D50BFE60-7F41-40A8-8F37-BAE14A44E989}"/>
    <cellStyle name="Normal 5 20 2 2" xfId="6113" xr:uid="{6094E471-3703-43B0-871F-7548E20F1114}"/>
    <cellStyle name="Normal 5 20 3" xfId="4394" xr:uid="{141D945A-663F-4123-9390-1E2F5D2CCB3C}"/>
    <cellStyle name="Normal 5 21" xfId="939" xr:uid="{6578DE2E-76A7-48B0-8BF6-DA225B26D6F8}"/>
    <cellStyle name="Normal 5 21 2" xfId="2660" xr:uid="{BBFAC413-AD13-494F-83EB-FF5EADDFD39E}"/>
    <cellStyle name="Normal 5 21 2 2" xfId="6331" xr:uid="{81DE4BEE-1226-489A-8D11-E93FDCDC60FA}"/>
    <cellStyle name="Normal 5 21 3" xfId="4612" xr:uid="{67F294A9-C09A-4705-8A23-CB0A114B77AC}"/>
    <cellStyle name="Normal 5 22" xfId="1157" xr:uid="{AAD1B4B9-F57E-4105-BB98-FEA7F4B61345}"/>
    <cellStyle name="Normal 5 22 2" xfId="2878" xr:uid="{111AB5EC-969E-40DD-A051-7E824C41D3E8}"/>
    <cellStyle name="Normal 5 22 2 2" xfId="6549" xr:uid="{01279DD9-B414-4108-B8A2-D4C76C273AD4}"/>
    <cellStyle name="Normal 5 22 3" xfId="4830" xr:uid="{F81A3BDA-B374-49B7-8E8E-7677696B9318}"/>
    <cellStyle name="Normal 5 23" xfId="1375" xr:uid="{47303080-7F16-46BB-AF9B-AE2AA93E8DD8}"/>
    <cellStyle name="Normal 5 23 2" xfId="3096" xr:uid="{332BE86E-4FA2-4FA9-AE6E-7C1C45BAAE34}"/>
    <cellStyle name="Normal 5 23 2 2" xfId="6767" xr:uid="{02AA0999-1206-4A02-AA8E-C543F35FFBED}"/>
    <cellStyle name="Normal 5 23 3" xfId="5048" xr:uid="{336E97CE-0B31-4FE2-A36A-49B118E59A77}"/>
    <cellStyle name="Normal 5 24" xfId="1594" xr:uid="{D40E9F83-73D9-4E5C-90FB-052F0A30E961}"/>
    <cellStyle name="Normal 5 24 2" xfId="3315" xr:uid="{5F0AC84C-C370-46B9-917B-801DEA127979}"/>
    <cellStyle name="Normal 5 24 2 2" xfId="6986" xr:uid="{CFD98D6C-8DC6-4CE0-910B-E79C205294D0}"/>
    <cellStyle name="Normal 5 24 3" xfId="5266" xr:uid="{7FE49E26-3CE6-48A5-874F-F37F1D1A690E}"/>
    <cellStyle name="Normal 5 25" xfId="1814" xr:uid="{89813284-FDBE-463F-A447-1BFFFAEA3CB8}"/>
    <cellStyle name="Normal 5 25 2" xfId="5485" xr:uid="{89E0E389-DB63-435B-9AAD-1DB4E4C277B5}"/>
    <cellStyle name="Normal 5 26" xfId="3790" xr:uid="{4D830978-3E0F-4B00-94F9-0560EB6344F9}"/>
    <cellStyle name="Normal 5 3" xfId="87" xr:uid="{7AD199FF-C3D8-4AD5-9F16-353FA9EF0F84}"/>
    <cellStyle name="Normal 5 3 10" xfId="283" xr:uid="{94CF3CBC-F133-4CA3-A1FF-00AFAA4D084E}"/>
    <cellStyle name="Normal 5 3 10 2" xfId="3816" xr:uid="{2628CD8F-DFD0-435E-BCBA-A0878E9EFDA0}"/>
    <cellStyle name="Normal 5 3 2" xfId="333" xr:uid="{D0A18EE3-85ED-4181-B9D5-212F18386FC0}"/>
    <cellStyle name="Normal 5 3 2 2" xfId="2032" xr:uid="{8FD3D4EA-70A5-4D12-98E4-61098877E931}"/>
    <cellStyle name="Normal 5 3 2 2 2" xfId="5703" xr:uid="{EDC1E724-597D-45DE-A8DE-C15207CFA81A}"/>
    <cellStyle name="Normal 5 3 2 3" xfId="3543" xr:uid="{F6DF9F1C-8F61-438C-99F5-854F41C4F6B4}"/>
    <cellStyle name="Normal 5 3 2 3 2" xfId="3999" xr:uid="{B915EB23-2633-436C-B562-2C4A1FC0D2FC}"/>
    <cellStyle name="Normal 5 3 3" xfId="529" xr:uid="{A3DC8B37-293B-4E1F-B868-A4E3042E953A}"/>
    <cellStyle name="Normal 5 3 3 2" xfId="2250" xr:uid="{B9FCCE0F-5D0F-4319-AC56-9262709A925C}"/>
    <cellStyle name="Normal 5 3 3 2 2" xfId="5921" xr:uid="{65CB4722-3550-4B85-916E-A6DDED6DC2B6}"/>
    <cellStyle name="Normal 5 3 3 3" xfId="4205" xr:uid="{E92991AF-0E30-449B-9124-29325CA50CCE}"/>
    <cellStyle name="Normal 5 3 4" xfId="747" xr:uid="{B8435696-9824-46A5-8696-55EE5DA591D4}"/>
    <cellStyle name="Normal 5 3 4 2" xfId="2468" xr:uid="{B24A4BFA-A5AD-404F-B32B-9A6BB1732BC1}"/>
    <cellStyle name="Normal 5 3 4 2 2" xfId="6139" xr:uid="{01849EC5-BA99-42CD-9EE1-3EDCDE453467}"/>
    <cellStyle name="Normal 5 3 4 3" xfId="4420" xr:uid="{E0CE9CE8-6884-4F62-83A5-D40A291F477F}"/>
    <cellStyle name="Normal 5 3 5" xfId="965" xr:uid="{33967C1B-3617-49B0-A49F-587BD71F4B0F}"/>
    <cellStyle name="Normal 5 3 5 2" xfId="2686" xr:uid="{A308D3A2-9F64-43A8-90AB-BC031392B0EE}"/>
    <cellStyle name="Normal 5 3 5 2 2" xfId="6357" xr:uid="{A887403A-F89D-49D0-BA72-EBA670E6001F}"/>
    <cellStyle name="Normal 5 3 5 3" xfId="4638" xr:uid="{A272EF91-FDC9-4616-AB8A-EC954CB1E5DB}"/>
    <cellStyle name="Normal 5 3 6" xfId="1183" xr:uid="{49B2FEA9-C2D1-40B2-99A9-4BA864B05951}"/>
    <cellStyle name="Normal 5 3 6 2" xfId="2904" xr:uid="{5A4C1785-BB8A-4055-997B-F2BA8B4D100F}"/>
    <cellStyle name="Normal 5 3 6 2 2" xfId="6575" xr:uid="{D62DDE61-8F95-4315-9F7B-F38D3D4A6B1D}"/>
    <cellStyle name="Normal 5 3 6 3" xfId="4856" xr:uid="{BAB1F62B-1935-4F63-9B9F-5F984FDDD144}"/>
    <cellStyle name="Normal 5 3 7" xfId="1401" xr:uid="{86E20BDC-447F-4658-A28C-7A0307E3D187}"/>
    <cellStyle name="Normal 5 3 7 2" xfId="3122" xr:uid="{8E447471-E2A1-4A3E-833B-ED0A1C281428}"/>
    <cellStyle name="Normal 5 3 7 2 2" xfId="6793" xr:uid="{02E70A66-2082-42E4-91C4-D206DB99E84A}"/>
    <cellStyle name="Normal 5 3 7 3" xfId="5074" xr:uid="{1DEE7A97-9E02-4A71-9ED6-C45692A7507C}"/>
    <cellStyle name="Normal 5 3 8" xfId="1620" xr:uid="{8EC77D93-DD2D-445C-93E8-782792DD0A19}"/>
    <cellStyle name="Normal 5 3 8 2" xfId="3341" xr:uid="{F6D61C87-1B53-4BF9-9D05-C07217608CC4}"/>
    <cellStyle name="Normal 5 3 8 2 2" xfId="7012" xr:uid="{70AC69DB-D6F3-44F1-9261-AB4071C2AD68}"/>
    <cellStyle name="Normal 5 3 8 3" xfId="5292" xr:uid="{28B3EE89-ECCC-4C68-AD92-93B7BFB86461}"/>
    <cellStyle name="Normal 5 3 9" xfId="1840" xr:uid="{E27D7CDF-1B31-4F34-B444-E4942F48626A}"/>
    <cellStyle name="Normal 5 3 9 2" xfId="5511" xr:uid="{41FC21C0-5B3C-49A7-BE81-B7D8FCCE6680}"/>
    <cellStyle name="Normal 5 4" xfId="100" xr:uid="{B55CC9AD-2F7F-46F4-BBA9-627E92E4E99D}"/>
    <cellStyle name="Normal 5 4 10" xfId="3829" xr:uid="{34F42D14-F578-4A69-BA80-CFEEAB81BB36}"/>
    <cellStyle name="Normal 5 4 2" xfId="346" xr:uid="{E3B95879-B16E-46B1-BC5A-0D0A7260971F}"/>
    <cellStyle name="Normal 5 4 2 2" xfId="2045" xr:uid="{555FA6EC-BC60-462B-978F-B9062429792F}"/>
    <cellStyle name="Normal 5 4 2 2 2" xfId="5716" xr:uid="{9E727740-32E8-4377-9F3D-971BF92AFE6A}"/>
    <cellStyle name="Normal 5 4 2 3" xfId="4009" xr:uid="{1F7EDA5B-E0B7-4629-9332-3DB558A7D457}"/>
    <cellStyle name="Normal 5 4 3" xfId="542" xr:uid="{0C95EBAE-7DF6-41D2-9E76-65393CA20EAD}"/>
    <cellStyle name="Normal 5 4 3 2" xfId="2263" xr:uid="{1E55D250-EEDC-4091-A331-2964F0C50937}"/>
    <cellStyle name="Normal 5 4 3 2 2" xfId="5934" xr:uid="{ECA2E18D-25DC-49A4-98A7-AA5E4F7F9490}"/>
    <cellStyle name="Normal 5 4 3 3" xfId="4215" xr:uid="{229FC804-2D8B-4C37-9580-7D46756341F8}"/>
    <cellStyle name="Normal 5 4 4" xfId="760" xr:uid="{ACCC7AB1-C2C8-4C86-B474-70EB7F730CB9}"/>
    <cellStyle name="Normal 5 4 4 2" xfId="2481" xr:uid="{6EAE9920-5D5C-4D85-BD6F-D67BA6C27A22}"/>
    <cellStyle name="Normal 5 4 4 2 2" xfId="6152" xr:uid="{27D54D2F-D1E6-4C62-B5C9-1101C744FF43}"/>
    <cellStyle name="Normal 5 4 4 3" xfId="4433" xr:uid="{24A86D28-B2D3-4A92-BE83-DFA3173AC953}"/>
    <cellStyle name="Normal 5 4 5" xfId="978" xr:uid="{CACD4AFC-E1A9-4968-A663-DA645790393B}"/>
    <cellStyle name="Normal 5 4 5 2" xfId="2699" xr:uid="{E73C7423-96E9-498E-AABC-855ED692AF91}"/>
    <cellStyle name="Normal 5 4 5 2 2" xfId="6370" xr:uid="{8F11EBE5-82EF-4F36-8115-CAF516F65573}"/>
    <cellStyle name="Normal 5 4 5 3" xfId="4651" xr:uid="{0B1923EB-A1EE-4F1B-A5BA-F860DD972C45}"/>
    <cellStyle name="Normal 5 4 6" xfId="1196" xr:uid="{F1D4EA6C-80CA-4C48-B7F2-253D89FCBC62}"/>
    <cellStyle name="Normal 5 4 6 2" xfId="2917" xr:uid="{593458E1-7774-429D-9EAA-6E47A6BE3DB3}"/>
    <cellStyle name="Normal 5 4 6 2 2" xfId="6588" xr:uid="{394A87BA-83FD-43A4-8D1D-DE424743A00A}"/>
    <cellStyle name="Normal 5 4 6 3" xfId="4869" xr:uid="{9F13FD8D-DE97-4B6D-8464-0390BC2BAF6D}"/>
    <cellStyle name="Normal 5 4 7" xfId="1414" xr:uid="{BD58CFA5-F8F7-4A9E-847E-39E5D1E291AC}"/>
    <cellStyle name="Normal 5 4 7 2" xfId="3135" xr:uid="{013AA05C-8EFF-4F4A-A33D-1E36BE9EC08C}"/>
    <cellStyle name="Normal 5 4 7 2 2" xfId="6806" xr:uid="{FE93173D-B583-41B7-913C-38FB7154D115}"/>
    <cellStyle name="Normal 5 4 7 3" xfId="5087" xr:uid="{CD0B61F8-6ABA-4AEF-85A1-9F51B0D5F982}"/>
    <cellStyle name="Normal 5 4 8" xfId="1633" xr:uid="{E61B61A6-6790-42CB-9B80-9730640349BC}"/>
    <cellStyle name="Normal 5 4 8 2" xfId="3354" xr:uid="{CFAA738B-267C-4FDA-83ED-935868B93444}"/>
    <cellStyle name="Normal 5 4 8 2 2" xfId="7025" xr:uid="{0EF224AC-5F97-441D-831B-2789CB5072F7}"/>
    <cellStyle name="Normal 5 4 8 3" xfId="5305" xr:uid="{ACC96B99-B110-4D40-AAE2-43BE1369E4AD}"/>
    <cellStyle name="Normal 5 4 9" xfId="1853" xr:uid="{D36871B0-799B-45E0-9AAF-4EAA7351A5F7}"/>
    <cellStyle name="Normal 5 4 9 2" xfId="5524" xr:uid="{6185A6EF-C00F-4983-B8E9-65D0DF937784}"/>
    <cellStyle name="Normal 5 5" xfId="113" xr:uid="{4EEBE774-D37F-4B39-9E73-BA329F64048B}"/>
    <cellStyle name="Normal 5 5 10" xfId="3842" xr:uid="{801307A5-C6BF-4928-9486-B268095B74CC}"/>
    <cellStyle name="Normal 5 5 2" xfId="359" xr:uid="{EA2CFC17-FCEE-4FD9-AE80-EF8C7A4C0BB8}"/>
    <cellStyle name="Normal 5 5 2 2" xfId="2058" xr:uid="{C4886AF9-CB4E-4BB7-A7AD-73B8DD6AAFEA}"/>
    <cellStyle name="Normal 5 5 2 2 2" xfId="5729" xr:uid="{3F06E400-4CB2-4B4F-8EC1-64DF82A1D4B7}"/>
    <cellStyle name="Normal 5 5 2 3" xfId="4022" xr:uid="{1EB4A9CB-2CBF-4B62-8251-2970A68C75E4}"/>
    <cellStyle name="Normal 5 5 3" xfId="555" xr:uid="{F2F6A5B2-4302-4036-9241-2C76F9A6161D}"/>
    <cellStyle name="Normal 5 5 3 2" xfId="2276" xr:uid="{D14825BB-3C1B-4E7C-A570-7E6969EC3BF0}"/>
    <cellStyle name="Normal 5 5 3 2 2" xfId="5947" xr:uid="{9F735F54-639D-4C5A-8544-B51134B27345}"/>
    <cellStyle name="Normal 5 5 3 3" xfId="4228" xr:uid="{54016E9D-7C45-4B0F-8EA3-A37D40CF290A}"/>
    <cellStyle name="Normal 5 5 4" xfId="773" xr:uid="{7F972E48-B729-4C70-8FF7-6BA6E3CB558F}"/>
    <cellStyle name="Normal 5 5 4 2" xfId="2494" xr:uid="{D975B773-E4B2-4154-BEC7-08202DC75ECB}"/>
    <cellStyle name="Normal 5 5 4 2 2" xfId="6165" xr:uid="{F9BB8537-C07C-4CDF-B1DB-458370FD8560}"/>
    <cellStyle name="Normal 5 5 4 3" xfId="4446" xr:uid="{542255DC-4C7E-46F1-9F0F-EB1CC7B4DA49}"/>
    <cellStyle name="Normal 5 5 5" xfId="991" xr:uid="{3E263C01-9E61-4CE1-94D6-79411A974FA6}"/>
    <cellStyle name="Normal 5 5 5 2" xfId="2712" xr:uid="{018AA2BE-3A35-4928-943F-6D804E925FA4}"/>
    <cellStyle name="Normal 5 5 5 2 2" xfId="6383" xr:uid="{573E7115-11BE-49E4-A09C-791837ABC37D}"/>
    <cellStyle name="Normal 5 5 5 3" xfId="4664" xr:uid="{7162763C-0D9B-4AE6-A478-46A018C04D24}"/>
    <cellStyle name="Normal 5 5 6" xfId="1209" xr:uid="{83E74E74-D9B1-415F-B617-C27FCE0302D6}"/>
    <cellStyle name="Normal 5 5 6 2" xfId="2930" xr:uid="{6C9CF117-56A4-4E77-9808-99499C8BE197}"/>
    <cellStyle name="Normal 5 5 6 2 2" xfId="6601" xr:uid="{4CE6BD2F-1F98-45CD-AD50-A2D522396A3E}"/>
    <cellStyle name="Normal 5 5 6 3" xfId="4882" xr:uid="{8D9FADD4-C3BB-4FAB-A0D9-896C16680B46}"/>
    <cellStyle name="Normal 5 5 7" xfId="1427" xr:uid="{D1501CF9-3D0F-4B51-A314-618583AC2934}"/>
    <cellStyle name="Normal 5 5 7 2" xfId="3148" xr:uid="{86156081-2918-41EA-852C-30248D079D6E}"/>
    <cellStyle name="Normal 5 5 7 2 2" xfId="6819" xr:uid="{EDC20305-5314-4BA3-BD14-73DA03078DD0}"/>
    <cellStyle name="Normal 5 5 7 3" xfId="5100" xr:uid="{98928783-9F11-4012-84AB-C3E3E4D16E7F}"/>
    <cellStyle name="Normal 5 5 8" xfId="1646" xr:uid="{B38AE9C5-E7D0-4B26-B988-38EC9C269508}"/>
    <cellStyle name="Normal 5 5 8 2" xfId="3367" xr:uid="{086E69EC-247D-4CEC-B0D5-FFF8C6FC28DB}"/>
    <cellStyle name="Normal 5 5 8 2 2" xfId="7038" xr:uid="{93669145-57B8-4700-A78A-57A951C4B482}"/>
    <cellStyle name="Normal 5 5 8 3" xfId="5318" xr:uid="{D50B7201-D491-48C9-88E6-CA3704BDCC7F}"/>
    <cellStyle name="Normal 5 5 9" xfId="1866" xr:uid="{7DF96ABD-19C4-4E6B-921E-2865E89194BE}"/>
    <cellStyle name="Normal 5 5 9 2" xfId="5537" xr:uid="{65A379FC-BF95-4BB0-97EC-D775CF0BE1FA}"/>
    <cellStyle name="Normal 5 6" xfId="126" xr:uid="{EA176E0B-03B9-4D99-BBDB-053B7FEEEC09}"/>
    <cellStyle name="Normal 5 6 10" xfId="3855" xr:uid="{E8098D46-333C-43C6-A7D1-8C29B643D85D}"/>
    <cellStyle name="Normal 5 6 2" xfId="372" xr:uid="{09EAB457-5405-432C-8911-75D0FFF95A29}"/>
    <cellStyle name="Normal 5 6 2 2" xfId="2071" xr:uid="{C776C348-A975-488E-AE67-A122AA81FC29}"/>
    <cellStyle name="Normal 5 6 2 2 2" xfId="5742" xr:uid="{4B22F922-5DBF-4DBA-BAD6-45B61B5B560C}"/>
    <cellStyle name="Normal 5 6 2 3" xfId="4035" xr:uid="{A9EDF01A-7D75-42CE-8849-CF305294B47A}"/>
    <cellStyle name="Normal 5 6 3" xfId="568" xr:uid="{B0EFB29A-C90D-43F9-8E51-20039F5E80A7}"/>
    <cellStyle name="Normal 5 6 3 2" xfId="2289" xr:uid="{536CFA96-B5BA-436A-93DD-C6498EA7D59F}"/>
    <cellStyle name="Normal 5 6 3 2 2" xfId="5960" xr:uid="{8C8F9D50-8F9A-499C-851B-6A0967ED544C}"/>
    <cellStyle name="Normal 5 6 3 3" xfId="4241" xr:uid="{D553E5C0-D28A-4038-A6A1-37D1F27E7120}"/>
    <cellStyle name="Normal 5 6 4" xfId="786" xr:uid="{A455FFE0-FEA4-4C84-8D23-3839A0991879}"/>
    <cellStyle name="Normal 5 6 4 2" xfId="2507" xr:uid="{78D1EB6B-07B7-4C8F-BA7F-17F997515791}"/>
    <cellStyle name="Normal 5 6 4 2 2" xfId="6178" xr:uid="{09E20F8A-3149-4735-A952-B5E50071C100}"/>
    <cellStyle name="Normal 5 6 4 3" xfId="4459" xr:uid="{EC0AD5EF-417D-439C-A1F9-078CB0482D1A}"/>
    <cellStyle name="Normal 5 6 5" xfId="1004" xr:uid="{EB8E837C-5417-429D-B61A-5AE4719E6CBB}"/>
    <cellStyle name="Normal 5 6 5 2" xfId="2725" xr:uid="{1DCBFD71-1B62-469B-8304-A0EFEE16EBEB}"/>
    <cellStyle name="Normal 5 6 5 2 2" xfId="6396" xr:uid="{56C7E02C-A55F-4722-8AF5-5CD3B9BEF82E}"/>
    <cellStyle name="Normal 5 6 5 3" xfId="4677" xr:uid="{47155D60-B24B-4355-AC5C-E6C7E3740FE9}"/>
    <cellStyle name="Normal 5 6 6" xfId="1222" xr:uid="{EDFCE03F-A5E7-4CD9-AA26-E95648C1C376}"/>
    <cellStyle name="Normal 5 6 6 2" xfId="2943" xr:uid="{03BC7A9C-FE59-421E-98D1-5A2DEFA58936}"/>
    <cellStyle name="Normal 5 6 6 2 2" xfId="6614" xr:uid="{AAE4A5D0-26D2-470C-A93F-FEA2B62981D5}"/>
    <cellStyle name="Normal 5 6 6 3" xfId="4895" xr:uid="{37325E63-F989-43C3-85F6-469C5835BF36}"/>
    <cellStyle name="Normal 5 6 7" xfId="1440" xr:uid="{4DFB825B-FA8E-4514-BDF9-2AE99AD2518E}"/>
    <cellStyle name="Normal 5 6 7 2" xfId="3161" xr:uid="{303ADE36-95F1-497A-9EE0-1F2406978FFA}"/>
    <cellStyle name="Normal 5 6 7 2 2" xfId="6832" xr:uid="{17FA9C4F-F78D-4312-BF2D-FBFBA1808D8F}"/>
    <cellStyle name="Normal 5 6 7 3" xfId="5113" xr:uid="{AD58130D-7DA2-4F14-A171-A2337AFD02BC}"/>
    <cellStyle name="Normal 5 6 8" xfId="1659" xr:uid="{3F49F0AE-6390-4923-B90B-C91CD0ADC2F3}"/>
    <cellStyle name="Normal 5 6 8 2" xfId="3380" xr:uid="{ABD38855-AA4B-40E0-8758-2EA3F991AE59}"/>
    <cellStyle name="Normal 5 6 8 2 2" xfId="7051" xr:uid="{D5DCA794-723E-4E42-B821-F5A9F081A262}"/>
    <cellStyle name="Normal 5 6 8 3" xfId="5331" xr:uid="{141FD9E6-90E7-4A9D-B60A-46E73CE45B5A}"/>
    <cellStyle name="Normal 5 6 9" xfId="1879" xr:uid="{6933E6C6-1D15-4540-A402-FA04F13C27FD}"/>
    <cellStyle name="Normal 5 6 9 2" xfId="5550" xr:uid="{B5A0A0D2-015F-4FE0-BE9B-21FF2CDB9BEC}"/>
    <cellStyle name="Normal 5 7" xfId="139" xr:uid="{7F6F81E5-1859-4207-92C9-3A0E5225A785}"/>
    <cellStyle name="Normal 5 7 10" xfId="3868" xr:uid="{AFE959D9-0008-4293-8EE3-1211612B5C19}"/>
    <cellStyle name="Normal 5 7 2" xfId="385" xr:uid="{607EB9E0-6336-4279-9B56-12CFB6F65B9D}"/>
    <cellStyle name="Normal 5 7 2 2" xfId="2084" xr:uid="{7BDA0262-A1A3-4B36-AD30-935455368A9D}"/>
    <cellStyle name="Normal 5 7 2 2 2" xfId="5755" xr:uid="{CF7A16B0-8A97-4C20-850A-255A72C1C025}"/>
    <cellStyle name="Normal 5 7 2 3" xfId="4048" xr:uid="{27B7DBB6-03CA-49CC-9575-A0664CCEF1C8}"/>
    <cellStyle name="Normal 5 7 3" xfId="581" xr:uid="{336E764F-D98B-45D5-977B-11510CF05EAD}"/>
    <cellStyle name="Normal 5 7 3 2" xfId="2302" xr:uid="{0177E9C5-5226-4619-AD3E-466C5D934844}"/>
    <cellStyle name="Normal 5 7 3 2 2" xfId="5973" xr:uid="{685958C5-A661-416D-A9E7-A194903C2C09}"/>
    <cellStyle name="Normal 5 7 3 3" xfId="4254" xr:uid="{C34CAC07-263F-4797-B25A-7D2AF2060455}"/>
    <cellStyle name="Normal 5 7 4" xfId="799" xr:uid="{BA99FB92-5BCC-450C-93E3-E98B232058CA}"/>
    <cellStyle name="Normal 5 7 4 2" xfId="2520" xr:uid="{4A2AC074-DD54-450D-A925-7CCD73FF63BC}"/>
    <cellStyle name="Normal 5 7 4 2 2" xfId="6191" xr:uid="{9F7741D0-E321-4A57-8ED7-E1282141CDB4}"/>
    <cellStyle name="Normal 5 7 4 3" xfId="4472" xr:uid="{F8178C8B-64BE-4850-99D0-0C56980978F7}"/>
    <cellStyle name="Normal 5 7 5" xfId="1017" xr:uid="{E657190F-A455-4484-9AA2-EA5206CAC1CA}"/>
    <cellStyle name="Normal 5 7 5 2" xfId="2738" xr:uid="{B33D6EAB-94BE-47C5-B63D-5C641B87A382}"/>
    <cellStyle name="Normal 5 7 5 2 2" xfId="6409" xr:uid="{8520866E-3BBF-4609-86B2-EC84B6679670}"/>
    <cellStyle name="Normal 5 7 5 3" xfId="4690" xr:uid="{1AA73BBF-4FFE-4393-998B-BD8D04C79F9C}"/>
    <cellStyle name="Normal 5 7 6" xfId="1235" xr:uid="{AE6E7D80-F4B7-414A-A2F9-C8D77FCC0ACD}"/>
    <cellStyle name="Normal 5 7 6 2" xfId="2956" xr:uid="{8CD8E34B-3021-467D-B7CB-38147DD8BF4D}"/>
    <cellStyle name="Normal 5 7 6 2 2" xfId="6627" xr:uid="{A7DBF35C-B923-424D-B82F-8948CC8F09D5}"/>
    <cellStyle name="Normal 5 7 6 3" xfId="4908" xr:uid="{399792C4-71DE-42A7-8D0D-5556453B89AD}"/>
    <cellStyle name="Normal 5 7 7" xfId="1453" xr:uid="{B335280C-0B52-4D9A-9982-652529D19C6C}"/>
    <cellStyle name="Normal 5 7 7 2" xfId="3174" xr:uid="{94E281EC-5E02-4878-B6D0-00954C0FA1CE}"/>
    <cellStyle name="Normal 5 7 7 2 2" xfId="6845" xr:uid="{7A4C8BC4-0994-44A5-8962-721274DA50D1}"/>
    <cellStyle name="Normal 5 7 7 3" xfId="5126" xr:uid="{CF13F2BB-5E0E-4198-A9CF-B1D4CDF0A39D}"/>
    <cellStyle name="Normal 5 7 8" xfId="1672" xr:uid="{BF102ACC-9660-4709-A6C0-9EF3F66C807C}"/>
    <cellStyle name="Normal 5 7 8 2" xfId="3393" xr:uid="{8ABA1B2F-8CF1-4BE9-8489-144E09EB0BCB}"/>
    <cellStyle name="Normal 5 7 8 2 2" xfId="7064" xr:uid="{2FAA9401-17AC-4376-BF45-ACFA863CBE6B}"/>
    <cellStyle name="Normal 5 7 8 3" xfId="5344" xr:uid="{F78767B5-0A51-42BF-A197-5FD5F4372C2A}"/>
    <cellStyle name="Normal 5 7 9" xfId="1892" xr:uid="{C75AE853-6689-4525-BBE1-D1BC7B3973D0}"/>
    <cellStyle name="Normal 5 7 9 2" xfId="5563" xr:uid="{8E759920-D716-4E59-8B45-DF07080E94B5}"/>
    <cellStyle name="Normal 5 8" xfId="152" xr:uid="{0604F602-FBAF-4FAE-AE69-087C6CDB6C88}"/>
    <cellStyle name="Normal 5 8 10" xfId="3881" xr:uid="{FB9156DB-838F-4E1A-BB2A-3743F97139CB}"/>
    <cellStyle name="Normal 5 8 2" xfId="398" xr:uid="{1AD16A13-DC58-4A37-B248-CB8B46AD3538}"/>
    <cellStyle name="Normal 5 8 2 2" xfId="2097" xr:uid="{B31353F7-FA27-4FFC-AC16-18272526B5E4}"/>
    <cellStyle name="Normal 5 8 2 2 2" xfId="5768" xr:uid="{CF7B5890-A5B4-40D1-BBE4-02837A44C057}"/>
    <cellStyle name="Normal 5 8 2 3" xfId="4061" xr:uid="{B2D708AC-1DA2-49CC-9748-95EC6FFE80C5}"/>
    <cellStyle name="Normal 5 8 3" xfId="594" xr:uid="{BED8DD0E-61DD-46CA-A089-3B2E6B245322}"/>
    <cellStyle name="Normal 5 8 3 2" xfId="2315" xr:uid="{10ECF6C1-3667-4038-8210-D80A5C4533A9}"/>
    <cellStyle name="Normal 5 8 3 2 2" xfId="5986" xr:uid="{39F951F0-1347-4082-B7F9-6BF8A3A0FC3D}"/>
    <cellStyle name="Normal 5 8 3 3" xfId="4267" xr:uid="{E9ED4B58-BAA6-46A7-B0AE-E9D1D81D24B6}"/>
    <cellStyle name="Normal 5 8 4" xfId="812" xr:uid="{C783F993-68EB-40C5-BF26-1640274F1925}"/>
    <cellStyle name="Normal 5 8 4 2" xfId="2533" xr:uid="{DFDA552F-9590-4C4D-AF87-38BCD60A91C5}"/>
    <cellStyle name="Normal 5 8 4 2 2" xfId="6204" xr:uid="{50863990-B81E-49FC-98C8-DCC6E20E6C70}"/>
    <cellStyle name="Normal 5 8 4 3" xfId="4485" xr:uid="{023DE555-2528-4B34-ACD3-0E56EC5ACED9}"/>
    <cellStyle name="Normal 5 8 5" xfId="1030" xr:uid="{E2EC3BD6-6525-4438-A619-47824F0D35CC}"/>
    <cellStyle name="Normal 5 8 5 2" xfId="2751" xr:uid="{D0A392FC-4493-45BC-9538-2A56AB5A5254}"/>
    <cellStyle name="Normal 5 8 5 2 2" xfId="6422" xr:uid="{EFCC725B-5447-4F47-9E2C-61877FA32E7F}"/>
    <cellStyle name="Normal 5 8 5 3" xfId="4703" xr:uid="{F6751D8A-20B6-41D1-BA40-21A5E184DA6F}"/>
    <cellStyle name="Normal 5 8 6" xfId="1248" xr:uid="{AC9CC071-CCE5-4B8C-A121-DF524055482F}"/>
    <cellStyle name="Normal 5 8 6 2" xfId="2969" xr:uid="{B73DC8B6-E3F8-4D80-97DE-DAC8AAACD70D}"/>
    <cellStyle name="Normal 5 8 6 2 2" xfId="6640" xr:uid="{9D948649-16E9-4366-9402-EB8DF9675020}"/>
    <cellStyle name="Normal 5 8 6 3" xfId="4921" xr:uid="{60BA33F7-9330-4D7D-86A5-457744318CC8}"/>
    <cellStyle name="Normal 5 8 7" xfId="1466" xr:uid="{453F2142-15A6-45FB-A7D7-5E2E9FE6C711}"/>
    <cellStyle name="Normal 5 8 7 2" xfId="3187" xr:uid="{E8093936-22B3-4D14-A8F2-83E0A5174F6A}"/>
    <cellStyle name="Normal 5 8 7 2 2" xfId="6858" xr:uid="{260EDD6B-A62C-4AF6-BCF6-684B48BADF29}"/>
    <cellStyle name="Normal 5 8 7 3" xfId="5139" xr:uid="{BBA0E3B6-B7B2-4B36-A2F5-28DE23FB5786}"/>
    <cellStyle name="Normal 5 8 8" xfId="1685" xr:uid="{C2EDD2A4-508B-4594-9AAA-D692F1E1018F}"/>
    <cellStyle name="Normal 5 8 8 2" xfId="3406" xr:uid="{36A41D79-4629-403B-AD7F-DE4792C31165}"/>
    <cellStyle name="Normal 5 8 8 2 2" xfId="7077" xr:uid="{B7FE9861-47DD-4524-B71B-32A20E6A579F}"/>
    <cellStyle name="Normal 5 8 8 3" xfId="5357" xr:uid="{06053585-C51B-41EC-89A6-DFD09760FFD6}"/>
    <cellStyle name="Normal 5 8 9" xfId="1905" xr:uid="{7835FDBB-0AB3-4618-BF35-255FD86458A8}"/>
    <cellStyle name="Normal 5 8 9 2" xfId="5576" xr:uid="{EB4C10FC-0F9C-428C-9B79-55714319EF3F}"/>
    <cellStyle name="Normal 5 9" xfId="165" xr:uid="{AB50DF9A-7ECF-4660-B105-73721B09DFB4}"/>
    <cellStyle name="Normal 5 9 10" xfId="3894" xr:uid="{B4CCEFC9-8FE3-4710-9C1D-0BE6C6C6524C}"/>
    <cellStyle name="Normal 5 9 2" xfId="411" xr:uid="{A9308D58-C36A-4D8D-AB73-51568E005916}"/>
    <cellStyle name="Normal 5 9 2 2" xfId="2110" xr:uid="{D077D1C0-FB4C-4CDC-8901-4EAEC8B2B36F}"/>
    <cellStyle name="Normal 5 9 2 2 2" xfId="5781" xr:uid="{D79CDCFE-7E36-4B7C-87BA-E47F59BECD98}"/>
    <cellStyle name="Normal 5 9 2 3" xfId="4074" xr:uid="{6BB603A4-0FC3-46EA-93A6-88B8D9C46DD9}"/>
    <cellStyle name="Normal 5 9 3" xfId="607" xr:uid="{3954DA27-852C-4F52-A984-BA02B64FDD56}"/>
    <cellStyle name="Normal 5 9 3 2" xfId="2328" xr:uid="{3F24EF9C-E483-4B3C-A439-5E5F312F6913}"/>
    <cellStyle name="Normal 5 9 3 2 2" xfId="5999" xr:uid="{C7F7CCAD-5906-431E-9998-680D5AB8B6E5}"/>
    <cellStyle name="Normal 5 9 3 3" xfId="4280" xr:uid="{674CE410-A4D3-4DF8-9472-B471430011FD}"/>
    <cellStyle name="Normal 5 9 4" xfId="825" xr:uid="{399989E1-2890-40E3-B13B-A37C518E5671}"/>
    <cellStyle name="Normal 5 9 4 2" xfId="2546" xr:uid="{6A5C5F17-DA67-43FE-913C-E1972B977BA5}"/>
    <cellStyle name="Normal 5 9 4 2 2" xfId="6217" xr:uid="{A76ED3B5-FF22-411E-9B71-DB9C5C986FA2}"/>
    <cellStyle name="Normal 5 9 4 3" xfId="4498" xr:uid="{450863DA-E228-4984-97D3-63904631F010}"/>
    <cellStyle name="Normal 5 9 5" xfId="1043" xr:uid="{88969ECC-398F-4E02-B8B2-3D2C9D0764A6}"/>
    <cellStyle name="Normal 5 9 5 2" xfId="2764" xr:uid="{A3D7579E-FD8A-4B23-A070-CBECCAB3A7AF}"/>
    <cellStyle name="Normal 5 9 5 2 2" xfId="6435" xr:uid="{345A1FC0-EC7E-4F03-9BAE-414FAC7DA717}"/>
    <cellStyle name="Normal 5 9 5 3" xfId="4716" xr:uid="{3D3A4ACD-7AEB-4702-997B-9218415EDC93}"/>
    <cellStyle name="Normal 5 9 6" xfId="1261" xr:uid="{A352B1BB-8476-45BF-9A47-83E8043DB5B1}"/>
    <cellStyle name="Normal 5 9 6 2" xfId="2982" xr:uid="{2394D108-F196-4052-AFE1-C01701104AEE}"/>
    <cellStyle name="Normal 5 9 6 2 2" xfId="6653" xr:uid="{4B2154B5-8A01-4F3C-84D5-0FF161AD8B3E}"/>
    <cellStyle name="Normal 5 9 6 3" xfId="4934" xr:uid="{AE6CA667-17AA-4DE1-AE76-FBC0E56E6760}"/>
    <cellStyle name="Normal 5 9 7" xfId="1479" xr:uid="{8008F80F-4497-44F9-93FF-7483CCEB0295}"/>
    <cellStyle name="Normal 5 9 7 2" xfId="3200" xr:uid="{C923A8AF-502C-4757-8C23-B122E055096C}"/>
    <cellStyle name="Normal 5 9 7 2 2" xfId="6871" xr:uid="{D03A68BB-F5F2-45DE-845E-674C85723F95}"/>
    <cellStyle name="Normal 5 9 7 3" xfId="5152" xr:uid="{C203C377-27EB-48CA-BB92-2A519B5449D5}"/>
    <cellStyle name="Normal 5 9 8" xfId="1698" xr:uid="{4AD14E1C-B9BB-4323-9769-AB570F0A9F1E}"/>
    <cellStyle name="Normal 5 9 8 2" xfId="3419" xr:uid="{E3BB84C8-C9A2-42DF-82FF-826FF6496356}"/>
    <cellStyle name="Normal 5 9 8 2 2" xfId="7090" xr:uid="{46B7948B-181A-415E-94D5-FE7188411701}"/>
    <cellStyle name="Normal 5 9 8 3" xfId="5370" xr:uid="{5D64FB42-8F1E-4405-91EE-2E8F46E680BC}"/>
    <cellStyle name="Normal 5 9 9" xfId="1918" xr:uid="{147AF6CC-81F4-4167-819E-837FC5AB5AED}"/>
    <cellStyle name="Normal 5 9 9 2" xfId="5589" xr:uid="{EC5463FF-83C3-4C3B-B58F-553EFDC0188D}"/>
    <cellStyle name="Normal 6" xfId="48" xr:uid="{1872A00D-AB75-44A9-895B-C6AF1FE2FF29}"/>
    <cellStyle name="Normal 6 2" xfId="3723" xr:uid="{F669AB40-C061-4791-BEFC-7BD458DE9172}"/>
    <cellStyle name="Normal 6 3" xfId="7259" xr:uid="{A92DB000-07CA-4A11-A9CA-CE463C900D28}"/>
    <cellStyle name="Normal 7" xfId="42" xr:uid="{00000000-0005-0000-0000-00002F000000}"/>
    <cellStyle name="Normal 7 2" xfId="3302" xr:uid="{950D7E52-393B-4359-88BF-F65F43E12AF2}"/>
    <cellStyle name="Normal 7 2 2" xfId="6973" xr:uid="{545EFCA0-042F-4344-9764-E04757A24B55}"/>
    <cellStyle name="Normal 7 3" xfId="1581" xr:uid="{7A3CE843-C738-49F6-B6A6-4AC0E26A4475}"/>
    <cellStyle name="Normal 8" xfId="50" xr:uid="{00000000-0005-0000-0000-000037000000}"/>
    <cellStyle name="Normal 8 2" xfId="3521" xr:uid="{5F5D0889-23DA-43C4-92E3-0C45852E5CE4}"/>
    <cellStyle name="Normal 8 2 2" xfId="7192" xr:uid="{BE89FCF7-8FAC-4867-9535-95973D469546}"/>
    <cellStyle name="Normal 8 3" xfId="1800" xr:uid="{028D736F-4C3C-47FC-939B-E069A7D3B4FC}"/>
    <cellStyle name="Normal 9" xfId="1801" xr:uid="{31932935-BF67-4693-A5D5-3058F54BDEAE}"/>
    <cellStyle name="Normal 9 2" xfId="3522" xr:uid="{EDEF06FF-BE74-40C2-A6ED-1D57BEE9A7DC}"/>
    <cellStyle name="Normal 9 2 2" xfId="7193" xr:uid="{339932CD-CA6E-451A-8FA0-DE9E3AB61760}"/>
    <cellStyle name="Normal 9 3" xfId="5472" xr:uid="{05A66A64-DBFB-4982-BC73-73DE4EEFDAE2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numFmt numFmtId="166" formatCode="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numFmt numFmtId="166" formatCode="h:mm;@"/>
      <alignment horizontal="center" vertical="bottom" textRotation="0" wrapText="0" indent="0" justifyLastLine="0" shrinkToFit="0" readingOrder="0"/>
    </dxf>
    <dxf>
      <numFmt numFmtId="165" formatCode="[$-409]d\-mmm;@"/>
      <alignment horizontal="center" vertical="bottom" textRotation="0" wrapText="0" indent="0" justifyLastLine="0" shrinkToFit="0" readingOrder="0"/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166" formatCode="h: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166" formatCode="h:mm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[$-409]d\-mmm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5" formatCode="h:mm"/>
    </dxf>
    <dxf>
      <numFmt numFmtId="0" formatCode="General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5" formatCode="h:mm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1" formatCode="d\-mmm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2B2EB7A-72AB-4A89-9229-30E9D3741138}" name="Table_Azerbaijan12" displayName="Table_Azerbaijan12" ref="A1:H2" totalsRowShown="0">
  <autoFilter ref="A1:H2" xr:uid="{BB7DDAE5-AFAC-46DD-950A-A3B24390C046}"/>
  <tableColumns count="8">
    <tableColumn id="1" xr3:uid="{730C11AC-C700-4E72-9A27-8966E63D2BD4}" name="Date" dataDxfId="110"/>
    <tableColumn id="2" xr3:uid="{BD4183E2-DCC8-4248-8682-EC1C07715369}" name="Time" dataDxfId="109"/>
    <tableColumn id="3" xr3:uid="{32B8922B-1A1E-4C21-B723-DECC14DEAAA6}" name="Sport" dataDxfId="108"/>
    <tableColumn id="4" xr3:uid="{4349C10C-182D-45A3-8E9E-4E0A474F813C}" name="Match" dataDxfId="107"/>
    <tableColumn id="7" xr3:uid="{D11CD7B7-3881-4A54-B5A6-0CF09E4CCA6C}" name="Channel"/>
    <tableColumn id="8" xr3:uid="{77D463ED-C275-41F9-A217-6037AC7FBB08}" name="[ DEVELOPMENT ] - Timestamp" dataDxfId="106">
      <calculatedColumnFormula>(INT(H2) - DATE(1970, 1, 1)) * 86400</calculatedColumnFormula>
    </tableColumn>
    <tableColumn id="9" xr3:uid="{DC15162C-C083-47BA-952B-1DA6DA6B18F6}" name="[ DEVELOPMENT ] - GMT" dataDxfId="105">
      <calculatedColumnFormula>'GMT Glossary'!$B$1</calculatedColumnFormula>
    </tableColumn>
    <tableColumn id="10" xr3:uid="{696970C1-14D0-4E3F-A9EA-6B320EDB46B8}" name="[ DEVELOPMENT ] - GMT Time" dataDxfId="104">
      <calculatedColumnFormula>TEXT(IF(B2&lt;0, A2+1+((B2+($G$2/24))-(INT(B2+($G$2/24)))), A2+(B2+($G$2/24))), "yyyy-mm-dd HH:mm")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DD2D1-E26E-4A79-93A1-F4672FEAC6BD}" name="Table_Estonia" displayName="Table_Estonia" ref="A1:I171" totalsRowShown="0">
  <autoFilter ref="A1:I171" xr:uid="{BB7DDAE5-AFAC-46DD-950A-A3B24390C046}"/>
  <tableColumns count="9">
    <tableColumn id="1" xr3:uid="{21F30536-C2DE-4128-9F42-E35C62DF264A}" name="Date" dataDxfId="103" dataCellStyle="Normal 8"/>
    <tableColumn id="2" xr3:uid="{EFA0A260-81C9-4FA2-B4C1-EF4001A03548}" name="Time" dataDxfId="102" dataCellStyle="Normal 8"/>
    <tableColumn id="3" xr3:uid="{D7D49722-9B9A-4A8C-A4AF-F4EB0C3A49F3}" name="Sport" dataDxfId="101" dataCellStyle="Normal 8"/>
    <tableColumn id="4" xr3:uid="{0B6AF949-2A68-4330-932C-4764CF3EC781}" name="Match" dataDxfId="100" dataCellStyle="Normal 8"/>
    <tableColumn id="7" xr3:uid="{69775299-765E-4E0E-98C7-16E7D4871614}" name="Channel" dataDxfId="99"/>
    <tableColumn id="8" xr3:uid="{E036F9D1-6A0C-4314-8131-DE0B84C9E96C}" name="[ DEVELOPMENT ] - Timestamp" dataDxfId="98">
      <calculatedColumnFormula>(INT(Table_Estonia[[#This Row],[Date]]) - DATE(1970, 1, 1)) * 86400000</calculatedColumnFormula>
    </tableColumn>
    <tableColumn id="9" xr3:uid="{E8B2105D-D3B4-4830-B69F-F4FE2FED1FF0}" name="[ DEVELOPMENT ] - GMT" dataDxfId="97">
      <calculatedColumnFormula>'GMT Glossary'!$B$2</calculatedColumnFormula>
    </tableColumn>
    <tableColumn id="10" xr3:uid="{1A6ACE3B-17E7-4B24-82C1-EE96AA22B706}" name="[ DEVELOPMENT ] - GMT Date" dataDxfId="96">
      <calculatedColumnFormula>TEXT(IF(B2&lt;0, A2+1+((B2+(G2/24))-(INT(B2+(G2/24)))), A2+(B2+(G2/24))), "yyyy-mm-dd")</calculatedColumnFormula>
    </tableColumn>
    <tableColumn id="5" xr3:uid="{CC12C5DC-F959-44D7-A726-37F34E9477C9}" name="[ DEVELOPMENT ] - GMT Time" dataDxfId="95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6B907F-0F24-46BC-AF84-033008858892}" name="Table_Latvia" displayName="Table_Latvia" ref="A1:I171" totalsRowShown="0">
  <autoFilter ref="A1:I171" xr:uid="{BB7DDAE5-AFAC-46DD-950A-A3B24390C046}"/>
  <tableColumns count="9">
    <tableColumn id="1" xr3:uid="{73DE20FC-C8BF-41CB-840C-7BCA9DF079E8}" name="Date" dataDxfId="94" dataCellStyle="Normal 8"/>
    <tableColumn id="2" xr3:uid="{4DBF8D92-69B7-46D2-A921-2AF27F283903}" name="Time" dataDxfId="93" dataCellStyle="Normal 8"/>
    <tableColumn id="3" xr3:uid="{0E6B82C3-A071-4635-8ED7-E0339C3E41D6}" name="Sport" dataDxfId="92" dataCellStyle="Normal 8"/>
    <tableColumn id="4" xr3:uid="{36044D91-1E7B-4797-80C6-EBB9002665AC}" name="Match" dataDxfId="91" dataCellStyle="Normal 8"/>
    <tableColumn id="7" xr3:uid="{4B072B52-ED38-47FF-91E5-9D6EAF4CAEBA}" name="Channel" dataDxfId="90"/>
    <tableColumn id="8" xr3:uid="{5E3802E1-B269-44EB-99CC-2EAF9B3F14B5}" name="[ DEVELOPMENT ] - Timestamp" dataDxfId="89">
      <calculatedColumnFormula>(INT(Table_Latvia[[#This Row],[Date]]) - DATE(1970, 1, 1)) * 86400000</calculatedColumnFormula>
    </tableColumn>
    <tableColumn id="9" xr3:uid="{CCF52756-08AA-4C65-A87C-E9E1AA88FA66}" name="[ DEVELOPMENT ] - GMT" dataDxfId="88">
      <calculatedColumnFormula>'GMT Glossary'!$B$5</calculatedColumnFormula>
    </tableColumn>
    <tableColumn id="10" xr3:uid="{245504AD-BC33-451B-8CDB-42B23B9B82EC}" name="[ DEVELOPMENT ] - GMT Date" dataDxfId="87">
      <calculatedColumnFormula>TEXT(IF(B2&lt;0, A2+1+((B2+(G2/24))-(INT(B2+(G2/24)))), A2+(B2+(G2/24))), "yyyy-mm-dd")</calculatedColumnFormula>
    </tableColumn>
    <tableColumn id="5" xr3:uid="{2ADE40C2-02A4-45D6-B8F4-B671E1F26E28}" name="[ DEVELOPMENT ] - GMT Time" dataDxfId="86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F9ADC2-BD92-4551-9BB0-1A71C4D31121}" name="Table_Lithuania" displayName="Table_Lithuania" ref="A1:I171" totalsRowShown="0">
  <autoFilter ref="A1:I171" xr:uid="{BB7DDAE5-AFAC-46DD-950A-A3B24390C046}"/>
  <tableColumns count="9">
    <tableColumn id="1" xr3:uid="{A025F86F-787C-4622-BDF7-26123C912176}" name="Date" dataDxfId="85" dataCellStyle="Normal 8"/>
    <tableColumn id="2" xr3:uid="{A88DF23C-C18A-4C9B-8277-38D2998F88F6}" name="Time" dataDxfId="84" dataCellStyle="Normal 8"/>
    <tableColumn id="3" xr3:uid="{BADC71B4-ECED-4421-9448-DFD6C24F2593}" name="Sport" dataDxfId="83" dataCellStyle="Normal 8"/>
    <tableColumn id="4" xr3:uid="{2E74560A-83D5-46FC-9001-7C0D762724E7}" name="Match" dataDxfId="82" dataCellStyle="Normal 8"/>
    <tableColumn id="7" xr3:uid="{716BCE64-A170-4583-9F79-26E8C3B4E416}" name="Channel" dataDxfId="81"/>
    <tableColumn id="8" xr3:uid="{2801399D-6A05-4F77-AC87-4DC15290C94B}" name="[ DEVELOPMENT ] - Timestamp" dataDxfId="80">
      <calculatedColumnFormula>(INT(Table_Lithuania[[#This Row],[Date]]) - DATE(1970, 1, 1)) * 86400000</calculatedColumnFormula>
    </tableColumn>
    <tableColumn id="9" xr3:uid="{8F5CBED3-9276-400C-9639-E704D858460F}" name="[ DEVELOPMENT ] - GMT" dataDxfId="79">
      <calculatedColumnFormula>'GMT Glossary'!$B$6</calculatedColumnFormula>
    </tableColumn>
    <tableColumn id="10" xr3:uid="{87658671-443C-49E1-B946-760247A54BA3}" name="[ DEVELOPMENT ] - GMT Date" dataDxfId="78">
      <calculatedColumnFormula>TEXT(IF(B2&lt;0, A2+1+((B2+(G2/24))-(INT(B2+(G2/24)))), A2+(B2+(G2/24))), "yyyy-mm-dd")</calculatedColumnFormula>
    </tableColumn>
    <tableColumn id="5" xr3:uid="{4E696A84-C6AE-48F4-8F1F-7F522EAFB3BC}" name="[ DEVELOPMENT ] - GMT Time" dataDxfId="77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D55330F-EF7C-4A76-BB96-304A03752B76}" name="Table_Azerbaijan" displayName="Table_Azerbaijan" ref="A1:I165" totalsRowShown="0">
  <autoFilter ref="A1:I165" xr:uid="{BB7DDAE5-AFAC-46DD-950A-A3B24390C046}"/>
  <tableColumns count="9">
    <tableColumn id="1" xr3:uid="{7880182C-E9E9-44EE-9FA4-5EDD9032F774}" name="Date" dataDxfId="76"/>
    <tableColumn id="2" xr3:uid="{ED9CD831-4237-4084-A448-58E5A73963CD}" name="Time" dataDxfId="75"/>
    <tableColumn id="3" xr3:uid="{F8F6AF4F-8A6C-4007-B0DA-D150C6DADDB4}" name="Sport" dataDxfId="74" dataCellStyle="Normal 8"/>
    <tableColumn id="4" xr3:uid="{10974277-4AE7-43D6-90E1-DF84AEE448FB}" name="Match"/>
    <tableColumn id="7" xr3:uid="{4D33CCE0-6E5E-43E5-989B-6012C2859A6B}" name="Channel" dataDxfId="73"/>
    <tableColumn id="8" xr3:uid="{B3F5F866-D6C9-44C6-A061-490F90FFAC57}" name="[ DEVELOPMENT ] - Timestamp" dataDxfId="72">
      <calculatedColumnFormula>(INT(Table_Azerbaijan[[#This Row],[Date]]) - DATE(1970, 1, 1)) * 86400000</calculatedColumnFormula>
    </tableColumn>
    <tableColumn id="9" xr3:uid="{D88863FE-C4CE-42F1-B037-77B7DB151588}" name="[ DEVELOPMENT ] - GMT" dataDxfId="71">
      <calculatedColumnFormula>'GMT Glossary'!$B$1</calculatedColumnFormula>
    </tableColumn>
    <tableColumn id="10" xr3:uid="{CB47403B-4718-4445-8234-1E94077999DD}" name="[ DEVELOPMENT ] - GMT Date" dataDxfId="70">
      <calculatedColumnFormula>TEXT(IF(B2&lt;0, A2+1+((B2+(G2/24))-(INT(B2+(G2/24)))), A2+(B2+(G2/24))), "yyyy-mm-dd")</calculatedColumnFormula>
    </tableColumn>
    <tableColumn id="5" xr3:uid="{396BCE49-2EC5-4F56-AFC1-DA446B814C34}" name="[ DEVELOPMENT ] - GMT Time" dataDxfId="69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F42F7D-701E-4E06-95D9-A85739AF8795}" name="Table_Kazakhstan" displayName="Table_Kazakhstan" ref="A1:I165" totalsRowShown="0">
  <autoFilter ref="A1:I165" xr:uid="{4E18B787-F175-4DAD-B410-64EDAA389A0E}"/>
  <tableColumns count="9">
    <tableColumn id="1" xr3:uid="{6C14DFC5-0F36-4200-9C71-831CBD3F72F1}" name="Date" dataDxfId="68" dataCellStyle="Normal 2"/>
    <tableColumn id="2" xr3:uid="{AFE818FA-0C3C-40DD-AEAB-E97FF240137B}" name="Time" dataDxfId="67" dataCellStyle="Normal 2"/>
    <tableColumn id="3" xr3:uid="{BBC734AC-D74A-4E51-83F3-D85AC4915CAD}" name="Sport" dataDxfId="66" dataCellStyle="Normal 8"/>
    <tableColumn id="4" xr3:uid="{8E832480-8196-4F6C-9670-11798BB9E5FF}" name="Match" dataDxfId="65" dataCellStyle="Normal 2"/>
    <tableColumn id="7" xr3:uid="{FB18EE6D-7B8D-42C5-8C6C-AC7DFC4C33F0}" name="Channel" dataDxfId="64"/>
    <tableColumn id="8" xr3:uid="{BC6D1DE3-252A-447C-B9F0-0FE2F2526227}" name="[ DEVELOPMENT ] - Timestamp" dataDxfId="63">
      <calculatedColumnFormula>(INT(Table_Kazakhstan[[#This Row],[Date]]) - DATE(1970, 1, 1)) * 86400000</calculatedColumnFormula>
    </tableColumn>
    <tableColumn id="9" xr3:uid="{90FB38FA-203F-4CA5-9F34-35980A8DDD98}" name="[ DEVELOPMENT ] - GMT" dataDxfId="62">
      <calculatedColumnFormula>'GMT Glossary'!$B$3</calculatedColumnFormula>
    </tableColumn>
    <tableColumn id="10" xr3:uid="{F352230D-E74E-46D7-BC50-F214BF91E9D3}" name="[ DEVELOPMENT ] - GMT Date" dataDxfId="61">
      <calculatedColumnFormula>TEXT(IF(B2&lt;0, A2+1+((B2+(G2/24))-(INT(B2+(G2/24)))), A2+(B2+(G2/24))), "yyyy-mm-dd")</calculatedColumnFormula>
    </tableColumn>
    <tableColumn id="5" xr3:uid="{E086C33A-EB8F-4E67-921F-9517FF810F7E}" name="[ DEVELOPMENT ] - GMT Time" dataDxfId="6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FDAF1-097C-406D-BB08-4FB37E8A1277}" name="Table_Ukraine" displayName="Table_Ukraine" ref="A1:I167" totalsRowShown="0">
  <autoFilter ref="A1:I167" xr:uid="{37C42372-747D-4C54-BBC6-68DC4CD52295}"/>
  <tableColumns count="9">
    <tableColumn id="1" xr3:uid="{87BC31A4-5895-4449-9311-4F4BE0C7C86A}" name="Date" dataDxfId="59"/>
    <tableColumn id="2" xr3:uid="{FA16EA04-D3A0-403A-B3D4-FC64ECEF07B2}" name="Time" dataDxfId="58"/>
    <tableColumn id="3" xr3:uid="{BF922501-63E6-4639-854E-F074CF011D1C}" name="Sport" dataDxfId="57" dataCellStyle="Normal 8"/>
    <tableColumn id="4" xr3:uid="{D1936B91-5CFE-446F-98B7-A4952F868121}" name="Match"/>
    <tableColumn id="7" xr3:uid="{E5AFFD12-4FB2-4C16-B519-D1D38A233428}" name="Channel" dataDxfId="56"/>
    <tableColumn id="8" xr3:uid="{DAC98E15-B376-4D4F-8E4A-5C33445D754E}" name="[ DEVELOPMENT ] - Timestamp" dataDxfId="55">
      <calculatedColumnFormula>(INT(Table_Ukraine[[#This Row],[Date]]) - DATE(1970, 1, 1)) * 86400000</calculatedColumnFormula>
    </tableColumn>
    <tableColumn id="9" xr3:uid="{529AAA30-DB93-45B4-BD04-7F1C5499B821}" name="[ DEVELOPMENT ] - GMT" dataDxfId="54">
      <calculatedColumnFormula>'GMT Glossary'!$B$8</calculatedColumnFormula>
    </tableColumn>
    <tableColumn id="10" xr3:uid="{5A8F77F2-2F04-43D4-9E3B-21DEBE048F2C}" name="[ DEVELOPMENT ] - GMT Date" dataDxfId="53">
      <calculatedColumnFormula>TEXT(IF(B2&lt;0, A2+1+((B2+(G2/24))-(INT(B2+(G2/24)))), A2+(B2+(G2/24))), "yyyy-mm-dd")</calculatedColumnFormula>
    </tableColumn>
    <tableColumn id="5" xr3:uid="{551E7B47-BFA3-48B1-A730-75B8CFFAFC70}" name="[ DEVELOPMENT ] - GMT Time" dataDxfId="52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3E9A4B-50DA-461B-9D0E-D251E1E47CB2}" name="Table_Kyrgyzstan" displayName="Table_Kyrgyzstan" ref="A1:I165" totalsRowShown="0">
  <autoFilter ref="A1:I165" xr:uid="{CD5B60A3-0CF9-458B-ACA7-1C37AA22EB94}"/>
  <tableColumns count="9">
    <tableColumn id="1" xr3:uid="{A93DDE82-BE29-4EAE-AC03-549010BBD9AF}" name="Date" dataDxfId="51" dataCellStyle="Normal 2"/>
    <tableColumn id="2" xr3:uid="{18A6E293-133C-42C2-AAB5-577BC8BA2856}" name="Time" dataDxfId="50" dataCellStyle="Normal 2"/>
    <tableColumn id="3" xr3:uid="{87A56952-AFA6-45D5-AF86-14855B1EDC85}" name="Sport" dataDxfId="49" dataCellStyle="Normal 8"/>
    <tableColumn id="4" xr3:uid="{79824F80-1948-43F5-A90D-661BBF6F9495}" name="Match" dataDxfId="48" dataCellStyle="Normal 2"/>
    <tableColumn id="7" xr3:uid="{F3B0A847-10C6-4122-9C99-D3D22A3BD429}" name="Channel" dataDxfId="47"/>
    <tableColumn id="8" xr3:uid="{FCD843AD-9185-4BE6-AA67-6F11DF9DEFF2}" name="[ DEVELOPMENT ] - Timestamp" dataDxfId="46">
      <calculatedColumnFormula>(INT(Table_Kyrgyzstan[[#This Row],[Date]]) - DATE(1970, 1, 1)) * 86400000</calculatedColumnFormula>
    </tableColumn>
    <tableColumn id="9" xr3:uid="{E06DAD07-549B-47A2-901F-C2642E6D14C5}" name="[ DEVELOPMENT ] - GMT" dataDxfId="45">
      <calculatedColumnFormula>'GMT Glossary'!$B$4</calculatedColumnFormula>
    </tableColumn>
    <tableColumn id="10" xr3:uid="{5C303D8B-B5FD-44A5-9CBC-9CDBBCCBAC25}" name="[ DEVELOPMENT ] - GMT Date" dataDxfId="44">
      <calculatedColumnFormula>TEXT(IF(B2&lt;0, A2+1+((B2+(G2/24))-(INT(B2+(G2/24)))), A2+(B2+(G2/24))), "yyyy-mm-dd")</calculatedColumnFormula>
    </tableColumn>
    <tableColumn id="5" xr3:uid="{2CA8A7C9-3512-48CF-9367-2D0CD20D0AFE}" name="[ DEVELOPMENT ] - GMT Time" dataDxfId="43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956751-77C7-45D2-B2AB-3580DBB58532}" name="Table_Moldova" displayName="Table_Moldova" ref="A1:I251" totalsRowShown="0">
  <autoFilter ref="A1:I251" xr:uid="{37C42372-747D-4C54-BBC6-68DC4CD52295}"/>
  <tableColumns count="9">
    <tableColumn id="1" xr3:uid="{D6910BE5-BE27-4190-BC0C-80AEC1D43DDE}" name="Date" dataDxfId="42" dataCellStyle="Normal 8"/>
    <tableColumn id="2" xr3:uid="{50A4D4F5-D928-4B1A-976B-6D933C316796}" name="Time" dataDxfId="41" dataCellStyle="Normal 8"/>
    <tableColumn id="3" xr3:uid="{5078F5B8-D8D4-4489-9984-58CFF8D2F148}" name="Sport"/>
    <tableColumn id="4" xr3:uid="{47133537-FDC1-4601-9069-83BF91ADB4E1}" name="Match" dataDxfId="40" dataCellStyle="Normal 8"/>
    <tableColumn id="7" xr3:uid="{8E96C239-1580-4323-8EC4-B2E9A05BC729}" name="Channel" dataDxfId="39"/>
    <tableColumn id="8" xr3:uid="{55E4B969-08C6-46FA-AACB-49BC5A0C43F9}" name="[ DEVELOPMENT ] - Timestamp" dataDxfId="38">
      <calculatedColumnFormula>(INT(Table_Moldova[[#This Row],[Date]]) - DATE(1970, 1, 1)) * 86400000</calculatedColumnFormula>
    </tableColumn>
    <tableColumn id="9" xr3:uid="{5B85231D-E9B0-49D4-BD91-2E01E2378CB6}" name="[ DEVELOPMENT ] - GMT" dataDxfId="37">
      <calculatedColumnFormula>'GMT Glossary'!$B$7</calculatedColumnFormula>
    </tableColumn>
    <tableColumn id="10" xr3:uid="{E6CB9764-4B92-4027-9B8D-D2398F1DBC1A}" name="[ DEVELOPMENT ] - GMT Date" dataDxfId="36">
      <calculatedColumnFormula>TEXT(IF(B2&lt;0, A2+1+((B2+(G2/24))-(INT(B2+(G2/24)))), A2+(B2+(G2/24))), "yyyy-mm-dd")</calculatedColumnFormula>
    </tableColumn>
    <tableColumn id="5" xr3:uid="{3319B6EC-8281-4FC0-A72A-F12B123C6C2F}" name="[ DEVELOPMENT ] - GMT Time" dataDxfId="35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16519E-9E51-4C59-9005-E0698D5EB44B}" name="Table_Uzbekistan" displayName="Table_Uzbekistan" ref="A1:I165" totalsRowShown="0">
  <autoFilter ref="A1:I165" xr:uid="{948356B8-1D1A-40C4-8E1B-0A04792BA4B2}"/>
  <tableColumns count="9">
    <tableColumn id="1" xr3:uid="{02F52697-2715-486C-BC44-0E411C871606}" name="Date" dataDxfId="34"/>
    <tableColumn id="2" xr3:uid="{145301C9-6B33-439B-8076-55AD509EBF6A}" name="Time" dataDxfId="33"/>
    <tableColumn id="3" xr3:uid="{D59990C8-7A77-48CC-9072-40B5C949A708}" name="Sport" dataDxfId="32" dataCellStyle="Normal 8"/>
    <tableColumn id="4" xr3:uid="{06FE880A-BA5B-4BC2-9963-EF2CFF4A271C}" name="Match"/>
    <tableColumn id="7" xr3:uid="{0D74E1BD-8FD4-4679-970C-F86E4B5A6849}" name="Channel" dataDxfId="0"/>
    <tableColumn id="8" xr3:uid="{6C2DEA64-207C-4547-84A6-7EFBC33431D4}" name="[ DEVELOPMENT ] - Timestamp" dataDxfId="31">
      <calculatedColumnFormula>(INT(Table_Uzbekistan[[#This Row],[Date]]) - DATE(1970, 1, 1)) * 86400000</calculatedColumnFormula>
    </tableColumn>
    <tableColumn id="9" xr3:uid="{803F35F7-F06F-4A33-9D81-6A1DA38F5EEE}" name="[ DEVELOPMENT ] - GMT" dataDxfId="30">
      <calculatedColumnFormula>'GMT Glossary'!$B$9</calculatedColumnFormula>
    </tableColumn>
    <tableColumn id="10" xr3:uid="{7E29C436-7A03-4A4E-8085-9D0025CC845C}" name="[ DEVELOPMENT ] - GMT Date" dataDxfId="29">
      <calculatedColumnFormula>TEXT(IF(B2&lt;0, A2+1+((B2+(G2/24))-(INT(B2+(G2/24)))), A2+(B2+(G2/24))), "yyyy-mm-dd")</calculatedColumnFormula>
    </tableColumn>
    <tableColumn id="5" xr3:uid="{6E999F37-DA66-4E6A-BCE9-DF4DAB7C17AC}" name="[ DEVELOPMENT ] - GMT Time" dataDxfId="28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5A5559-2E4C-4DEC-8EE1-E51E9D1BC0E2}" name="Table_Turkmenistan" displayName="Table_Turkmenistan" ref="A1:I165" totalsRowShown="0">
  <autoFilter ref="A1:I165" xr:uid="{37C42372-747D-4C54-BBC6-68DC4CD52295}"/>
  <tableColumns count="9">
    <tableColumn id="1" xr3:uid="{A5E63966-5518-4BD9-A772-415C4CA796C0}" name="Date" dataDxfId="27" dataCellStyle="Normal 8"/>
    <tableColumn id="2" xr3:uid="{8FF84A44-F418-4DFA-9B08-E70AD68E12B1}" name="Time" dataDxfId="26" dataCellStyle="Normal 8"/>
    <tableColumn id="3" xr3:uid="{D6938F75-BF3E-483C-9FD4-BFCF2E9EE290}" name="Sport" dataDxfId="25" dataCellStyle="Normal 8"/>
    <tableColumn id="4" xr3:uid="{5BEBA809-EA98-4108-BDAB-385628C9F876}" name="Match" dataDxfId="24" dataCellStyle="Normal 8"/>
    <tableColumn id="7" xr3:uid="{B5B64C69-DEB9-4C3F-B194-C72C85790178}" name="Channel" dataDxfId="23"/>
    <tableColumn id="8" xr3:uid="{1AC74257-9D92-4EEB-950A-FD60E05AADB8}" name="[ DEVELOPMENT ] - Timestamp" dataDxfId="22">
      <calculatedColumnFormula>(INT(Table_Turkmenistan[[#This Row],[Date]]) - DATE(1970, 1, 1)) * 86400000</calculatedColumnFormula>
    </tableColumn>
    <tableColumn id="9" xr3:uid="{69DF737F-DCB6-450B-AC1A-FABE1A844034}" name="[ DEVELOPMENT ] - GMT" dataDxfId="21">
      <calculatedColumnFormula>'GMT Glossary'!$B$10</calculatedColumnFormula>
    </tableColumn>
    <tableColumn id="10" xr3:uid="{3914E2DD-9435-47A7-8F44-DD1A9F346A02}" name="[ DEVELOPMENT ] - GMT Date" dataDxfId="20">
      <calculatedColumnFormula>TEXT(IF(B2&lt;0, A2+1+((B2+(G2/24))-(INT(B2+(G2/24)))), A2+(B2+(G2/24))), "yyyy-mm-dd")</calculatedColumnFormula>
    </tableColumn>
    <tableColumn id="5" xr3:uid="{D7DBAD38-BA74-45E2-A9B7-782381CEDFCF}" name="[ DEVELOPMENT ] - GMT Time" dataDxfId="19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DC7BB-EC93-4D1F-89AE-EE494D8CB759}" name="Table_Tajikistan" displayName="Table_Tajikistan" ref="A1:I165" totalsRowShown="0">
  <autoFilter ref="A1:I165" xr:uid="{37C42372-747D-4C54-BBC6-68DC4CD52295}"/>
  <tableColumns count="9">
    <tableColumn id="1" xr3:uid="{112F5349-0716-4561-9745-9D9ADF2304CF}" name="Date" dataDxfId="18" dataCellStyle="Normal 8"/>
    <tableColumn id="2" xr3:uid="{9334BAEC-60CE-4DF9-9C3E-9EC5C0AB82A3}" name="Time" dataDxfId="17" dataCellStyle="Normal 8"/>
    <tableColumn id="3" xr3:uid="{023DD221-E223-42B6-B7AD-0BFB861E12DD}" name="Sport" dataDxfId="16" dataCellStyle="Normal 8"/>
    <tableColumn id="4" xr3:uid="{021D2855-B19C-4CBC-9994-EAD1E5EC2750}" name="Match" dataDxfId="15" dataCellStyle="Normal 8"/>
    <tableColumn id="7" xr3:uid="{E8D1C1D0-9F11-4878-A111-BEB275AA6BB6}" name="Channel" dataDxfId="14"/>
    <tableColumn id="8" xr3:uid="{872BBC61-42AC-4BA0-B069-FF70088D384A}" name="[ DEVELOPMENT ] - Timestamp" dataDxfId="13">
      <calculatedColumnFormula>(INT(Table_Tajikistan[[#This Row],[Date]]) - DATE(1970, 1, 1)) * 86400000</calculatedColumnFormula>
    </tableColumn>
    <tableColumn id="9" xr3:uid="{88F1B19B-A7E6-4B50-B81F-847F9D9852E2}" name="[ DEVELOPMENT ] - GMT" dataDxfId="12">
      <calculatedColumnFormula>'GMT Glossary'!$B$11</calculatedColumnFormula>
    </tableColumn>
    <tableColumn id="10" xr3:uid="{C06ABCB1-E873-4B20-9FBB-D9C336160BB9}" name="[ DEVELOPMENT ] - GMT Date" dataDxfId="11">
      <calculatedColumnFormula>TEXT(IF(B2&lt;0, A2+1+((B2+(G2/24))-(INT(B2+(G2/24)))), A2+(B2+(G2/24))), "yyyy-mm-dd")</calculatedColumnFormula>
    </tableColumn>
    <tableColumn id="5" xr3:uid="{FBC44811-1BB3-42D8-83D5-230D77C13058}" name="[ DEVELOPMENT ] - GMT Time" dataDxfId="10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595C1E6-378B-4AAD-B0A8-4C4BF1152D3D}" name="Table_Tajikistan14" displayName="Table_Tajikistan14" ref="A1:I83" totalsRowShown="0">
  <autoFilter ref="A1:I83" xr:uid="{37C42372-747D-4C54-BBC6-68DC4CD52295}"/>
  <tableColumns count="9">
    <tableColumn id="1" xr3:uid="{70FF21E4-AD89-4343-9386-A830724E69E5}" name="Date" dataDxfId="9" dataCellStyle="Normal 8"/>
    <tableColumn id="2" xr3:uid="{AFD573F4-E88C-4507-9F17-BE7A04C45184}" name="Time" dataDxfId="8" dataCellStyle="Normal 8"/>
    <tableColumn id="3" xr3:uid="{80833DFA-4F0D-43DB-8A80-F91BD7A6B642}" name="Sport" dataDxfId="7" dataCellStyle="Normal 8"/>
    <tableColumn id="4" xr3:uid="{01B94511-4F24-4848-861B-F5ED1341CF97}" name="Match" dataDxfId="6" dataCellStyle="Normal 8"/>
    <tableColumn id="7" xr3:uid="{291A6BD3-97A0-4D05-812A-86FC0147FCF4}" name="Channel" dataDxfId="5"/>
    <tableColumn id="8" xr3:uid="{5AC85ED6-6607-4847-B291-99D386172943}" name="[ DEVELOPMENT ] - Timestamp" dataDxfId="4">
      <calculatedColumnFormula>(INT(Table_Tajikistan14[[#This Row],[Date]]) - DATE(1970, 1, 1)) * 86400000</calculatedColumnFormula>
    </tableColumn>
    <tableColumn id="9" xr3:uid="{D08A0E61-14F6-49BF-B6DE-051A45E83717}" name="[ DEVELOPMENT ] - GMT" dataDxfId="3">
      <calculatedColumnFormula>'GMT Glossary'!$B$12</calculatedColumnFormula>
    </tableColumn>
    <tableColumn id="10" xr3:uid="{8383C9F2-02F8-48A9-B3EA-1B9F9E01B645}" name="[ DEVELOPMENT ] - GMT Date" dataDxfId="2">
      <calculatedColumnFormula>TEXT(IF(B2&lt;0, A2+1+((B2+(G2/24))-(INT(B2+(G2/24)))), A2+(B2+(G2/24))), "yyyy-mm-dd")</calculatedColumnFormula>
    </tableColumn>
    <tableColumn id="5" xr3:uid="{F8549B4D-9CC1-4A56-A271-05EDBDE44742}" name="[ DEVELOPMENT ] - GMT Time" dataDxfId="1">
      <calculatedColumnFormula>TEXT(IF(B2&lt;0, A2+1+((B2+(G2/24))-(INT(B2+(G2/24)))), A2+(B2+(G2/24))), "hh:mm")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B540F-A038-4E04-AF8A-72CC62EFD73C}">
  <sheetPr codeName="Sheet1"/>
  <dimension ref="A1:H2"/>
  <sheetViews>
    <sheetView workbookViewId="0">
      <selection activeCell="E19" sqref="E19"/>
    </sheetView>
  </sheetViews>
  <sheetFormatPr defaultRowHeight="15" x14ac:dyDescent="0.25"/>
  <cols>
    <col min="1" max="1" width="25.85546875" customWidth="1"/>
    <col min="2" max="2" width="27.28515625" customWidth="1"/>
    <col min="3" max="3" width="17.710937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</cols>
  <sheetData>
    <row r="1" spans="1:8" x14ac:dyDescent="0.25">
      <c r="A1" s="1" t="s">
        <v>0</v>
      </c>
      <c r="B1" s="5" t="s">
        <v>1</v>
      </c>
      <c r="C1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7</v>
      </c>
    </row>
    <row r="2" spans="1:8" x14ac:dyDescent="0.25">
      <c r="A2" s="6">
        <v>45193</v>
      </c>
      <c r="B2" s="7">
        <v>0.58333333333333337</v>
      </c>
      <c r="C2" s="3" t="s">
        <v>8</v>
      </c>
      <c r="D2" s="4" t="s">
        <v>9</v>
      </c>
      <c r="E2" t="s">
        <v>10</v>
      </c>
      <c r="F2" s="8">
        <f t="shared" ref="F2" si="0">(INT(H2) - DATE(1970, 1, 1)) * 86400</f>
        <v>1695513600</v>
      </c>
      <c r="G2">
        <f>'GMT Glossary'!$B$1</f>
        <v>4</v>
      </c>
      <c r="H2" s="2" t="str">
        <f t="shared" ref="H2" si="1">TEXT(IF(B2&lt;0, A2+1+((B2+($G$2/24))-(INT(B2+($G$2/24)))), A2+(B2+($G$2/24))), "yyyy-mm-dd HH:mm")</f>
        <v>2023-09-24 18:00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19325-B7C4-4968-BB6A-FC3A3F01DA24}">
  <sheetPr codeName="Sheet2"/>
  <dimension ref="A1:B12"/>
  <sheetViews>
    <sheetView workbookViewId="0">
      <selection activeCell="B12" sqref="B12"/>
    </sheetView>
  </sheetViews>
  <sheetFormatPr defaultRowHeight="15" x14ac:dyDescent="0.25"/>
  <cols>
    <col min="1" max="1" width="27.7109375" customWidth="1"/>
    <col min="2" max="2" width="27.42578125" customWidth="1"/>
  </cols>
  <sheetData>
    <row r="1" spans="1:2" x14ac:dyDescent="0.25">
      <c r="A1" t="s">
        <v>11</v>
      </c>
      <c r="B1">
        <v>4</v>
      </c>
    </row>
    <row r="2" spans="1:2" x14ac:dyDescent="0.25">
      <c r="A2" t="s">
        <v>12</v>
      </c>
      <c r="B2">
        <v>3</v>
      </c>
    </row>
    <row r="3" spans="1:2" x14ac:dyDescent="0.25">
      <c r="A3" t="s">
        <v>13</v>
      </c>
      <c r="B3">
        <v>6</v>
      </c>
    </row>
    <row r="4" spans="1:2" x14ac:dyDescent="0.25">
      <c r="A4" t="s">
        <v>14</v>
      </c>
      <c r="B4">
        <v>6</v>
      </c>
    </row>
    <row r="5" spans="1:2" x14ac:dyDescent="0.25">
      <c r="A5" t="s">
        <v>15</v>
      </c>
      <c r="B5">
        <v>3</v>
      </c>
    </row>
    <row r="6" spans="1:2" x14ac:dyDescent="0.25">
      <c r="A6" t="s">
        <v>16</v>
      </c>
      <c r="B6">
        <v>3</v>
      </c>
    </row>
    <row r="7" spans="1:2" x14ac:dyDescent="0.25">
      <c r="A7" t="s">
        <v>17</v>
      </c>
      <c r="B7">
        <v>3</v>
      </c>
    </row>
    <row r="8" spans="1:2" x14ac:dyDescent="0.25">
      <c r="A8" t="s">
        <v>18</v>
      </c>
      <c r="B8">
        <v>3</v>
      </c>
    </row>
    <row r="9" spans="1:2" x14ac:dyDescent="0.25">
      <c r="A9" t="s">
        <v>19</v>
      </c>
      <c r="B9">
        <v>5</v>
      </c>
    </row>
    <row r="10" spans="1:2" x14ac:dyDescent="0.25">
      <c r="A10" t="s">
        <v>117</v>
      </c>
      <c r="B10">
        <v>5</v>
      </c>
    </row>
    <row r="11" spans="1:2" x14ac:dyDescent="0.25">
      <c r="A11" t="s">
        <v>118</v>
      </c>
      <c r="B11">
        <v>5</v>
      </c>
    </row>
    <row r="12" spans="1:2" x14ac:dyDescent="0.25">
      <c r="A12" t="s">
        <v>119</v>
      </c>
      <c r="B12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A2364-E38A-49A3-8879-4C616417032D}">
  <sheetPr codeName="Sheet15"/>
  <dimension ref="A1:J171"/>
  <sheetViews>
    <sheetView topLeftCell="A145" workbookViewId="0">
      <selection activeCell="D165" sqref="D165"/>
    </sheetView>
  </sheetViews>
  <sheetFormatPr defaultRowHeight="15" x14ac:dyDescent="0.25"/>
  <cols>
    <col min="1" max="1" width="25.85546875" customWidth="1"/>
    <col min="2" max="3" width="27.2851562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42578125" customWidth="1"/>
  </cols>
  <sheetData>
    <row r="1" spans="1:10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10" x14ac:dyDescent="0.25">
      <c r="A2" s="64">
        <v>45552</v>
      </c>
      <c r="B2" s="68">
        <v>0.5</v>
      </c>
      <c r="C2" s="65" t="s">
        <v>8</v>
      </c>
      <c r="D2" s="66" t="s">
        <v>120</v>
      </c>
      <c r="E2" s="9" t="s">
        <v>21</v>
      </c>
      <c r="F2" s="8">
        <f>(INT(Table_Estonia[[#This Row],[Date]]) - DATE(1970, 1, 1)) * 86400000</f>
        <v>1726531200000</v>
      </c>
      <c r="G2">
        <f>'GMT Glossary'!$B$2</f>
        <v>3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15:00</v>
      </c>
      <c r="J2" s="2"/>
    </row>
    <row r="3" spans="1:10" ht="15.75" x14ac:dyDescent="0.25">
      <c r="A3" s="60">
        <v>45552</v>
      </c>
      <c r="B3" s="68">
        <v>0.5</v>
      </c>
      <c r="C3" s="33" t="s">
        <v>8</v>
      </c>
      <c r="D3" s="44" t="s">
        <v>159</v>
      </c>
      <c r="E3" s="9" t="s">
        <v>72</v>
      </c>
      <c r="F3" s="8">
        <f>(INT(Table_Estonia[[#This Row],[Date]]) - DATE(1970, 1, 1)) * 86400000</f>
        <v>1726531200000</v>
      </c>
      <c r="G3" s="10">
        <f>'GMT Glossary'!$B$2</f>
        <v>3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15:00</v>
      </c>
      <c r="J3" s="2"/>
    </row>
    <row r="4" spans="1:10" x14ac:dyDescent="0.25">
      <c r="A4" s="64">
        <v>45552</v>
      </c>
      <c r="B4" s="68">
        <v>0.54166666666666663</v>
      </c>
      <c r="C4" s="65" t="s">
        <v>8</v>
      </c>
      <c r="D4" s="66" t="s">
        <v>121</v>
      </c>
      <c r="E4" s="9" t="s">
        <v>21</v>
      </c>
      <c r="F4" s="8">
        <f>(INT(Table_Estonia[[#This Row],[Date]]) - DATE(1970, 1, 1)) * 86400000</f>
        <v>1726531200000</v>
      </c>
      <c r="G4" s="10">
        <f>'GMT Glossary'!$B$2</f>
        <v>3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16:00</v>
      </c>
      <c r="J4" s="2"/>
    </row>
    <row r="5" spans="1:10" x14ac:dyDescent="0.25">
      <c r="A5" s="64">
        <v>45552</v>
      </c>
      <c r="B5" s="68">
        <v>0.58333333333333337</v>
      </c>
      <c r="C5" s="65" t="s">
        <v>8</v>
      </c>
      <c r="D5" s="69" t="s">
        <v>48</v>
      </c>
      <c r="E5" s="9" t="s">
        <v>21</v>
      </c>
      <c r="F5" s="8">
        <f>(INT(Table_Estonia[[#This Row],[Date]]) - DATE(1970, 1, 1)) * 86400000</f>
        <v>1726531200000</v>
      </c>
      <c r="G5">
        <f>'GMT Glossary'!$B$2</f>
        <v>3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17:00</v>
      </c>
      <c r="J5" s="2"/>
    </row>
    <row r="6" spans="1:10" ht="15.75" x14ac:dyDescent="0.25">
      <c r="A6" s="60">
        <v>45552</v>
      </c>
      <c r="B6" s="51">
        <v>0.58333333333333337</v>
      </c>
      <c r="C6" s="33" t="s">
        <v>8</v>
      </c>
      <c r="D6" s="44" t="s">
        <v>160</v>
      </c>
      <c r="E6" s="9" t="s">
        <v>72</v>
      </c>
      <c r="F6" s="8">
        <f>(INT(Table_Estonia[[#This Row],[Date]]) - DATE(1970, 1, 1)) * 86400000</f>
        <v>1726531200000</v>
      </c>
      <c r="G6" s="10">
        <f>'GMT Glossary'!$B$2</f>
        <v>3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17:00</v>
      </c>
      <c r="J6" s="2"/>
    </row>
    <row r="7" spans="1:10" x14ac:dyDescent="0.25">
      <c r="A7" s="64">
        <v>45552</v>
      </c>
      <c r="B7" s="68">
        <v>0.66666666666666663</v>
      </c>
      <c r="C7" s="65" t="s">
        <v>8</v>
      </c>
      <c r="D7" s="69" t="s">
        <v>44</v>
      </c>
      <c r="E7" s="9" t="s">
        <v>21</v>
      </c>
      <c r="F7" s="8">
        <f>(INT(Table_Estonia[[#This Row],[Date]]) - DATE(1970, 1, 1)) * 86400000</f>
        <v>1726531200000</v>
      </c>
      <c r="G7">
        <f>'GMT Glossary'!$B$2</f>
        <v>3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19:00</v>
      </c>
      <c r="J7" s="2"/>
    </row>
    <row r="8" spans="1:10" ht="15.75" x14ac:dyDescent="0.25">
      <c r="A8" s="60">
        <v>45552</v>
      </c>
      <c r="B8" s="51">
        <v>0.66666666666666663</v>
      </c>
      <c r="C8" s="33" t="s">
        <v>8</v>
      </c>
      <c r="D8" s="44" t="s">
        <v>47</v>
      </c>
      <c r="E8" s="9" t="s">
        <v>72</v>
      </c>
      <c r="F8" s="8">
        <f>(INT(Table_Estonia[[#This Row],[Date]]) - DATE(1970, 1, 1)) * 86400000</f>
        <v>1726531200000</v>
      </c>
      <c r="G8" s="10">
        <f>'GMT Glossary'!$B$2</f>
        <v>3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19:00</v>
      </c>
      <c r="J8" s="2"/>
    </row>
    <row r="9" spans="1:10" x14ac:dyDescent="0.25">
      <c r="A9" s="64">
        <v>45552</v>
      </c>
      <c r="B9" s="68">
        <v>0.75</v>
      </c>
      <c r="C9" s="65" t="s">
        <v>8</v>
      </c>
      <c r="D9" s="66" t="s">
        <v>38</v>
      </c>
      <c r="E9" s="9" t="s">
        <v>21</v>
      </c>
      <c r="F9" s="8">
        <f>(INT(Table_Estonia[[#This Row],[Date]]) - DATE(1970, 1, 1)) * 86400000</f>
        <v>1726531200000</v>
      </c>
      <c r="G9" s="10">
        <f>'GMT Glossary'!$B$2</f>
        <v>3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21:00</v>
      </c>
      <c r="J9" s="2"/>
    </row>
    <row r="10" spans="1:10" ht="15.75" x14ac:dyDescent="0.25">
      <c r="A10" s="60">
        <v>45552</v>
      </c>
      <c r="B10" s="51">
        <v>0.75</v>
      </c>
      <c r="C10" s="33" t="s">
        <v>8</v>
      </c>
      <c r="D10" s="44" t="s">
        <v>129</v>
      </c>
      <c r="E10" s="9" t="s">
        <v>72</v>
      </c>
      <c r="F10" s="8">
        <f>(INT(Table_Estonia[[#This Row],[Date]]) - DATE(1970, 1, 1)) * 86400000</f>
        <v>1726531200000</v>
      </c>
      <c r="G10" s="10">
        <f>'GMT Glossary'!$B$2</f>
        <v>3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21:00</v>
      </c>
      <c r="J10" s="2"/>
    </row>
    <row r="11" spans="1:10" x14ac:dyDescent="0.25">
      <c r="A11" s="64">
        <v>45552</v>
      </c>
      <c r="B11" s="68">
        <v>0.83333333333333337</v>
      </c>
      <c r="C11" s="65" t="s">
        <v>8</v>
      </c>
      <c r="D11" s="67" t="s">
        <v>122</v>
      </c>
      <c r="E11" s="9" t="s">
        <v>21</v>
      </c>
      <c r="F11" s="8">
        <f>(INT(Table_Estonia[[#This Row],[Date]]) - DATE(1970, 1, 1)) * 86400000</f>
        <v>1726531200000</v>
      </c>
      <c r="G11">
        <f>'GMT Glossary'!$B$2</f>
        <v>3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23:00</v>
      </c>
      <c r="J11" s="2"/>
    </row>
    <row r="12" spans="1:10" ht="15.75" x14ac:dyDescent="0.25">
      <c r="A12" s="60">
        <v>45552</v>
      </c>
      <c r="B12" s="51">
        <v>0.83333333333333337</v>
      </c>
      <c r="C12" s="33" t="s">
        <v>8</v>
      </c>
      <c r="D12" s="44" t="s">
        <v>67</v>
      </c>
      <c r="E12" s="9" t="s">
        <v>72</v>
      </c>
      <c r="F12" s="8">
        <f>(INT(Table_Estonia[[#This Row],[Date]]) - DATE(1970, 1, 1)) * 86400000</f>
        <v>1726531200000</v>
      </c>
      <c r="G12" s="10">
        <f>'GMT Glossary'!$B$2</f>
        <v>3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23:00</v>
      </c>
      <c r="J12" s="2"/>
    </row>
    <row r="13" spans="1:10" x14ac:dyDescent="0.25">
      <c r="A13" s="64">
        <v>45552</v>
      </c>
      <c r="B13" s="68">
        <v>0.91666666666666663</v>
      </c>
      <c r="C13" s="65" t="s">
        <v>8</v>
      </c>
      <c r="D13" s="66" t="s">
        <v>39</v>
      </c>
      <c r="E13" s="9" t="s">
        <v>21</v>
      </c>
      <c r="F13" s="8">
        <f>(INT(Table_Estonia[[#This Row],[Date]]) - DATE(1970, 1, 1)) * 86400000</f>
        <v>1726531200000</v>
      </c>
      <c r="G13" s="10">
        <f>'GMT Glossary'!$B$2</f>
        <v>3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01:00</v>
      </c>
      <c r="J13" s="2"/>
    </row>
    <row r="14" spans="1:10" ht="15.75" x14ac:dyDescent="0.25">
      <c r="A14" s="60">
        <v>45552</v>
      </c>
      <c r="B14" s="51">
        <v>0.91666666666666663</v>
      </c>
      <c r="C14" s="33" t="s">
        <v>8</v>
      </c>
      <c r="D14" s="44" t="s">
        <v>70</v>
      </c>
      <c r="E14" s="9" t="s">
        <v>72</v>
      </c>
      <c r="F14" s="8">
        <f>(INT(Table_Estonia[[#This Row],[Date]]) - DATE(1970, 1, 1)) * 86400000</f>
        <v>1726531200000</v>
      </c>
      <c r="G14" s="10">
        <f>'GMT Glossary'!$B$2</f>
        <v>3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01:00</v>
      </c>
      <c r="J14" s="2"/>
    </row>
    <row r="15" spans="1:10" x14ac:dyDescent="0.25">
      <c r="A15" s="64">
        <v>45553</v>
      </c>
      <c r="B15" s="68">
        <v>0</v>
      </c>
      <c r="C15" s="65" t="s">
        <v>398</v>
      </c>
      <c r="D15" s="69" t="s">
        <v>123</v>
      </c>
      <c r="E15" s="9" t="s">
        <v>21</v>
      </c>
      <c r="F15" s="8">
        <f>(INT(Table_Estonia[[#This Row],[Date]]) - DATE(1970, 1, 1)) * 86400000</f>
        <v>1726617600000</v>
      </c>
      <c r="G15">
        <f>'GMT Glossary'!$B$2</f>
        <v>3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03:00</v>
      </c>
      <c r="J15" s="2"/>
    </row>
    <row r="16" spans="1:10" ht="15.75" x14ac:dyDescent="0.25">
      <c r="A16" s="60">
        <v>45553</v>
      </c>
      <c r="B16" s="51">
        <v>0</v>
      </c>
      <c r="C16" s="33" t="s">
        <v>8</v>
      </c>
      <c r="D16" s="44" t="s">
        <v>71</v>
      </c>
      <c r="E16" s="9" t="s">
        <v>72</v>
      </c>
      <c r="F16" s="8">
        <f>(INT(Table_Estonia[[#This Row],[Date]]) - DATE(1970, 1, 1)) * 86400000</f>
        <v>1726617600000</v>
      </c>
      <c r="G16" s="10">
        <f>'GMT Glossary'!$B$2</f>
        <v>3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03:00</v>
      </c>
      <c r="J16" s="2"/>
    </row>
    <row r="17" spans="1:10" ht="15.75" x14ac:dyDescent="0.25">
      <c r="A17" s="60">
        <v>45553</v>
      </c>
      <c r="B17" s="51">
        <v>8.3333333333333329E-2</v>
      </c>
      <c r="C17" s="33" t="s">
        <v>8</v>
      </c>
      <c r="D17" s="44" t="s">
        <v>43</v>
      </c>
      <c r="E17" s="9" t="s">
        <v>72</v>
      </c>
      <c r="F17" s="8">
        <f>(INT(Table_Estonia[[#This Row],[Date]]) - DATE(1970, 1, 1)) * 86400000</f>
        <v>1726617600000</v>
      </c>
      <c r="G17" s="10">
        <f>'GMT Glossary'!$B$2</f>
        <v>3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05:00</v>
      </c>
      <c r="J17" s="2"/>
    </row>
    <row r="18" spans="1:10" x14ac:dyDescent="0.25">
      <c r="A18" s="64">
        <v>45553</v>
      </c>
      <c r="B18" s="68">
        <v>0.125</v>
      </c>
      <c r="C18" s="65" t="s">
        <v>8</v>
      </c>
      <c r="D18" s="66" t="s">
        <v>40</v>
      </c>
      <c r="E18" s="9" t="s">
        <v>21</v>
      </c>
      <c r="F18" s="8">
        <f>(INT(Table_Estonia[[#This Row],[Date]]) - DATE(1970, 1, 1)) * 86400000</f>
        <v>1726617600000</v>
      </c>
      <c r="G18" s="10">
        <f>'GMT Glossary'!$B$2</f>
        <v>3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06:00</v>
      </c>
      <c r="J18" s="2"/>
    </row>
    <row r="19" spans="1:10" ht="15.75" x14ac:dyDescent="0.25">
      <c r="A19" s="60">
        <v>45553</v>
      </c>
      <c r="B19" s="51">
        <v>0.16666666666666666</v>
      </c>
      <c r="C19" s="33" t="s">
        <v>8</v>
      </c>
      <c r="D19" s="44" t="s">
        <v>64</v>
      </c>
      <c r="E19" s="9" t="s">
        <v>72</v>
      </c>
      <c r="F19" s="8">
        <f>(INT(Table_Estonia[[#This Row],[Date]]) - DATE(1970, 1, 1)) * 86400000</f>
        <v>1726617600000</v>
      </c>
      <c r="G19" s="10">
        <f>'GMT Glossary'!$B$2</f>
        <v>3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07:00</v>
      </c>
      <c r="J19" s="2"/>
    </row>
    <row r="20" spans="1:10" x14ac:dyDescent="0.25">
      <c r="A20" s="64">
        <v>45553</v>
      </c>
      <c r="B20" s="68">
        <v>0.20833333333333334</v>
      </c>
      <c r="C20" s="65" t="s">
        <v>8</v>
      </c>
      <c r="D20" s="66" t="s">
        <v>124</v>
      </c>
      <c r="E20" s="9" t="s">
        <v>21</v>
      </c>
      <c r="F20" s="8">
        <f>(INT(Table_Estonia[[#This Row],[Date]]) - DATE(1970, 1, 1)) * 86400000</f>
        <v>1726617600000</v>
      </c>
      <c r="G20">
        <f>'GMT Glossary'!$B$2</f>
        <v>3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08:00</v>
      </c>
      <c r="J20" s="2"/>
    </row>
    <row r="21" spans="1:10" ht="15.75" x14ac:dyDescent="0.25">
      <c r="A21" s="60">
        <v>45553</v>
      </c>
      <c r="B21" s="51">
        <v>0.25</v>
      </c>
      <c r="C21" s="33" t="s">
        <v>398</v>
      </c>
      <c r="D21" s="44" t="s">
        <v>161</v>
      </c>
      <c r="E21" s="9" t="s">
        <v>72</v>
      </c>
      <c r="F21" s="8">
        <f>(INT(Table_Estonia[[#This Row],[Date]]) - DATE(1970, 1, 1)) * 86400000</f>
        <v>1726617600000</v>
      </c>
      <c r="G21" s="10">
        <f>'GMT Glossary'!$B$2</f>
        <v>3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09:00</v>
      </c>
      <c r="J21" s="2"/>
    </row>
    <row r="22" spans="1:10" x14ac:dyDescent="0.25">
      <c r="A22" s="64">
        <v>45553</v>
      </c>
      <c r="B22" s="68">
        <v>0.29166666666666669</v>
      </c>
      <c r="C22" s="65" t="s">
        <v>8</v>
      </c>
      <c r="D22" s="66" t="s">
        <v>66</v>
      </c>
      <c r="E22" s="9" t="s">
        <v>21</v>
      </c>
      <c r="F22" s="8">
        <f>(INT(Table_Estonia[[#This Row],[Date]]) - DATE(1970, 1, 1)) * 86400000</f>
        <v>1726617600000</v>
      </c>
      <c r="G22" s="10">
        <f>'GMT Glossary'!$B$2</f>
        <v>3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10:00</v>
      </c>
      <c r="J22" s="2"/>
    </row>
    <row r="23" spans="1:10" x14ac:dyDescent="0.25">
      <c r="A23" s="64">
        <v>45553</v>
      </c>
      <c r="B23" s="68">
        <v>0.375</v>
      </c>
      <c r="C23" s="65" t="s">
        <v>8</v>
      </c>
      <c r="D23" s="66" t="s">
        <v>46</v>
      </c>
      <c r="E23" s="9" t="s">
        <v>21</v>
      </c>
      <c r="F23" s="8">
        <f>(INT(Table_Estonia[[#This Row],[Date]]) - DATE(1970, 1, 1)) * 86400000</f>
        <v>1726617600000</v>
      </c>
      <c r="G23">
        <f>'GMT Glossary'!$B$2</f>
        <v>3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12:00</v>
      </c>
      <c r="J23" s="2"/>
    </row>
    <row r="24" spans="1:10" ht="15.75" x14ac:dyDescent="0.25">
      <c r="A24" s="60">
        <v>45553</v>
      </c>
      <c r="B24" s="51">
        <v>0.375</v>
      </c>
      <c r="C24" s="33" t="s">
        <v>8</v>
      </c>
      <c r="D24" s="44" t="s">
        <v>66</v>
      </c>
      <c r="E24" s="9" t="s">
        <v>72</v>
      </c>
      <c r="F24" s="8">
        <f>(INT(Table_Estonia[[#This Row],[Date]]) - DATE(1970, 1, 1)) * 86400000</f>
        <v>1726617600000</v>
      </c>
      <c r="G24" s="10">
        <f>'GMT Glossary'!$B$2</f>
        <v>3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12:00</v>
      </c>
      <c r="J24" s="2"/>
    </row>
    <row r="25" spans="1:10" x14ac:dyDescent="0.25">
      <c r="A25" s="64">
        <v>45553</v>
      </c>
      <c r="B25" s="68">
        <v>0.45833333333333331</v>
      </c>
      <c r="C25" s="65" t="s">
        <v>8</v>
      </c>
      <c r="D25" s="66" t="s">
        <v>34</v>
      </c>
      <c r="E25" s="9" t="s">
        <v>21</v>
      </c>
      <c r="F25" s="8">
        <f>(INT(Table_Estonia[[#This Row],[Date]]) - DATE(1970, 1, 1)) * 86400000</f>
        <v>1726617600000</v>
      </c>
      <c r="G25" s="10">
        <f>'GMT Glossary'!$B$2</f>
        <v>3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14:00</v>
      </c>
      <c r="J25" s="2"/>
    </row>
    <row r="26" spans="1:10" ht="15.75" x14ac:dyDescent="0.25">
      <c r="A26" s="60">
        <v>45553</v>
      </c>
      <c r="B26" s="51">
        <v>0.45833333333333331</v>
      </c>
      <c r="C26" s="33" t="s">
        <v>8</v>
      </c>
      <c r="D26" s="44" t="s">
        <v>162</v>
      </c>
      <c r="E26" s="9" t="s">
        <v>72</v>
      </c>
      <c r="F26" s="8">
        <f>(INT(Table_Estonia[[#This Row],[Date]]) - DATE(1970, 1, 1)) * 86400000</f>
        <v>1726617600000</v>
      </c>
      <c r="G26" s="10">
        <f>'GMT Glossary'!$B$2</f>
        <v>3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14:00</v>
      </c>
      <c r="J26" s="2"/>
    </row>
    <row r="27" spans="1:10" x14ac:dyDescent="0.25">
      <c r="A27" s="64">
        <v>45553</v>
      </c>
      <c r="B27" s="68">
        <v>0.5</v>
      </c>
      <c r="C27" s="65" t="s">
        <v>8</v>
      </c>
      <c r="D27" s="66" t="s">
        <v>41</v>
      </c>
      <c r="E27" s="9" t="s">
        <v>21</v>
      </c>
      <c r="F27" s="8">
        <f>(INT(Table_Estonia[[#This Row],[Date]]) - DATE(1970, 1, 1)) * 86400000</f>
        <v>1726617600000</v>
      </c>
      <c r="G27">
        <f>'GMT Glossary'!$B$2</f>
        <v>3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15:00</v>
      </c>
      <c r="J27" s="2"/>
    </row>
    <row r="28" spans="1:10" ht="15.75" x14ac:dyDescent="0.25">
      <c r="A28" s="60">
        <v>45553</v>
      </c>
      <c r="B28" s="51">
        <v>0.5</v>
      </c>
      <c r="C28" s="33" t="s">
        <v>8</v>
      </c>
      <c r="D28" s="44" t="s">
        <v>163</v>
      </c>
      <c r="E28" s="9" t="s">
        <v>72</v>
      </c>
      <c r="F28" s="8">
        <f>(INT(Table_Estonia[[#This Row],[Date]]) - DATE(1970, 1, 1)) * 86400000</f>
        <v>1726617600000</v>
      </c>
      <c r="G28" s="10">
        <f>'GMT Glossary'!$B$2</f>
        <v>3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15:00</v>
      </c>
      <c r="J28" s="2"/>
    </row>
    <row r="29" spans="1:10" x14ac:dyDescent="0.25">
      <c r="A29" s="64">
        <v>45553</v>
      </c>
      <c r="B29" s="68">
        <v>0.58333333333333337</v>
      </c>
      <c r="C29" s="65" t="s">
        <v>8</v>
      </c>
      <c r="D29" s="66" t="s">
        <v>65</v>
      </c>
      <c r="E29" s="9" t="s">
        <v>21</v>
      </c>
      <c r="F29" s="8">
        <f>(INT(Table_Estonia[[#This Row],[Date]]) - DATE(1970, 1, 1)) * 86400000</f>
        <v>1726617600000</v>
      </c>
      <c r="G29" s="10">
        <f>'GMT Glossary'!$B$2</f>
        <v>3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17:00</v>
      </c>
      <c r="J29" s="2"/>
    </row>
    <row r="30" spans="1:10" ht="15.75" x14ac:dyDescent="0.25">
      <c r="A30" s="60">
        <v>45553</v>
      </c>
      <c r="B30" s="51">
        <v>0.58333333333333337</v>
      </c>
      <c r="C30" s="33" t="s">
        <v>8</v>
      </c>
      <c r="D30" s="44" t="s">
        <v>68</v>
      </c>
      <c r="E30" s="9" t="s">
        <v>72</v>
      </c>
      <c r="F30" s="8">
        <f>(INT(Table_Estonia[[#This Row],[Date]]) - DATE(1970, 1, 1)) * 86400000</f>
        <v>1726617600000</v>
      </c>
      <c r="G30" s="10">
        <f>'GMT Glossary'!$B$2</f>
        <v>3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17:00</v>
      </c>
      <c r="J30" s="2"/>
    </row>
    <row r="31" spans="1:10" x14ac:dyDescent="0.25">
      <c r="A31" s="64">
        <v>45553</v>
      </c>
      <c r="B31" s="68">
        <v>0.66666666666666663</v>
      </c>
      <c r="C31" s="65" t="s">
        <v>8</v>
      </c>
      <c r="D31" s="66" t="s">
        <v>125</v>
      </c>
      <c r="E31" s="9" t="s">
        <v>21</v>
      </c>
      <c r="F31" s="8">
        <f>(INT(Table_Estonia[[#This Row],[Date]]) - DATE(1970, 1, 1)) * 86400000</f>
        <v>1726617600000</v>
      </c>
      <c r="G31" s="10">
        <f>'GMT Glossary'!$B$2</f>
        <v>3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19:00</v>
      </c>
      <c r="J31" s="2"/>
    </row>
    <row r="32" spans="1:10" ht="15.75" x14ac:dyDescent="0.25">
      <c r="A32" s="60">
        <v>45553</v>
      </c>
      <c r="B32" s="51">
        <v>0.66666666666666663</v>
      </c>
      <c r="C32" s="33" t="s">
        <v>8</v>
      </c>
      <c r="D32" s="44" t="s">
        <v>60</v>
      </c>
      <c r="E32" s="9" t="s">
        <v>72</v>
      </c>
      <c r="F32" s="8">
        <f>(INT(Table_Estonia[[#This Row],[Date]]) - DATE(1970, 1, 1)) * 86400000</f>
        <v>1726617600000</v>
      </c>
      <c r="G32" s="10">
        <f>'GMT Glossary'!$B$2</f>
        <v>3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19:00</v>
      </c>
      <c r="J32" s="2"/>
    </row>
    <row r="33" spans="1:10" x14ac:dyDescent="0.25">
      <c r="A33" s="64">
        <v>45553</v>
      </c>
      <c r="B33" s="68">
        <v>0.75</v>
      </c>
      <c r="C33" s="65" t="s">
        <v>8</v>
      </c>
      <c r="D33" s="66" t="s">
        <v>38</v>
      </c>
      <c r="E33" s="9" t="s">
        <v>21</v>
      </c>
      <c r="F33" s="8">
        <f>(INT(Table_Estonia[[#This Row],[Date]]) - DATE(1970, 1, 1)) * 86400000</f>
        <v>1726617600000</v>
      </c>
      <c r="G33">
        <f>'GMT Glossary'!$B$2</f>
        <v>3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21:00</v>
      </c>
      <c r="J33" s="2"/>
    </row>
    <row r="34" spans="1:10" ht="15.75" x14ac:dyDescent="0.25">
      <c r="A34" s="60">
        <v>45553</v>
      </c>
      <c r="B34" s="51">
        <v>0.75</v>
      </c>
      <c r="C34" s="33" t="s">
        <v>8</v>
      </c>
      <c r="D34" s="44" t="s">
        <v>65</v>
      </c>
      <c r="E34" s="9" t="s">
        <v>72</v>
      </c>
      <c r="F34" s="8">
        <f>(INT(Table_Estonia[[#This Row],[Date]]) - DATE(1970, 1, 1)) * 86400000</f>
        <v>1726617600000</v>
      </c>
      <c r="G34" s="10">
        <f>'GMT Glossary'!$B$2</f>
        <v>3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21:00</v>
      </c>
      <c r="J34" s="2"/>
    </row>
    <row r="35" spans="1:10" x14ac:dyDescent="0.25">
      <c r="A35" s="64">
        <v>45553</v>
      </c>
      <c r="B35" s="68">
        <v>0.83333333333333337</v>
      </c>
      <c r="C35" s="65" t="s">
        <v>8</v>
      </c>
      <c r="D35" s="67" t="s">
        <v>126</v>
      </c>
      <c r="E35" s="9" t="s">
        <v>21</v>
      </c>
      <c r="F35" s="8">
        <f>(INT(Table_Estonia[[#This Row],[Date]]) - DATE(1970, 1, 1)) * 86400000</f>
        <v>1726617600000</v>
      </c>
      <c r="G35" s="10">
        <f>'GMT Glossary'!$B$2</f>
        <v>3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23:00</v>
      </c>
      <c r="J35" s="2"/>
    </row>
    <row r="36" spans="1:10" ht="15.75" x14ac:dyDescent="0.25">
      <c r="A36" s="60">
        <v>45553</v>
      </c>
      <c r="B36" s="51">
        <v>0.83333333333333337</v>
      </c>
      <c r="C36" s="33" t="s">
        <v>8</v>
      </c>
      <c r="D36" s="44" t="s">
        <v>46</v>
      </c>
      <c r="E36" s="9" t="s">
        <v>72</v>
      </c>
      <c r="F36" s="8">
        <f>(INT(Table_Estonia[[#This Row],[Date]]) - DATE(1970, 1, 1)) * 86400000</f>
        <v>1726617600000</v>
      </c>
      <c r="G36" s="10">
        <f>'GMT Glossary'!$B$2</f>
        <v>3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23:00</v>
      </c>
      <c r="J36" s="2"/>
    </row>
    <row r="37" spans="1:10" x14ac:dyDescent="0.25">
      <c r="A37" s="64">
        <v>45553</v>
      </c>
      <c r="B37" s="68">
        <v>0.91666666666666663</v>
      </c>
      <c r="C37" s="65" t="s">
        <v>8</v>
      </c>
      <c r="D37" s="66" t="s">
        <v>120</v>
      </c>
      <c r="E37" s="9" t="s">
        <v>21</v>
      </c>
      <c r="F37" s="8">
        <f>(INT(Table_Estonia[[#This Row],[Date]]) - DATE(1970, 1, 1)) * 86400000</f>
        <v>1726617600000</v>
      </c>
      <c r="G37">
        <f>'GMT Glossary'!$B$2</f>
        <v>3</v>
      </c>
      <c r="H37" s="2" t="str">
        <f>TEXT(IF(B37&lt;0, A37+1+((B37+(G37/24))-(INT(B37+(G37/24)))), A37+(B37+(G37/24))), "yyyy-mm-dd")</f>
        <v>2024-09-19</v>
      </c>
      <c r="I37" s="2" t="str">
        <f>TEXT(IF(B37&lt;0, A37+1+((B37+(G37/24))-(INT(B37+(G37/24)))), A37+(B37+(G37/24))), "hh:mm")</f>
        <v>01:00</v>
      </c>
      <c r="J37" s="2"/>
    </row>
    <row r="38" spans="1:10" ht="15.75" x14ac:dyDescent="0.25">
      <c r="A38" s="60">
        <v>45553</v>
      </c>
      <c r="B38" s="51">
        <v>0.91666666666666663</v>
      </c>
      <c r="C38" s="33" t="s">
        <v>8</v>
      </c>
      <c r="D38" s="44" t="s">
        <v>69</v>
      </c>
      <c r="E38" s="9" t="s">
        <v>72</v>
      </c>
      <c r="F38" s="8">
        <f>(INT(Table_Estonia[[#This Row],[Date]]) - DATE(1970, 1, 1)) * 86400000</f>
        <v>1726617600000</v>
      </c>
      <c r="G38" s="10">
        <f>'GMT Glossary'!$B$2</f>
        <v>3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01:00</v>
      </c>
      <c r="J38" s="2"/>
    </row>
    <row r="39" spans="1:10" x14ac:dyDescent="0.25">
      <c r="A39" s="64">
        <v>45553</v>
      </c>
      <c r="B39" s="68">
        <v>0.95833333333333337</v>
      </c>
      <c r="C39" s="65" t="s">
        <v>8</v>
      </c>
      <c r="D39" s="66" t="s">
        <v>42</v>
      </c>
      <c r="E39" s="9" t="s">
        <v>21</v>
      </c>
      <c r="F39" s="8">
        <f>(INT(Table_Estonia[[#This Row],[Date]]) - DATE(1970, 1, 1)) * 86400000</f>
        <v>1726617600000</v>
      </c>
      <c r="G39" s="10">
        <f>'GMT Glossary'!$B$2</f>
        <v>3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02:00</v>
      </c>
      <c r="J39" s="2"/>
    </row>
    <row r="40" spans="1:10" ht="15.75" x14ac:dyDescent="0.25">
      <c r="A40" s="60">
        <v>45554</v>
      </c>
      <c r="B40" s="51">
        <v>0</v>
      </c>
      <c r="C40" s="33" t="s">
        <v>8</v>
      </c>
      <c r="D40" s="44" t="s">
        <v>33</v>
      </c>
      <c r="E40" s="9" t="s">
        <v>72</v>
      </c>
      <c r="F40" s="8">
        <f>(INT(Table_Estonia[[#This Row],[Date]]) - DATE(1970, 1, 1)) * 86400000</f>
        <v>1726704000000</v>
      </c>
      <c r="G40" s="10">
        <f>'GMT Glossary'!$B$2</f>
        <v>3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03:00</v>
      </c>
      <c r="J40" s="2"/>
    </row>
    <row r="41" spans="1:10" x14ac:dyDescent="0.25">
      <c r="A41" s="64">
        <v>45554</v>
      </c>
      <c r="B41" s="68">
        <v>4.1666666666666664E-2</v>
      </c>
      <c r="C41" s="65" t="s">
        <v>8</v>
      </c>
      <c r="D41" s="66" t="s">
        <v>35</v>
      </c>
      <c r="E41" s="9" t="s">
        <v>21</v>
      </c>
      <c r="F41" s="8">
        <f>(INT(Table_Estonia[[#This Row],[Date]]) - DATE(1970, 1, 1)) * 86400000</f>
        <v>1726704000000</v>
      </c>
      <c r="G41">
        <f>'GMT Glossary'!$B$2</f>
        <v>3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04:00</v>
      </c>
      <c r="J41" s="2"/>
    </row>
    <row r="42" spans="1:10" ht="15.75" x14ac:dyDescent="0.25">
      <c r="A42" s="60">
        <v>45554</v>
      </c>
      <c r="B42" s="51">
        <v>8.3333333333333329E-2</v>
      </c>
      <c r="C42" s="33" t="s">
        <v>8</v>
      </c>
      <c r="D42" s="44" t="s">
        <v>62</v>
      </c>
      <c r="E42" s="9" t="s">
        <v>72</v>
      </c>
      <c r="F42" s="8">
        <f>(INT(Table_Estonia[[#This Row],[Date]]) - DATE(1970, 1, 1)) * 86400000</f>
        <v>1726704000000</v>
      </c>
      <c r="G42" s="10">
        <f>'GMT Glossary'!$B$2</f>
        <v>3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05:00</v>
      </c>
      <c r="J42" s="2"/>
    </row>
    <row r="43" spans="1:10" x14ac:dyDescent="0.25">
      <c r="A43" s="64">
        <v>45554</v>
      </c>
      <c r="B43" s="68">
        <v>0.125</v>
      </c>
      <c r="C43" s="65" t="s">
        <v>8</v>
      </c>
      <c r="D43" s="66" t="s">
        <v>36</v>
      </c>
      <c r="E43" s="9" t="s">
        <v>21</v>
      </c>
      <c r="F43" s="8">
        <f>(INT(Table_Estonia[[#This Row],[Date]]) - DATE(1970, 1, 1)) * 86400000</f>
        <v>1726704000000</v>
      </c>
      <c r="G43">
        <f>'GMT Glossary'!$B$2</f>
        <v>3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06:00</v>
      </c>
      <c r="J43" s="2"/>
    </row>
    <row r="44" spans="1:10" ht="15.75" x14ac:dyDescent="0.25">
      <c r="A44" s="60">
        <v>45554</v>
      </c>
      <c r="B44" s="51">
        <v>0.16666666666666666</v>
      </c>
      <c r="C44" s="33" t="s">
        <v>398</v>
      </c>
      <c r="D44" s="44" t="s">
        <v>52</v>
      </c>
      <c r="E44" s="9" t="s">
        <v>72</v>
      </c>
      <c r="F44" s="8">
        <f>(INT(Table_Estonia[[#This Row],[Date]]) - DATE(1970, 1, 1)) * 86400000</f>
        <v>1726704000000</v>
      </c>
      <c r="G44" s="10">
        <f>'GMT Glossary'!$B$2</f>
        <v>3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07:00</v>
      </c>
      <c r="J44" s="2"/>
    </row>
    <row r="45" spans="1:10" x14ac:dyDescent="0.25">
      <c r="A45" s="64">
        <v>45554</v>
      </c>
      <c r="B45" s="68">
        <v>0.20833333333333334</v>
      </c>
      <c r="C45" s="65" t="s">
        <v>8</v>
      </c>
      <c r="D45" s="66" t="s">
        <v>37</v>
      </c>
      <c r="E45" s="9" t="s">
        <v>21</v>
      </c>
      <c r="F45" s="8">
        <f>(INT(Table_Estonia[[#This Row],[Date]]) - DATE(1970, 1, 1)) * 86400000</f>
        <v>1726704000000</v>
      </c>
      <c r="G45" s="10">
        <f>'GMT Glossary'!$B$2</f>
        <v>3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08:00</v>
      </c>
      <c r="J45" s="2"/>
    </row>
    <row r="46" spans="1:10" ht="15.75" x14ac:dyDescent="0.25">
      <c r="A46" s="60">
        <v>45554</v>
      </c>
      <c r="B46" s="51">
        <v>0.25</v>
      </c>
      <c r="C46" s="33" t="s">
        <v>8</v>
      </c>
      <c r="D46" s="44" t="s">
        <v>41</v>
      </c>
      <c r="E46" s="9" t="s">
        <v>72</v>
      </c>
      <c r="F46" s="8">
        <f>(INT(Table_Estonia[[#This Row],[Date]]) - DATE(1970, 1, 1)) * 86400000</f>
        <v>1726704000000</v>
      </c>
      <c r="G46" s="10">
        <f>'GMT Glossary'!$B$2</f>
        <v>3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09:00</v>
      </c>
      <c r="J46" s="2"/>
    </row>
    <row r="47" spans="1:10" x14ac:dyDescent="0.25">
      <c r="A47" s="64">
        <v>45554</v>
      </c>
      <c r="B47" s="68">
        <v>0.29166666666666669</v>
      </c>
      <c r="C47" s="65" t="s">
        <v>8</v>
      </c>
      <c r="D47" s="66" t="s">
        <v>66</v>
      </c>
      <c r="E47" s="9" t="s">
        <v>21</v>
      </c>
      <c r="F47" s="8">
        <f>(INT(Table_Estonia[[#This Row],[Date]]) - DATE(1970, 1, 1)) * 86400000</f>
        <v>1726704000000</v>
      </c>
      <c r="G47">
        <f>'GMT Glossary'!$B$2</f>
        <v>3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10:00</v>
      </c>
      <c r="J47" s="2"/>
    </row>
    <row r="48" spans="1:10" ht="15.75" x14ac:dyDescent="0.25">
      <c r="A48" s="60">
        <v>45554</v>
      </c>
      <c r="B48" s="51">
        <v>0.33333333333333331</v>
      </c>
      <c r="C48" s="33" t="s">
        <v>8</v>
      </c>
      <c r="D48" s="44" t="s">
        <v>35</v>
      </c>
      <c r="E48" s="9" t="s">
        <v>72</v>
      </c>
      <c r="F48" s="8">
        <f>(INT(Table_Estonia[[#This Row],[Date]]) - DATE(1970, 1, 1)) * 86400000</f>
        <v>1726704000000</v>
      </c>
      <c r="G48" s="10">
        <f>'GMT Glossary'!$B$2</f>
        <v>3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11:00</v>
      </c>
      <c r="J48" s="2"/>
    </row>
    <row r="49" spans="1:10" x14ac:dyDescent="0.25">
      <c r="A49" s="64">
        <v>45554</v>
      </c>
      <c r="B49" s="68">
        <v>0.375</v>
      </c>
      <c r="C49" s="65" t="s">
        <v>8</v>
      </c>
      <c r="D49" s="66" t="s">
        <v>68</v>
      </c>
      <c r="E49" s="9" t="s">
        <v>21</v>
      </c>
      <c r="F49" s="8">
        <f>(INT(Table_Estonia[[#This Row],[Date]]) - DATE(1970, 1, 1)) * 86400000</f>
        <v>1726704000000</v>
      </c>
      <c r="G49" s="10">
        <f>'GMT Glossary'!$B$2</f>
        <v>3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12:00</v>
      </c>
      <c r="J49" s="2"/>
    </row>
    <row r="50" spans="1:10" ht="15.75" x14ac:dyDescent="0.25">
      <c r="A50" s="60">
        <v>45554</v>
      </c>
      <c r="B50" s="51">
        <v>0.41666666666666669</v>
      </c>
      <c r="C50" s="33" t="s">
        <v>8</v>
      </c>
      <c r="D50" s="44" t="s">
        <v>59</v>
      </c>
      <c r="E50" s="9" t="s">
        <v>72</v>
      </c>
      <c r="F50" s="8">
        <f>(INT(Table_Estonia[[#This Row],[Date]]) - DATE(1970, 1, 1)) * 86400000</f>
        <v>1726704000000</v>
      </c>
      <c r="G50" s="10">
        <f>'GMT Glossary'!$B$2</f>
        <v>3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13:00</v>
      </c>
      <c r="J50" s="2"/>
    </row>
    <row r="51" spans="1:10" x14ac:dyDescent="0.25">
      <c r="A51" s="64">
        <v>45554</v>
      </c>
      <c r="B51" s="68">
        <v>0.45833333333333331</v>
      </c>
      <c r="C51" s="65" t="s">
        <v>8</v>
      </c>
      <c r="D51" s="66" t="s">
        <v>120</v>
      </c>
      <c r="E51" s="9" t="s">
        <v>21</v>
      </c>
      <c r="F51" s="8">
        <f>(INT(Table_Estonia[[#This Row],[Date]]) - DATE(1970, 1, 1)) * 86400000</f>
        <v>1726704000000</v>
      </c>
      <c r="G51">
        <f>'GMT Glossary'!$B$2</f>
        <v>3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14:00</v>
      </c>
      <c r="J51" s="2"/>
    </row>
    <row r="52" spans="1:10" ht="15.75" x14ac:dyDescent="0.25">
      <c r="A52" s="60">
        <v>45554</v>
      </c>
      <c r="B52" s="51">
        <v>0.45833333333333331</v>
      </c>
      <c r="C52" s="33" t="s">
        <v>8</v>
      </c>
      <c r="D52" s="44" t="s">
        <v>164</v>
      </c>
      <c r="E52" s="9" t="s">
        <v>72</v>
      </c>
      <c r="F52" s="8">
        <f>(INT(Table_Estonia[[#This Row],[Date]]) - DATE(1970, 1, 1)) * 86400000</f>
        <v>1726704000000</v>
      </c>
      <c r="G52" s="10">
        <f>'GMT Glossary'!$B$2</f>
        <v>3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14:00</v>
      </c>
      <c r="J52" s="2"/>
    </row>
    <row r="53" spans="1:10" x14ac:dyDescent="0.25">
      <c r="A53" s="64">
        <v>45554</v>
      </c>
      <c r="B53" s="68">
        <v>0.5</v>
      </c>
      <c r="C53" s="65" t="s">
        <v>8</v>
      </c>
      <c r="D53" s="69" t="s">
        <v>44</v>
      </c>
      <c r="E53" s="9" t="s">
        <v>21</v>
      </c>
      <c r="F53" s="8">
        <f>(INT(Table_Estonia[[#This Row],[Date]]) - DATE(1970, 1, 1)) * 86400000</f>
        <v>1726704000000</v>
      </c>
      <c r="G53" s="10">
        <f>'GMT Glossary'!$B$2</f>
        <v>3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15:00</v>
      </c>
      <c r="J53" s="2"/>
    </row>
    <row r="54" spans="1:10" ht="15.75" x14ac:dyDescent="0.25">
      <c r="A54" s="60">
        <v>45554</v>
      </c>
      <c r="B54" s="51">
        <v>0.5</v>
      </c>
      <c r="C54" s="33" t="s">
        <v>8</v>
      </c>
      <c r="D54" s="44" t="s">
        <v>48</v>
      </c>
      <c r="E54" s="9" t="s">
        <v>72</v>
      </c>
      <c r="F54" s="8">
        <f>(INT(Table_Estonia[[#This Row],[Date]]) - DATE(1970, 1, 1)) * 86400000</f>
        <v>1726704000000</v>
      </c>
      <c r="G54" s="10">
        <f>'GMT Glossary'!$B$2</f>
        <v>3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15:00</v>
      </c>
      <c r="J54" s="2"/>
    </row>
    <row r="55" spans="1:10" x14ac:dyDescent="0.25">
      <c r="A55" s="64">
        <v>45554</v>
      </c>
      <c r="B55" s="68">
        <v>0.58333333333333337</v>
      </c>
      <c r="C55" s="65" t="s">
        <v>8</v>
      </c>
      <c r="D55" s="66" t="s">
        <v>49</v>
      </c>
      <c r="E55" s="9" t="s">
        <v>21</v>
      </c>
      <c r="F55" s="8">
        <f>(INT(Table_Estonia[[#This Row],[Date]]) - DATE(1970, 1, 1)) * 86400000</f>
        <v>1726704000000</v>
      </c>
      <c r="G55">
        <f>'GMT Glossary'!$B$2</f>
        <v>3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17:00</v>
      </c>
      <c r="J55" s="2"/>
    </row>
    <row r="56" spans="1:10" ht="15.75" x14ac:dyDescent="0.25">
      <c r="A56" s="60">
        <v>45554</v>
      </c>
      <c r="B56" s="51">
        <v>0.58333333333333337</v>
      </c>
      <c r="C56" s="33" t="s">
        <v>8</v>
      </c>
      <c r="D56" s="44" t="s">
        <v>51</v>
      </c>
      <c r="E56" s="9" t="s">
        <v>72</v>
      </c>
      <c r="F56" s="8">
        <f>(INT(Table_Estonia[[#This Row],[Date]]) - DATE(1970, 1, 1)) * 86400000</f>
        <v>1726704000000</v>
      </c>
      <c r="G56" s="10">
        <f>'GMT Glossary'!$B$2</f>
        <v>3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17:00</v>
      </c>
      <c r="J56" s="2"/>
    </row>
    <row r="57" spans="1:10" x14ac:dyDescent="0.25">
      <c r="A57" s="64">
        <v>45554</v>
      </c>
      <c r="B57" s="68">
        <v>0.66666666666666663</v>
      </c>
      <c r="C57" s="65" t="s">
        <v>399</v>
      </c>
      <c r="D57" s="69" t="s">
        <v>32</v>
      </c>
      <c r="E57" s="9" t="s">
        <v>21</v>
      </c>
      <c r="F57" s="8">
        <f>(INT(Table_Estonia[[#This Row],[Date]]) - DATE(1970, 1, 1)) * 86400000</f>
        <v>1726704000000</v>
      </c>
      <c r="G57" s="10">
        <f>'GMT Glossary'!$B$2</f>
        <v>3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19:00</v>
      </c>
      <c r="J57" s="2"/>
    </row>
    <row r="58" spans="1:10" ht="15.75" x14ac:dyDescent="0.25">
      <c r="A58" s="60">
        <v>45554</v>
      </c>
      <c r="B58" s="51">
        <v>0.66666666666666663</v>
      </c>
      <c r="C58" s="33" t="s">
        <v>8</v>
      </c>
      <c r="D58" s="44" t="s">
        <v>165</v>
      </c>
      <c r="E58" s="9" t="s">
        <v>72</v>
      </c>
      <c r="F58" s="8">
        <f>(INT(Table_Estonia[[#This Row],[Date]]) - DATE(1970, 1, 1)) * 86400000</f>
        <v>1726704000000</v>
      </c>
      <c r="G58" s="10">
        <f>'GMT Glossary'!$B$2</f>
        <v>3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19:00</v>
      </c>
      <c r="J58" s="2"/>
    </row>
    <row r="59" spans="1:10" ht="15.75" x14ac:dyDescent="0.25">
      <c r="A59" s="60">
        <v>45554</v>
      </c>
      <c r="B59" s="51">
        <v>0.75</v>
      </c>
      <c r="C59" s="33" t="s">
        <v>400</v>
      </c>
      <c r="D59" s="44" t="s">
        <v>54</v>
      </c>
      <c r="E59" s="9" t="s">
        <v>72</v>
      </c>
      <c r="F59" s="8">
        <f>(INT(Table_Estonia[[#This Row],[Date]]) - DATE(1970, 1, 1)) * 86400000</f>
        <v>1726704000000</v>
      </c>
      <c r="G59" s="10">
        <f>'GMT Glossary'!$B$2</f>
        <v>3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21:00</v>
      </c>
      <c r="J59" s="2"/>
    </row>
    <row r="60" spans="1:10" x14ac:dyDescent="0.25">
      <c r="A60" s="64">
        <v>45554</v>
      </c>
      <c r="B60" s="68">
        <v>0.79166666666666663</v>
      </c>
      <c r="C60" s="65" t="s">
        <v>8</v>
      </c>
      <c r="D60" s="66" t="s">
        <v>34</v>
      </c>
      <c r="E60" s="9" t="s">
        <v>21</v>
      </c>
      <c r="F60" s="8">
        <f>(INT(Table_Estonia[[#This Row],[Date]]) - DATE(1970, 1, 1)) * 86400000</f>
        <v>1726704000000</v>
      </c>
      <c r="G60">
        <f>'GMT Glossary'!$B$2</f>
        <v>3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22:00</v>
      </c>
      <c r="J60" s="2"/>
    </row>
    <row r="61" spans="1:10" x14ac:dyDescent="0.25">
      <c r="A61" s="64">
        <v>45554</v>
      </c>
      <c r="B61" s="68">
        <v>0.83333333333333337</v>
      </c>
      <c r="C61" s="65" t="s">
        <v>8</v>
      </c>
      <c r="D61" s="67" t="s">
        <v>127</v>
      </c>
      <c r="E61" s="9" t="s">
        <v>21</v>
      </c>
      <c r="F61" s="8">
        <f>(INT(Table_Estonia[[#This Row],[Date]]) - DATE(1970, 1, 1)) * 86400000</f>
        <v>1726704000000</v>
      </c>
      <c r="G61" s="10">
        <f>'GMT Glossary'!$B$2</f>
        <v>3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23:00</v>
      </c>
      <c r="J61" s="2"/>
    </row>
    <row r="62" spans="1:10" ht="15.75" x14ac:dyDescent="0.25">
      <c r="A62" s="60">
        <v>45554</v>
      </c>
      <c r="B62" s="51">
        <v>0.875</v>
      </c>
      <c r="C62" s="33" t="s">
        <v>8</v>
      </c>
      <c r="D62" s="44" t="s">
        <v>166</v>
      </c>
      <c r="E62" s="9" t="s">
        <v>72</v>
      </c>
      <c r="F62" s="8">
        <f>(INT(Table_Estonia[[#This Row],[Date]]) - DATE(1970, 1, 1)) * 86400000</f>
        <v>1726704000000</v>
      </c>
      <c r="G62" s="10">
        <f>'GMT Glossary'!$B$2</f>
        <v>3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00:00</v>
      </c>
      <c r="J62" s="2"/>
    </row>
    <row r="63" spans="1:10" x14ac:dyDescent="0.25">
      <c r="A63" s="64">
        <v>45554</v>
      </c>
      <c r="B63" s="68">
        <v>0.91666666666666663</v>
      </c>
      <c r="C63" s="65" t="s">
        <v>398</v>
      </c>
      <c r="D63" s="69" t="s">
        <v>123</v>
      </c>
      <c r="E63" s="9" t="s">
        <v>21</v>
      </c>
      <c r="F63" s="8">
        <f>(INT(Table_Estonia[[#This Row],[Date]]) - DATE(1970, 1, 1)) * 86400000</f>
        <v>1726704000000</v>
      </c>
      <c r="G63">
        <f>'GMT Glossary'!$B$2</f>
        <v>3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01:00</v>
      </c>
      <c r="J63" s="2"/>
    </row>
    <row r="64" spans="1:10" ht="15.75" x14ac:dyDescent="0.25">
      <c r="A64" s="60">
        <v>45554</v>
      </c>
      <c r="B64" s="51">
        <v>0.95833333333333337</v>
      </c>
      <c r="C64" s="33" t="s">
        <v>8</v>
      </c>
      <c r="D64" s="44" t="s">
        <v>125</v>
      </c>
      <c r="E64" s="9" t="s">
        <v>72</v>
      </c>
      <c r="F64" s="8">
        <f>(INT(Table_Estonia[[#This Row],[Date]]) - DATE(1970, 1, 1)) * 86400000</f>
        <v>1726704000000</v>
      </c>
      <c r="G64" s="10">
        <f>'GMT Glossary'!$B$2</f>
        <v>3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02:00</v>
      </c>
      <c r="J64" s="2"/>
    </row>
    <row r="65" spans="1:10" x14ac:dyDescent="0.25">
      <c r="A65" s="64">
        <v>45555</v>
      </c>
      <c r="B65" s="68">
        <v>4.1666666666666664E-2</v>
      </c>
      <c r="C65" s="65" t="s">
        <v>8</v>
      </c>
      <c r="D65" s="66" t="s">
        <v>128</v>
      </c>
      <c r="E65" s="9" t="s">
        <v>21</v>
      </c>
      <c r="F65" s="8">
        <f>(INT(Table_Estonia[[#This Row],[Date]]) - DATE(1970, 1, 1)) * 86400000</f>
        <v>1726790400000</v>
      </c>
      <c r="G65" s="10">
        <f>'GMT Glossary'!$B$2</f>
        <v>3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04:00</v>
      </c>
      <c r="J65" s="2"/>
    </row>
    <row r="66" spans="1:10" ht="15.75" x14ac:dyDescent="0.25">
      <c r="A66" s="60">
        <v>45555</v>
      </c>
      <c r="B66" s="51">
        <v>4.1666666666666664E-2</v>
      </c>
      <c r="C66" s="33" t="s">
        <v>8</v>
      </c>
      <c r="D66" s="44" t="s">
        <v>55</v>
      </c>
      <c r="E66" s="9" t="s">
        <v>72</v>
      </c>
      <c r="F66" s="8">
        <f>(INT(Table_Estonia[[#This Row],[Date]]) - DATE(1970, 1, 1)) * 86400000</f>
        <v>1726790400000</v>
      </c>
      <c r="G66" s="10">
        <f>'GMT Glossary'!$B$2</f>
        <v>3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04:00</v>
      </c>
      <c r="J66" s="2"/>
    </row>
    <row r="67" spans="1:10" ht="15.75" x14ac:dyDescent="0.25">
      <c r="A67" s="60">
        <v>45555</v>
      </c>
      <c r="B67" s="51">
        <v>8.3333333333333329E-2</v>
      </c>
      <c r="C67" s="33" t="s">
        <v>8</v>
      </c>
      <c r="D67" s="44" t="s">
        <v>160</v>
      </c>
      <c r="E67" s="9" t="s">
        <v>72</v>
      </c>
      <c r="F67" s="8">
        <f>(INT(Table_Estonia[[#This Row],[Date]]) - DATE(1970, 1, 1)) * 86400000</f>
        <v>1726790400000</v>
      </c>
      <c r="G67" s="10">
        <f>'GMT Glossary'!$B$2</f>
        <v>3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05:00</v>
      </c>
      <c r="J67" s="2"/>
    </row>
    <row r="68" spans="1:10" x14ac:dyDescent="0.25">
      <c r="A68" s="64">
        <v>45555</v>
      </c>
      <c r="B68" s="68">
        <v>0.125</v>
      </c>
      <c r="C68" s="65" t="s">
        <v>8</v>
      </c>
      <c r="D68" s="66" t="s">
        <v>129</v>
      </c>
      <c r="E68" s="9" t="s">
        <v>21</v>
      </c>
      <c r="F68" s="8">
        <f>(INT(Table_Estonia[[#This Row],[Date]]) - DATE(1970, 1, 1)) * 86400000</f>
        <v>1726790400000</v>
      </c>
      <c r="G68">
        <f>'GMT Glossary'!$B$2</f>
        <v>3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06:00</v>
      </c>
      <c r="J68" s="2"/>
    </row>
    <row r="69" spans="1:10" ht="15.75" x14ac:dyDescent="0.25">
      <c r="A69" s="60">
        <v>45555</v>
      </c>
      <c r="B69" s="51">
        <v>0.16666666666666666</v>
      </c>
      <c r="C69" s="33" t="s">
        <v>398</v>
      </c>
      <c r="D69" s="44" t="s">
        <v>57</v>
      </c>
      <c r="E69" s="9" t="s">
        <v>72</v>
      </c>
      <c r="F69" s="8">
        <f>(INT(Table_Estonia[[#This Row],[Date]]) - DATE(1970, 1, 1)) * 86400000</f>
        <v>1726790400000</v>
      </c>
      <c r="G69" s="10">
        <f>'GMT Glossary'!$B$2</f>
        <v>3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07:00</v>
      </c>
      <c r="J69" s="2"/>
    </row>
    <row r="70" spans="1:10" x14ac:dyDescent="0.25">
      <c r="A70" s="64">
        <v>45555</v>
      </c>
      <c r="B70" s="68">
        <v>0.20833333333333334</v>
      </c>
      <c r="C70" s="65" t="s">
        <v>8</v>
      </c>
      <c r="D70" s="66" t="s">
        <v>70</v>
      </c>
      <c r="E70" s="9" t="s">
        <v>21</v>
      </c>
      <c r="F70" s="8">
        <f>(INT(Table_Estonia[[#This Row],[Date]]) - DATE(1970, 1, 1)) * 86400000</f>
        <v>1726790400000</v>
      </c>
      <c r="G70" s="10">
        <f>'GMT Glossary'!$B$2</f>
        <v>3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08:00</v>
      </c>
      <c r="J70" s="2"/>
    </row>
    <row r="71" spans="1:10" x14ac:dyDescent="0.25">
      <c r="A71" s="64">
        <v>45555</v>
      </c>
      <c r="B71" s="68">
        <v>0.29166666666666669</v>
      </c>
      <c r="C71" s="65" t="s">
        <v>8</v>
      </c>
      <c r="D71" s="66" t="s">
        <v>35</v>
      </c>
      <c r="E71" s="9" t="s">
        <v>21</v>
      </c>
      <c r="F71" s="8">
        <f>(INT(Table_Estonia[[#This Row],[Date]]) - DATE(1970, 1, 1)) * 86400000</f>
        <v>1726790400000</v>
      </c>
      <c r="G71">
        <f>'GMT Glossary'!$B$2</f>
        <v>3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10:00</v>
      </c>
      <c r="J71" s="2"/>
    </row>
    <row r="72" spans="1:10" ht="15.75" x14ac:dyDescent="0.25">
      <c r="A72" s="60">
        <v>45555</v>
      </c>
      <c r="B72" s="51">
        <v>0.29166666666666669</v>
      </c>
      <c r="C72" s="33" t="s">
        <v>8</v>
      </c>
      <c r="D72" s="44" t="s">
        <v>30</v>
      </c>
      <c r="E72" s="9" t="s">
        <v>72</v>
      </c>
      <c r="F72" s="8">
        <f>(INT(Table_Estonia[[#This Row],[Date]]) - DATE(1970, 1, 1)) * 86400000</f>
        <v>1726790400000</v>
      </c>
      <c r="G72" s="10">
        <f>'GMT Glossary'!$B$2</f>
        <v>3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10:00</v>
      </c>
      <c r="J72" s="2"/>
    </row>
    <row r="73" spans="1:10" x14ac:dyDescent="0.25">
      <c r="A73" s="64">
        <v>45555</v>
      </c>
      <c r="B73" s="68">
        <v>0.375</v>
      </c>
      <c r="C73" s="65" t="s">
        <v>398</v>
      </c>
      <c r="D73" s="67" t="s">
        <v>130</v>
      </c>
      <c r="E73" s="9" t="s">
        <v>21</v>
      </c>
      <c r="F73" s="8">
        <f>(INT(Table_Estonia[[#This Row],[Date]]) - DATE(1970, 1, 1)) * 86400000</f>
        <v>1726790400000</v>
      </c>
      <c r="G73" s="10">
        <f>'GMT Glossary'!$B$2</f>
        <v>3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12:00</v>
      </c>
      <c r="J73" s="2"/>
    </row>
    <row r="74" spans="1:10" ht="15.75" x14ac:dyDescent="0.25">
      <c r="A74" s="60">
        <v>45555</v>
      </c>
      <c r="B74" s="51">
        <v>0.375</v>
      </c>
      <c r="C74" s="33" t="s">
        <v>8</v>
      </c>
      <c r="D74" s="44" t="s">
        <v>50</v>
      </c>
      <c r="E74" s="9" t="s">
        <v>72</v>
      </c>
      <c r="F74" s="8">
        <f>(INT(Table_Estonia[[#This Row],[Date]]) - DATE(1970, 1, 1)) * 86400000</f>
        <v>1726790400000</v>
      </c>
      <c r="G74" s="10">
        <f>'GMT Glossary'!$B$2</f>
        <v>3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12:00</v>
      </c>
      <c r="J74" s="2"/>
    </row>
    <row r="75" spans="1:10" x14ac:dyDescent="0.25">
      <c r="A75" s="64">
        <v>45555</v>
      </c>
      <c r="B75" s="68">
        <v>0.4375</v>
      </c>
      <c r="C75" s="65" t="s">
        <v>398</v>
      </c>
      <c r="D75" s="67" t="s">
        <v>130</v>
      </c>
      <c r="E75" s="9" t="s">
        <v>21</v>
      </c>
      <c r="F75" s="8">
        <f>(INT(Table_Estonia[[#This Row],[Date]]) - DATE(1970, 1, 1)) * 86400000</f>
        <v>1726790400000</v>
      </c>
      <c r="G75">
        <f>'GMT Glossary'!$B$2</f>
        <v>3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13:30</v>
      </c>
      <c r="J75" s="2"/>
    </row>
    <row r="76" spans="1:10" ht="15.75" x14ac:dyDescent="0.25">
      <c r="A76" s="60">
        <v>45555</v>
      </c>
      <c r="B76" s="51">
        <v>0.45833333333333331</v>
      </c>
      <c r="C76" s="33" t="s">
        <v>8</v>
      </c>
      <c r="D76" s="44" t="s">
        <v>167</v>
      </c>
      <c r="E76" s="9" t="s">
        <v>72</v>
      </c>
      <c r="F76" s="8">
        <f>(INT(Table_Estonia[[#This Row],[Date]]) - DATE(1970, 1, 1)) * 86400000</f>
        <v>1726790400000</v>
      </c>
      <c r="G76" s="10">
        <f>'GMT Glossary'!$B$2</f>
        <v>3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14:00</v>
      </c>
      <c r="J76" s="2"/>
    </row>
    <row r="77" spans="1:10" x14ac:dyDescent="0.25">
      <c r="A77" s="64">
        <v>45555</v>
      </c>
      <c r="B77" s="68">
        <v>0.5</v>
      </c>
      <c r="C77" s="65" t="s">
        <v>398</v>
      </c>
      <c r="D77" s="67" t="s">
        <v>130</v>
      </c>
      <c r="E77" s="9" t="s">
        <v>21</v>
      </c>
      <c r="F77" s="8">
        <f>(INT(Table_Estonia[[#This Row],[Date]]) - DATE(1970, 1, 1)) * 86400000</f>
        <v>1726790400000</v>
      </c>
      <c r="G77" s="10">
        <f>'GMT Glossary'!$B$2</f>
        <v>3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15:00</v>
      </c>
      <c r="J77" s="2"/>
    </row>
    <row r="78" spans="1:10" ht="15.75" x14ac:dyDescent="0.25">
      <c r="A78" s="60">
        <v>45555</v>
      </c>
      <c r="B78" s="51">
        <v>0.5</v>
      </c>
      <c r="C78" s="33" t="s">
        <v>8</v>
      </c>
      <c r="D78" s="44" t="s">
        <v>168</v>
      </c>
      <c r="E78" s="9" t="s">
        <v>72</v>
      </c>
      <c r="F78" s="8">
        <f>(INT(Table_Estonia[[#This Row],[Date]]) - DATE(1970, 1, 1)) * 86400000</f>
        <v>1726790400000</v>
      </c>
      <c r="G78" s="10">
        <f>'GMT Glossary'!$B$2</f>
        <v>3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15:00</v>
      </c>
      <c r="J78" s="2"/>
    </row>
    <row r="79" spans="1:10" x14ac:dyDescent="0.25">
      <c r="A79" s="64">
        <v>45555</v>
      </c>
      <c r="B79" s="68">
        <v>0.58333333333333337</v>
      </c>
      <c r="C79" s="65" t="s">
        <v>398</v>
      </c>
      <c r="D79" s="67" t="s">
        <v>130</v>
      </c>
      <c r="E79" s="9" t="s">
        <v>21</v>
      </c>
      <c r="F79" s="8">
        <f>(INT(Table_Estonia[[#This Row],[Date]]) - DATE(1970, 1, 1)) * 86400000</f>
        <v>1726790400000</v>
      </c>
      <c r="G79">
        <f>'GMT Glossary'!$B$2</f>
        <v>3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17:00</v>
      </c>
      <c r="J79" s="2"/>
    </row>
    <row r="80" spans="1:10" ht="15.75" x14ac:dyDescent="0.25">
      <c r="A80" s="60">
        <v>45555</v>
      </c>
      <c r="B80" s="51">
        <v>0.58333333333333337</v>
      </c>
      <c r="C80" s="33" t="s">
        <v>8</v>
      </c>
      <c r="D80" s="44" t="s">
        <v>70</v>
      </c>
      <c r="E80" s="9" t="s">
        <v>72</v>
      </c>
      <c r="F80" s="8">
        <f>(INT(Table_Estonia[[#This Row],[Date]]) - DATE(1970, 1, 1)) * 86400000</f>
        <v>1726790400000</v>
      </c>
      <c r="G80" s="10">
        <f>'GMT Glossary'!$B$2</f>
        <v>3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17:00</v>
      </c>
      <c r="J80" s="2"/>
    </row>
    <row r="81" spans="1:10" x14ac:dyDescent="0.25">
      <c r="A81" s="64">
        <v>45555</v>
      </c>
      <c r="B81" s="68">
        <v>0.66666666666666663</v>
      </c>
      <c r="C81" s="65" t="s">
        <v>8</v>
      </c>
      <c r="D81" s="70" t="s">
        <v>23</v>
      </c>
      <c r="E81" s="9" t="s">
        <v>21</v>
      </c>
      <c r="F81" s="8">
        <f>(INT(Table_Estonia[[#This Row],[Date]]) - DATE(1970, 1, 1)) * 86400000</f>
        <v>1726790400000</v>
      </c>
      <c r="G81" s="10">
        <f>'GMT Glossary'!$B$2</f>
        <v>3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19:00</v>
      </c>
      <c r="J81" s="2"/>
    </row>
    <row r="82" spans="1:10" ht="15.75" x14ac:dyDescent="0.25">
      <c r="A82" s="60">
        <v>45555</v>
      </c>
      <c r="B82" s="51">
        <v>0.66666666666666663</v>
      </c>
      <c r="C82" s="33" t="s">
        <v>8</v>
      </c>
      <c r="D82" s="44" t="s">
        <v>47</v>
      </c>
      <c r="E82" s="9" t="s">
        <v>72</v>
      </c>
      <c r="F82" s="8">
        <f>(INT(Table_Estonia[[#This Row],[Date]]) - DATE(1970, 1, 1)) * 86400000</f>
        <v>1726790400000</v>
      </c>
      <c r="G82" s="10">
        <f>'GMT Glossary'!$B$2</f>
        <v>3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19:00</v>
      </c>
      <c r="J82" s="2"/>
    </row>
    <row r="83" spans="1:10" x14ac:dyDescent="0.25">
      <c r="A83" s="64">
        <v>45555</v>
      </c>
      <c r="B83" s="68">
        <v>0.70833333333333337</v>
      </c>
      <c r="C83" s="65" t="s">
        <v>8</v>
      </c>
      <c r="D83" s="66" t="s">
        <v>34</v>
      </c>
      <c r="E83" s="9" t="s">
        <v>21</v>
      </c>
      <c r="F83" s="8">
        <f>(INT(Table_Estonia[[#This Row],[Date]]) - DATE(1970, 1, 1)) * 86400000</f>
        <v>1726790400000</v>
      </c>
      <c r="G83">
        <f>'GMT Glossary'!$B$2</f>
        <v>3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20:00</v>
      </c>
      <c r="J83" s="2"/>
    </row>
    <row r="84" spans="1:10" ht="15.75" x14ac:dyDescent="0.25">
      <c r="A84" s="60">
        <v>45555</v>
      </c>
      <c r="B84" s="51">
        <v>0.75</v>
      </c>
      <c r="C84" s="33" t="s">
        <v>8</v>
      </c>
      <c r="D84" s="44" t="s">
        <v>53</v>
      </c>
      <c r="E84" s="9" t="s">
        <v>72</v>
      </c>
      <c r="F84" s="8">
        <f>(INT(Table_Estonia[[#This Row],[Date]]) - DATE(1970, 1, 1)) * 86400000</f>
        <v>1726790400000</v>
      </c>
      <c r="G84" s="10">
        <f>'GMT Glossary'!$B$2</f>
        <v>3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21:00</v>
      </c>
      <c r="J84" s="2"/>
    </row>
    <row r="85" spans="1:10" x14ac:dyDescent="0.25">
      <c r="A85" s="64">
        <v>45555</v>
      </c>
      <c r="B85" s="68">
        <v>0.77083333333333337</v>
      </c>
      <c r="C85" s="65" t="s">
        <v>399</v>
      </c>
      <c r="D85" s="67" t="s">
        <v>131</v>
      </c>
      <c r="E85" s="9" t="s">
        <v>21</v>
      </c>
      <c r="F85" s="8">
        <f>(INT(Table_Estonia[[#This Row],[Date]]) - DATE(1970, 1, 1)) * 86400000</f>
        <v>1726790400000</v>
      </c>
      <c r="G85" s="10">
        <f>'GMT Glossary'!$B$2</f>
        <v>3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21:30</v>
      </c>
      <c r="J85" s="2"/>
    </row>
    <row r="86" spans="1:10" ht="15.75" x14ac:dyDescent="0.25">
      <c r="A86" s="60">
        <v>45555</v>
      </c>
      <c r="B86" s="51">
        <v>0.8125</v>
      </c>
      <c r="C86" s="33" t="s">
        <v>8</v>
      </c>
      <c r="D86" s="44" t="s">
        <v>169</v>
      </c>
      <c r="E86" s="9" t="s">
        <v>72</v>
      </c>
      <c r="F86" s="8">
        <f>(INT(Table_Estonia[[#This Row],[Date]]) - DATE(1970, 1, 1)) * 86400000</f>
        <v>1726790400000</v>
      </c>
      <c r="G86" s="10">
        <f>'GMT Glossary'!$B$2</f>
        <v>3</v>
      </c>
      <c r="H86" s="2" t="str">
        <f>TEXT(IF(B86&lt;0, A86+1+((B86+(G86/24))-(INT(B86+(G86/24)))), A86+(B86+(G86/24))), "yyyy-mm-dd")</f>
        <v>2024-09-20</v>
      </c>
      <c r="I86" s="2" t="str">
        <f>TEXT(IF(B86&lt;0, A86+1+((B86+(G86/24))-(INT(B86+(G86/24)))), A86+(B86+(G86/24))), "hh:mm")</f>
        <v>22:30</v>
      </c>
      <c r="J86" s="2"/>
    </row>
    <row r="87" spans="1:10" x14ac:dyDescent="0.25">
      <c r="A87" s="64">
        <v>45555</v>
      </c>
      <c r="B87" s="68">
        <v>0.89583333333333337</v>
      </c>
      <c r="C87" s="65" t="s">
        <v>8</v>
      </c>
      <c r="D87" s="66" t="s">
        <v>39</v>
      </c>
      <c r="E87" s="9" t="s">
        <v>21</v>
      </c>
      <c r="F87" s="8">
        <f>(INT(Table_Estonia[[#This Row],[Date]]) - DATE(1970, 1, 1)) * 86400000</f>
        <v>1726790400000</v>
      </c>
      <c r="G87">
        <f>'GMT Glossary'!$B$2</f>
        <v>3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00:30</v>
      </c>
      <c r="J87" s="2"/>
    </row>
    <row r="88" spans="1:10" ht="15.75" x14ac:dyDescent="0.25">
      <c r="A88" s="60">
        <v>45555</v>
      </c>
      <c r="B88" s="51">
        <v>0.91666666666666663</v>
      </c>
      <c r="C88" s="33" t="s">
        <v>8</v>
      </c>
      <c r="D88" s="44" t="s">
        <v>170</v>
      </c>
      <c r="E88" s="9" t="s">
        <v>72</v>
      </c>
      <c r="F88" s="8">
        <f>(INT(Table_Estonia[[#This Row],[Date]]) - DATE(1970, 1, 1)) * 86400000</f>
        <v>1726790400000</v>
      </c>
      <c r="G88" s="10">
        <f>'GMT Glossary'!$B$2</f>
        <v>3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01:00</v>
      </c>
    </row>
    <row r="89" spans="1:10" x14ac:dyDescent="0.25">
      <c r="A89" s="64">
        <v>45555</v>
      </c>
      <c r="B89" s="68">
        <v>0.97916666666666663</v>
      </c>
      <c r="C89" s="65" t="s">
        <v>8</v>
      </c>
      <c r="D89" s="66" t="s">
        <v>68</v>
      </c>
      <c r="E89" s="9" t="s">
        <v>21</v>
      </c>
      <c r="F89" s="8">
        <f>(INT(Table_Estonia[[#This Row],[Date]]) - DATE(1970, 1, 1)) * 86400000</f>
        <v>1726790400000</v>
      </c>
      <c r="G89" s="10">
        <f>'GMT Glossary'!$B$2</f>
        <v>3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02:30</v>
      </c>
    </row>
    <row r="90" spans="1:10" ht="15.75" x14ac:dyDescent="0.25">
      <c r="A90" s="60">
        <v>45556</v>
      </c>
      <c r="B90" s="51">
        <v>0</v>
      </c>
      <c r="C90" s="33" t="s">
        <v>8</v>
      </c>
      <c r="D90" s="44" t="s">
        <v>28</v>
      </c>
      <c r="E90" s="9" t="s">
        <v>72</v>
      </c>
      <c r="F90" s="8">
        <f>(INT(Table_Estonia[[#This Row],[Date]]) - DATE(1970, 1, 1)) * 86400000</f>
        <v>1726876800000</v>
      </c>
      <c r="G90" s="10">
        <f>'GMT Glossary'!$B$2</f>
        <v>3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03:00</v>
      </c>
    </row>
    <row r="91" spans="1:10" x14ac:dyDescent="0.25">
      <c r="A91" s="64">
        <v>45556</v>
      </c>
      <c r="B91" s="68">
        <v>6.25E-2</v>
      </c>
      <c r="C91" s="65" t="s">
        <v>8</v>
      </c>
      <c r="D91" s="66" t="s">
        <v>48</v>
      </c>
      <c r="E91" s="9" t="s">
        <v>21</v>
      </c>
      <c r="F91" s="8">
        <f>(INT(Table_Estonia[[#This Row],[Date]]) - DATE(1970, 1, 1)) * 86400000</f>
        <v>1726876800000</v>
      </c>
      <c r="G91">
        <f>'GMT Glossary'!$B$2</f>
        <v>3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04:30</v>
      </c>
    </row>
    <row r="92" spans="1:10" ht="15.75" x14ac:dyDescent="0.25">
      <c r="A92" s="60">
        <v>45556</v>
      </c>
      <c r="B92" s="51">
        <v>8.3333333333333329E-2</v>
      </c>
      <c r="C92" s="33" t="s">
        <v>8</v>
      </c>
      <c r="D92" s="44" t="s">
        <v>163</v>
      </c>
      <c r="E92" s="9" t="s">
        <v>72</v>
      </c>
      <c r="F92" s="8">
        <f>(INT(Table_Estonia[[#This Row],[Date]]) - DATE(1970, 1, 1)) * 86400000</f>
        <v>1726876800000</v>
      </c>
      <c r="G92" s="10">
        <f>'GMT Glossary'!$B$2</f>
        <v>3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05:00</v>
      </c>
    </row>
    <row r="93" spans="1:10" x14ac:dyDescent="0.25">
      <c r="A93" s="64">
        <v>45556</v>
      </c>
      <c r="B93" s="68">
        <v>0.14583333333333334</v>
      </c>
      <c r="C93" s="65" t="s">
        <v>8</v>
      </c>
      <c r="D93" s="66" t="s">
        <v>132</v>
      </c>
      <c r="E93" s="9" t="s">
        <v>21</v>
      </c>
      <c r="F93" s="8">
        <f>(INT(Table_Estonia[[#This Row],[Date]]) - DATE(1970, 1, 1)) * 86400000</f>
        <v>1726876800000</v>
      </c>
      <c r="G93" s="10">
        <f>'GMT Glossary'!$B$2</f>
        <v>3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06:30</v>
      </c>
    </row>
    <row r="94" spans="1:10" ht="15.75" x14ac:dyDescent="0.25">
      <c r="A94" s="60">
        <v>45556</v>
      </c>
      <c r="B94" s="51">
        <v>0.16666666666666666</v>
      </c>
      <c r="C94" s="33" t="s">
        <v>8</v>
      </c>
      <c r="D94" s="44" t="s">
        <v>29</v>
      </c>
      <c r="E94" s="9" t="s">
        <v>72</v>
      </c>
      <c r="F94" s="8">
        <f>(INT(Table_Estonia[[#This Row],[Date]]) - DATE(1970, 1, 1)) * 86400000</f>
        <v>1726876800000</v>
      </c>
      <c r="G94" s="10">
        <f>'GMT Glossary'!$B$2</f>
        <v>3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07:00</v>
      </c>
    </row>
    <row r="95" spans="1:10" x14ac:dyDescent="0.25">
      <c r="A95" s="64">
        <v>45556</v>
      </c>
      <c r="B95" s="68">
        <v>0.22916666666666666</v>
      </c>
      <c r="C95" s="65" t="s">
        <v>8</v>
      </c>
      <c r="D95" s="66" t="s">
        <v>125</v>
      </c>
      <c r="E95" s="9" t="s">
        <v>21</v>
      </c>
      <c r="F95" s="8">
        <f>(INT(Table_Estonia[[#This Row],[Date]]) - DATE(1970, 1, 1)) * 86400000</f>
        <v>1726876800000</v>
      </c>
      <c r="G95">
        <f>'GMT Glossary'!$B$2</f>
        <v>3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08:30</v>
      </c>
    </row>
    <row r="96" spans="1:10" ht="15.75" x14ac:dyDescent="0.25">
      <c r="A96" s="60">
        <v>45556</v>
      </c>
      <c r="B96" s="51">
        <v>0.25</v>
      </c>
      <c r="C96" s="33" t="s">
        <v>8</v>
      </c>
      <c r="D96" s="44" t="s">
        <v>25</v>
      </c>
      <c r="E96" s="9" t="s">
        <v>72</v>
      </c>
      <c r="F96" s="8">
        <f>(INT(Table_Estonia[[#This Row],[Date]]) - DATE(1970, 1, 1)) * 86400000</f>
        <v>1726876800000</v>
      </c>
      <c r="G96" s="10">
        <f>'GMT Glossary'!$B$2</f>
        <v>3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09:00</v>
      </c>
    </row>
    <row r="97" spans="1:9" x14ac:dyDescent="0.25">
      <c r="A97" s="64">
        <v>45556</v>
      </c>
      <c r="B97" s="68">
        <v>0.3125</v>
      </c>
      <c r="C97" s="65" t="s">
        <v>8</v>
      </c>
      <c r="D97" s="66" t="s">
        <v>66</v>
      </c>
      <c r="E97" s="9" t="s">
        <v>21</v>
      </c>
      <c r="F97" s="8">
        <f>(INT(Table_Estonia[[#This Row],[Date]]) - DATE(1970, 1, 1)) * 86400000</f>
        <v>1726876800000</v>
      </c>
      <c r="G97" s="10">
        <f>'GMT Glossary'!$B$2</f>
        <v>3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10:30</v>
      </c>
    </row>
    <row r="98" spans="1:9" ht="15.75" x14ac:dyDescent="0.25">
      <c r="A98" s="60">
        <v>45556</v>
      </c>
      <c r="B98" s="51">
        <v>0.33333333333333331</v>
      </c>
      <c r="C98" s="33" t="s">
        <v>8</v>
      </c>
      <c r="D98" s="44" t="s">
        <v>26</v>
      </c>
      <c r="E98" s="9" t="s">
        <v>72</v>
      </c>
      <c r="F98" s="8">
        <f>(INT(Table_Estonia[[#This Row],[Date]]) - DATE(1970, 1, 1)) * 86400000</f>
        <v>1726876800000</v>
      </c>
      <c r="G98" s="10">
        <f>'GMT Glossary'!$B$2</f>
        <v>3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11:00</v>
      </c>
    </row>
    <row r="99" spans="1:9" x14ac:dyDescent="0.25">
      <c r="A99" s="64">
        <v>45556</v>
      </c>
      <c r="B99" s="68">
        <v>0.41666666666666669</v>
      </c>
      <c r="C99" s="65" t="s">
        <v>398</v>
      </c>
      <c r="D99" s="67" t="s">
        <v>133</v>
      </c>
      <c r="E99" s="9" t="s">
        <v>21</v>
      </c>
      <c r="F99" s="8">
        <f>(INT(Table_Estonia[[#This Row],[Date]]) - DATE(1970, 1, 1)) * 86400000</f>
        <v>1726876800000</v>
      </c>
      <c r="G99">
        <f>'GMT Glossary'!$B$2</f>
        <v>3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13:00</v>
      </c>
    </row>
    <row r="100" spans="1:9" ht="15.75" x14ac:dyDescent="0.25">
      <c r="A100" s="60">
        <v>45556</v>
      </c>
      <c r="B100" s="51">
        <v>0.41666666666666669</v>
      </c>
      <c r="C100" s="33" t="s">
        <v>8</v>
      </c>
      <c r="D100" s="44" t="s">
        <v>165</v>
      </c>
      <c r="E100" s="9" t="s">
        <v>72</v>
      </c>
      <c r="F100" s="8">
        <f>(INT(Table_Estonia[[#This Row],[Date]]) - DATE(1970, 1, 1)) * 86400000</f>
        <v>1726876800000</v>
      </c>
      <c r="G100" s="10">
        <f>'GMT Glossary'!$B$2</f>
        <v>3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13:00</v>
      </c>
    </row>
    <row r="101" spans="1:9" x14ac:dyDescent="0.25">
      <c r="A101" s="64">
        <v>45556</v>
      </c>
      <c r="B101" s="68">
        <v>0.47916666666666669</v>
      </c>
      <c r="C101" s="65" t="s">
        <v>398</v>
      </c>
      <c r="D101" s="67" t="s">
        <v>133</v>
      </c>
      <c r="E101" s="9" t="s">
        <v>21</v>
      </c>
      <c r="F101" s="8">
        <f>(INT(Table_Estonia[[#This Row],[Date]]) - DATE(1970, 1, 1)) * 86400000</f>
        <v>1726876800000</v>
      </c>
      <c r="G101" s="10">
        <f>'GMT Glossary'!$B$2</f>
        <v>3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14:30</v>
      </c>
    </row>
    <row r="102" spans="1:9" ht="15.75" x14ac:dyDescent="0.25">
      <c r="A102" s="60">
        <v>45556</v>
      </c>
      <c r="B102" s="51">
        <v>0.5</v>
      </c>
      <c r="C102" s="33" t="s">
        <v>8</v>
      </c>
      <c r="D102" s="44" t="s">
        <v>135</v>
      </c>
      <c r="E102" s="9" t="s">
        <v>72</v>
      </c>
      <c r="F102" s="8">
        <f>(INT(Table_Estonia[[#This Row],[Date]]) - DATE(1970, 1, 1)) * 86400000</f>
        <v>1726876800000</v>
      </c>
      <c r="G102" s="10">
        <f>'GMT Glossary'!$B$2</f>
        <v>3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15:00</v>
      </c>
    </row>
    <row r="103" spans="1:9" x14ac:dyDescent="0.25">
      <c r="A103" s="64">
        <v>45556</v>
      </c>
      <c r="B103" s="68">
        <v>0.54166666666666663</v>
      </c>
      <c r="C103" s="65" t="s">
        <v>8</v>
      </c>
      <c r="D103" s="66" t="s">
        <v>24</v>
      </c>
      <c r="E103" s="9" t="s">
        <v>21</v>
      </c>
      <c r="F103" s="8">
        <f>(INT(Table_Estonia[[#This Row],[Date]]) - DATE(1970, 1, 1)) * 86400000</f>
        <v>1726876800000</v>
      </c>
      <c r="G103">
        <f>'GMT Glossary'!$B$2</f>
        <v>3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16:00</v>
      </c>
    </row>
    <row r="104" spans="1:9" x14ac:dyDescent="0.25">
      <c r="A104" s="64">
        <v>45556</v>
      </c>
      <c r="B104" s="68">
        <v>0.58333333333333337</v>
      </c>
      <c r="C104" s="65" t="s">
        <v>8</v>
      </c>
      <c r="D104" s="70" t="s">
        <v>34</v>
      </c>
      <c r="E104" s="9" t="s">
        <v>21</v>
      </c>
      <c r="F104" s="8">
        <f>(INT(Table_Estonia[[#This Row],[Date]]) - DATE(1970, 1, 1)) * 86400000</f>
        <v>1726876800000</v>
      </c>
      <c r="G104" s="10">
        <f>'GMT Glossary'!$B$2</f>
        <v>3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17:00</v>
      </c>
    </row>
    <row r="105" spans="1:9" ht="15.75" x14ac:dyDescent="0.25">
      <c r="A105" s="60">
        <v>45556</v>
      </c>
      <c r="B105" s="51">
        <v>0.58333333333333337</v>
      </c>
      <c r="C105" s="33" t="s">
        <v>8</v>
      </c>
      <c r="D105" s="44" t="s">
        <v>171</v>
      </c>
      <c r="E105" s="9" t="s">
        <v>72</v>
      </c>
      <c r="F105" s="8">
        <f>(INT(Table_Estonia[[#This Row],[Date]]) - DATE(1970, 1, 1)) * 86400000</f>
        <v>1726876800000</v>
      </c>
      <c r="G105" s="10">
        <f>'GMT Glossary'!$B$2</f>
        <v>3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17:00</v>
      </c>
    </row>
    <row r="106" spans="1:9" x14ac:dyDescent="0.25">
      <c r="A106" s="64">
        <v>45556</v>
      </c>
      <c r="B106" s="68">
        <v>0.625</v>
      </c>
      <c r="C106" s="65" t="s">
        <v>8</v>
      </c>
      <c r="D106" s="67" t="s">
        <v>134</v>
      </c>
      <c r="E106" s="9" t="s">
        <v>21</v>
      </c>
      <c r="F106" s="8">
        <f>(INT(Table_Estonia[[#This Row],[Date]]) - DATE(1970, 1, 1)) * 86400000</f>
        <v>1726876800000</v>
      </c>
      <c r="G106">
        <f>'GMT Glossary'!$B$2</f>
        <v>3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18:00</v>
      </c>
    </row>
    <row r="107" spans="1:9" ht="15.75" x14ac:dyDescent="0.25">
      <c r="A107" s="60">
        <v>45556</v>
      </c>
      <c r="B107" s="51">
        <v>0.6875</v>
      </c>
      <c r="C107" s="33" t="s">
        <v>8</v>
      </c>
      <c r="D107" s="44" t="s">
        <v>172</v>
      </c>
      <c r="E107" s="9" t="s">
        <v>72</v>
      </c>
      <c r="F107" s="8">
        <f>(INT(Table_Estonia[[#This Row],[Date]]) - DATE(1970, 1, 1)) * 86400000</f>
        <v>1726876800000</v>
      </c>
      <c r="G107" s="10">
        <f>'GMT Glossary'!$B$2</f>
        <v>3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19:30</v>
      </c>
    </row>
    <row r="108" spans="1:9" x14ac:dyDescent="0.25">
      <c r="A108" s="64">
        <v>45556</v>
      </c>
      <c r="B108" s="68">
        <v>0.70833333333333337</v>
      </c>
      <c r="C108" s="65" t="s">
        <v>8</v>
      </c>
      <c r="D108" s="66" t="s">
        <v>135</v>
      </c>
      <c r="E108" s="9" t="s">
        <v>21</v>
      </c>
      <c r="F108" s="8">
        <f>(INT(Table_Estonia[[#This Row],[Date]]) - DATE(1970, 1, 1)) * 86400000</f>
        <v>1726876800000</v>
      </c>
      <c r="G108" s="10">
        <f>'GMT Glossary'!$B$2</f>
        <v>3</v>
      </c>
      <c r="H108" s="2" t="str">
        <f>TEXT(IF(B108&lt;0, A108+1+((B108+(G108/24))-(INT(B108+(G108/24)))), A108+(B108+(G108/24))), "yyyy-mm-dd")</f>
        <v>2024-09-21</v>
      </c>
      <c r="I108" s="2" t="str">
        <f>TEXT(IF(B108&lt;0, A108+1+((B108+(G108/24))-(INT(B108+(G108/24)))), A108+(B108+(G108/24))), "hh:mm")</f>
        <v>20:00</v>
      </c>
    </row>
    <row r="109" spans="1:9" ht="15.75" x14ac:dyDescent="0.25">
      <c r="A109" s="60">
        <v>45556</v>
      </c>
      <c r="B109" s="51">
        <v>0.77083333333333337</v>
      </c>
      <c r="C109" s="33" t="s">
        <v>8</v>
      </c>
      <c r="D109" s="44" t="s">
        <v>55</v>
      </c>
      <c r="E109" s="9" t="s">
        <v>72</v>
      </c>
      <c r="F109" s="8">
        <f>(INT(Table_Estonia[[#This Row],[Date]]) - DATE(1970, 1, 1)) * 86400000</f>
        <v>1726876800000</v>
      </c>
      <c r="G109" s="10">
        <f>'GMT Glossary'!$B$2</f>
        <v>3</v>
      </c>
      <c r="H109" s="2" t="str">
        <f>TEXT(IF(B109&lt;0, A109+1+((B109+(G109/24))-(INT(B109+(G109/24)))), A109+(B109+(G109/24))), "yyyy-mm-dd")</f>
        <v>2024-09-21</v>
      </c>
      <c r="I109" s="2" t="str">
        <f>TEXT(IF(B109&lt;0, A109+1+((B109+(G109/24))-(INT(B109+(G109/24)))), A109+(B109+(G109/24))), "hh:mm")</f>
        <v>21:30</v>
      </c>
    </row>
    <row r="110" spans="1:9" x14ac:dyDescent="0.25">
      <c r="A110" s="64">
        <v>45556</v>
      </c>
      <c r="B110" s="68">
        <v>0.79166666666666663</v>
      </c>
      <c r="C110" s="65" t="s">
        <v>8</v>
      </c>
      <c r="D110" s="67" t="s">
        <v>136</v>
      </c>
      <c r="E110" s="9" t="s">
        <v>21</v>
      </c>
      <c r="F110" s="8">
        <f>(INT(Table_Estonia[[#This Row],[Date]]) - DATE(1970, 1, 1)) * 86400000</f>
        <v>1726876800000</v>
      </c>
      <c r="G110">
        <f>'GMT Glossary'!$B$2</f>
        <v>3</v>
      </c>
      <c r="H110" s="2" t="str">
        <f>TEXT(IF(B110&lt;0, A110+1+((B110+(G110/24))-(INT(B110+(G110/24)))), A110+(B110+(G110/24))), "yyyy-mm-dd")</f>
        <v>2024-09-21</v>
      </c>
      <c r="I110" s="2" t="str">
        <f>TEXT(IF(B110&lt;0, A110+1+((B110+(G110/24))-(INT(B110+(G110/24)))), A110+(B110+(G110/24))), "hh:mm")</f>
        <v>22:00</v>
      </c>
    </row>
    <row r="111" spans="1:9" ht="15.75" x14ac:dyDescent="0.25">
      <c r="A111" s="60">
        <v>45556</v>
      </c>
      <c r="B111" s="51">
        <v>0.79166666666666663</v>
      </c>
      <c r="C111" s="33" t="s">
        <v>8</v>
      </c>
      <c r="D111" s="44" t="s">
        <v>173</v>
      </c>
      <c r="E111" s="9" t="s">
        <v>72</v>
      </c>
      <c r="F111" s="8">
        <f>(INT(Table_Estonia[[#This Row],[Date]]) - DATE(1970, 1, 1)) * 86400000</f>
        <v>1726876800000</v>
      </c>
      <c r="G111" s="10">
        <f>'GMT Glossary'!$B$2</f>
        <v>3</v>
      </c>
      <c r="H111" s="2" t="str">
        <f>TEXT(IF(B111&lt;0, A111+1+((B111+(G111/24))-(INT(B111+(G111/24)))), A111+(B111+(G111/24))), "yyyy-mm-dd")</f>
        <v>2024-09-21</v>
      </c>
      <c r="I111" s="2" t="str">
        <f>TEXT(IF(B111&lt;0, A111+1+((B111+(G111/24))-(INT(B111+(G111/24)))), A111+(B111+(G111/24))), "hh:mm")</f>
        <v>22:00</v>
      </c>
    </row>
    <row r="112" spans="1:9" x14ac:dyDescent="0.25">
      <c r="A112" s="64">
        <v>45556</v>
      </c>
      <c r="B112" s="68">
        <v>0.875</v>
      </c>
      <c r="C112" s="65" t="s">
        <v>8</v>
      </c>
      <c r="D112" s="66" t="s">
        <v>23</v>
      </c>
      <c r="E112" s="9" t="s">
        <v>21</v>
      </c>
      <c r="F112" s="8">
        <f>(INT(Table_Estonia[[#This Row],[Date]]) - DATE(1970, 1, 1)) * 86400000</f>
        <v>1726876800000</v>
      </c>
      <c r="G112" s="10">
        <f>'GMT Glossary'!$B$2</f>
        <v>3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00:00</v>
      </c>
    </row>
    <row r="113" spans="1:9" ht="15.75" x14ac:dyDescent="0.25">
      <c r="A113" s="60">
        <v>45556</v>
      </c>
      <c r="B113" s="51">
        <v>0.90625</v>
      </c>
      <c r="C113" s="33" t="s">
        <v>8</v>
      </c>
      <c r="D113" s="44" t="s">
        <v>174</v>
      </c>
      <c r="E113" s="9" t="s">
        <v>72</v>
      </c>
      <c r="F113" s="8">
        <f>(INT(Table_Estonia[[#This Row],[Date]]) - DATE(1970, 1, 1)) * 86400000</f>
        <v>1726876800000</v>
      </c>
      <c r="G113" s="10">
        <f>'GMT Glossary'!$B$2</f>
        <v>3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00:45</v>
      </c>
    </row>
    <row r="114" spans="1:9" x14ac:dyDescent="0.25">
      <c r="A114" s="64">
        <v>45556</v>
      </c>
      <c r="B114" s="68">
        <v>0.91666666666666663</v>
      </c>
      <c r="C114" s="65" t="s">
        <v>8</v>
      </c>
      <c r="D114" s="67" t="s">
        <v>137</v>
      </c>
      <c r="E114" s="9" t="s">
        <v>21</v>
      </c>
      <c r="F114" s="8">
        <f>(INT(Table_Estonia[[#This Row],[Date]]) - DATE(1970, 1, 1)) * 86400000</f>
        <v>1726876800000</v>
      </c>
      <c r="G114" s="10">
        <f>'GMT Glossary'!$B$2</f>
        <v>3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01:00</v>
      </c>
    </row>
    <row r="115" spans="1:9" x14ac:dyDescent="0.25">
      <c r="A115" s="64">
        <v>45557</v>
      </c>
      <c r="B115" s="68">
        <v>0</v>
      </c>
      <c r="C115" s="65" t="s">
        <v>8</v>
      </c>
      <c r="D115" s="66" t="s">
        <v>138</v>
      </c>
      <c r="E115" s="9" t="s">
        <v>21</v>
      </c>
      <c r="F115" s="8">
        <f>(INT(Table_Estonia[[#This Row],[Date]]) - DATE(1970, 1, 1)) * 86400000</f>
        <v>1726963200000</v>
      </c>
      <c r="G115">
        <f>'GMT Glossary'!$B$2</f>
        <v>3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03:00</v>
      </c>
    </row>
    <row r="116" spans="1:9" ht="15.75" x14ac:dyDescent="0.25">
      <c r="A116" s="60">
        <v>45557</v>
      </c>
      <c r="B116" s="51">
        <v>0</v>
      </c>
      <c r="C116" s="33" t="s">
        <v>8</v>
      </c>
      <c r="D116" s="44" t="s">
        <v>175</v>
      </c>
      <c r="E116" s="9" t="s">
        <v>72</v>
      </c>
      <c r="F116" s="8">
        <f>(INT(Table_Estonia[[#This Row],[Date]]) - DATE(1970, 1, 1)) * 86400000</f>
        <v>1726963200000</v>
      </c>
      <c r="G116" s="10">
        <f>'GMT Glossary'!$B$2</f>
        <v>3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03:00</v>
      </c>
    </row>
    <row r="117" spans="1:9" x14ac:dyDescent="0.25">
      <c r="A117" s="64">
        <v>45557</v>
      </c>
      <c r="B117" s="68">
        <v>8.3333333333333329E-2</v>
      </c>
      <c r="C117" s="65" t="s">
        <v>8</v>
      </c>
      <c r="D117" s="66" t="s">
        <v>139</v>
      </c>
      <c r="E117" s="9" t="s">
        <v>21</v>
      </c>
      <c r="F117" s="8">
        <f>(INT(Table_Estonia[[#This Row],[Date]]) - DATE(1970, 1, 1)) * 86400000</f>
        <v>1726963200000</v>
      </c>
      <c r="G117">
        <f>'GMT Glossary'!$B$2</f>
        <v>3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05:00</v>
      </c>
    </row>
    <row r="118" spans="1:9" ht="15.75" x14ac:dyDescent="0.25">
      <c r="A118" s="60">
        <v>45557</v>
      </c>
      <c r="B118" s="51">
        <v>8.3333333333333329E-2</v>
      </c>
      <c r="C118" s="33" t="s">
        <v>398</v>
      </c>
      <c r="D118" s="44" t="s">
        <v>61</v>
      </c>
      <c r="E118" s="9" t="s">
        <v>72</v>
      </c>
      <c r="F118" s="8">
        <f>(INT(Table_Estonia[[#This Row],[Date]]) - DATE(1970, 1, 1)) * 86400000</f>
        <v>1726963200000</v>
      </c>
      <c r="G118" s="10">
        <f>'GMT Glossary'!$B$2</f>
        <v>3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05:00</v>
      </c>
    </row>
    <row r="119" spans="1:9" x14ac:dyDescent="0.25">
      <c r="A119" s="64">
        <v>45557</v>
      </c>
      <c r="B119" s="68">
        <v>0.16666666666666666</v>
      </c>
      <c r="C119" s="65" t="s">
        <v>399</v>
      </c>
      <c r="D119" s="66" t="s">
        <v>27</v>
      </c>
      <c r="E119" s="9" t="s">
        <v>21</v>
      </c>
      <c r="F119" s="8">
        <f>(INT(Table_Estonia[[#This Row],[Date]]) - DATE(1970, 1, 1)) * 86400000</f>
        <v>1726963200000</v>
      </c>
      <c r="G119" s="10">
        <f>'GMT Glossary'!$B$2</f>
        <v>3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07:00</v>
      </c>
    </row>
    <row r="120" spans="1:9" ht="15.75" x14ac:dyDescent="0.25">
      <c r="A120" s="60">
        <v>45557</v>
      </c>
      <c r="B120" s="51">
        <v>0.16666666666666666</v>
      </c>
      <c r="C120" s="33" t="s">
        <v>8</v>
      </c>
      <c r="D120" s="44" t="s">
        <v>176</v>
      </c>
      <c r="E120" s="9" t="s">
        <v>72</v>
      </c>
      <c r="F120" s="8">
        <f>(INT(Table_Estonia[[#This Row],[Date]]) - DATE(1970, 1, 1)) * 86400000</f>
        <v>1726963200000</v>
      </c>
      <c r="G120" s="10">
        <f>'GMT Glossary'!$B$2</f>
        <v>3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07:00</v>
      </c>
    </row>
    <row r="121" spans="1:9" ht="15.75" x14ac:dyDescent="0.25">
      <c r="A121" s="60">
        <v>45557</v>
      </c>
      <c r="B121" s="51">
        <v>0.25</v>
      </c>
      <c r="C121" s="33" t="s">
        <v>8</v>
      </c>
      <c r="D121" s="44" t="s">
        <v>63</v>
      </c>
      <c r="E121" s="9" t="s">
        <v>72</v>
      </c>
      <c r="F121" s="8">
        <f>(INT(Table_Estonia[[#This Row],[Date]]) - DATE(1970, 1, 1)) * 86400000</f>
        <v>1726963200000</v>
      </c>
      <c r="G121" s="10">
        <f>'GMT Glossary'!$B$2</f>
        <v>3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09:00</v>
      </c>
    </row>
    <row r="122" spans="1:9" x14ac:dyDescent="0.25">
      <c r="A122" s="64">
        <v>45557</v>
      </c>
      <c r="B122" s="68">
        <v>0.29166666666666669</v>
      </c>
      <c r="C122" s="65" t="s">
        <v>398</v>
      </c>
      <c r="D122" s="66" t="s">
        <v>31</v>
      </c>
      <c r="E122" s="9" t="s">
        <v>21</v>
      </c>
      <c r="F122" s="8">
        <f>(INT(Table_Estonia[[#This Row],[Date]]) - DATE(1970, 1, 1)) * 86400000</f>
        <v>1726963200000</v>
      </c>
      <c r="G122">
        <f>'GMT Glossary'!$B$2</f>
        <v>3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10:00</v>
      </c>
    </row>
    <row r="123" spans="1:9" ht="15.75" x14ac:dyDescent="0.25">
      <c r="A123" s="60">
        <v>45557</v>
      </c>
      <c r="B123" s="51">
        <v>0.33333333333333331</v>
      </c>
      <c r="C123" s="33" t="s">
        <v>8</v>
      </c>
      <c r="D123" s="44" t="s">
        <v>58</v>
      </c>
      <c r="E123" s="9" t="s">
        <v>72</v>
      </c>
      <c r="F123" s="8">
        <f>(INT(Table_Estonia[[#This Row],[Date]]) - DATE(1970, 1, 1)) * 86400000</f>
        <v>1726963200000</v>
      </c>
      <c r="G123" s="10">
        <f>'GMT Glossary'!$B$2</f>
        <v>3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11:00</v>
      </c>
    </row>
    <row r="124" spans="1:9" x14ac:dyDescent="0.25">
      <c r="A124" s="64">
        <v>45557</v>
      </c>
      <c r="B124" s="68">
        <v>0.41666666666666669</v>
      </c>
      <c r="C124" s="65" t="s">
        <v>398</v>
      </c>
      <c r="D124" s="67" t="s">
        <v>140</v>
      </c>
      <c r="E124" s="9" t="s">
        <v>21</v>
      </c>
      <c r="F124" s="8">
        <f>(INT(Table_Estonia[[#This Row],[Date]]) - DATE(1970, 1, 1)) * 86400000</f>
        <v>1726963200000</v>
      </c>
      <c r="G124" s="10">
        <f>'GMT Glossary'!$B$2</f>
        <v>3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13:00</v>
      </c>
    </row>
    <row r="125" spans="1:9" ht="15.75" x14ac:dyDescent="0.25">
      <c r="A125" s="60">
        <v>45557</v>
      </c>
      <c r="B125" s="51">
        <v>0.41666666666666669</v>
      </c>
      <c r="C125" s="33" t="s">
        <v>8</v>
      </c>
      <c r="D125" s="44" t="s">
        <v>56</v>
      </c>
      <c r="E125" s="9" t="s">
        <v>72</v>
      </c>
      <c r="F125" s="8">
        <f>(INT(Table_Estonia[[#This Row],[Date]]) - DATE(1970, 1, 1)) * 86400000</f>
        <v>1726963200000</v>
      </c>
      <c r="G125" s="10">
        <f>'GMT Glossary'!$B$2</f>
        <v>3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13:00</v>
      </c>
    </row>
    <row r="126" spans="1:9" ht="15.75" x14ac:dyDescent="0.25">
      <c r="A126" s="60">
        <v>45557</v>
      </c>
      <c r="B126" s="51">
        <v>0.5</v>
      </c>
      <c r="C126" s="33" t="s">
        <v>8</v>
      </c>
      <c r="D126" s="44" t="s">
        <v>177</v>
      </c>
      <c r="E126" s="9" t="s">
        <v>72</v>
      </c>
      <c r="F126" s="8">
        <f>(INT(Table_Estonia[[#This Row],[Date]]) - DATE(1970, 1, 1)) * 86400000</f>
        <v>1726963200000</v>
      </c>
      <c r="G126" s="10">
        <f>'GMT Glossary'!$B$2</f>
        <v>3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15:00</v>
      </c>
    </row>
    <row r="127" spans="1:9" x14ac:dyDescent="0.25">
      <c r="A127" s="64">
        <v>45557</v>
      </c>
      <c r="B127" s="68">
        <v>0.54166666666666663</v>
      </c>
      <c r="C127" s="65" t="s">
        <v>8</v>
      </c>
      <c r="D127" s="66" t="s">
        <v>141</v>
      </c>
      <c r="E127" s="9" t="s">
        <v>21</v>
      </c>
      <c r="F127" s="8">
        <f>(INT(Table_Estonia[[#This Row],[Date]]) - DATE(1970, 1, 1)) * 86400000</f>
        <v>1726963200000</v>
      </c>
      <c r="G127">
        <f>'GMT Glossary'!$B$2</f>
        <v>3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16:00</v>
      </c>
    </row>
    <row r="128" spans="1:9" ht="15.75" x14ac:dyDescent="0.25">
      <c r="A128" s="60">
        <v>45557</v>
      </c>
      <c r="B128" s="51">
        <v>0.5625</v>
      </c>
      <c r="C128" s="33" t="s">
        <v>8</v>
      </c>
      <c r="D128" s="44" t="s">
        <v>178</v>
      </c>
      <c r="E128" s="9" t="s">
        <v>72</v>
      </c>
      <c r="F128" s="8">
        <f>(INT(Table_Estonia[[#This Row],[Date]]) - DATE(1970, 1, 1)) * 86400000</f>
        <v>1726963200000</v>
      </c>
      <c r="G128" s="10">
        <f>'GMT Glossary'!$B$2</f>
        <v>3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16:30</v>
      </c>
    </row>
    <row r="129" spans="1:9" x14ac:dyDescent="0.25">
      <c r="A129" s="64">
        <v>45557</v>
      </c>
      <c r="B129" s="68">
        <v>0.625</v>
      </c>
      <c r="C129" s="65" t="s">
        <v>8</v>
      </c>
      <c r="D129" s="66" t="s">
        <v>23</v>
      </c>
      <c r="E129" s="9" t="s">
        <v>21</v>
      </c>
      <c r="F129" s="8">
        <f>(INT(Table_Estonia[[#This Row],[Date]]) - DATE(1970, 1, 1)) * 86400000</f>
        <v>1726963200000</v>
      </c>
      <c r="G129" s="10">
        <f>'GMT Glossary'!$B$2</f>
        <v>3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18:00</v>
      </c>
    </row>
    <row r="130" spans="1:9" x14ac:dyDescent="0.25">
      <c r="A130" s="64">
        <v>45557</v>
      </c>
      <c r="B130" s="68">
        <v>0.66666666666666663</v>
      </c>
      <c r="C130" s="65" t="s">
        <v>8</v>
      </c>
      <c r="D130" s="67" t="s">
        <v>142</v>
      </c>
      <c r="E130" s="9" t="s">
        <v>21</v>
      </c>
      <c r="F130" s="8">
        <f>(INT(Table_Estonia[[#This Row],[Date]]) - DATE(1970, 1, 1)) * 86400000</f>
        <v>1726963200000</v>
      </c>
      <c r="G130" s="10">
        <f>'GMT Glossary'!$B$2</f>
        <v>3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19:00</v>
      </c>
    </row>
    <row r="131" spans="1:9" ht="15.75" x14ac:dyDescent="0.25">
      <c r="A131" s="60">
        <v>45557</v>
      </c>
      <c r="B131" s="51">
        <v>0.6875</v>
      </c>
      <c r="C131" s="33" t="s">
        <v>8</v>
      </c>
      <c r="D131" s="44" t="s">
        <v>179</v>
      </c>
      <c r="E131" s="9" t="s">
        <v>72</v>
      </c>
      <c r="F131" s="8">
        <f>(INT(Table_Estonia[[#This Row],[Date]]) - DATE(1970, 1, 1)) * 86400000</f>
        <v>1726963200000</v>
      </c>
      <c r="G131" s="10">
        <f>'GMT Glossary'!$B$2</f>
        <v>3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19:30</v>
      </c>
    </row>
    <row r="132" spans="1:9" x14ac:dyDescent="0.25">
      <c r="A132" s="64">
        <v>45557</v>
      </c>
      <c r="B132" s="68">
        <v>0.75</v>
      </c>
      <c r="C132" s="65" t="s">
        <v>8</v>
      </c>
      <c r="D132" s="66" t="s">
        <v>24</v>
      </c>
      <c r="E132" s="9" t="s">
        <v>21</v>
      </c>
      <c r="F132" s="8">
        <f>(INT(Table_Estonia[[#This Row],[Date]]) - DATE(1970, 1, 1)) * 86400000</f>
        <v>1726963200000</v>
      </c>
      <c r="G132">
        <f>'GMT Glossary'!$B$2</f>
        <v>3</v>
      </c>
      <c r="H132" s="2" t="str">
        <f>TEXT(IF(B132&lt;0, A132+1+((B132+(G132/24))-(INT(B132+(G132/24)))), A132+(B132+(G132/24))), "yyyy-mm-dd")</f>
        <v>2024-09-22</v>
      </c>
      <c r="I132" s="2" t="str">
        <f>TEXT(IF(B132&lt;0, A132+1+((B132+(G132/24))-(INT(B132+(G132/24)))), A132+(B132+(G132/24))), "hh:mm")</f>
        <v>21:00</v>
      </c>
    </row>
    <row r="133" spans="1:9" ht="15.75" x14ac:dyDescent="0.25">
      <c r="A133" s="60">
        <v>45557</v>
      </c>
      <c r="B133" s="51">
        <v>0.79166666666666663</v>
      </c>
      <c r="C133" s="33" t="s">
        <v>8</v>
      </c>
      <c r="D133" s="44" t="s">
        <v>180</v>
      </c>
      <c r="E133" s="9" t="s">
        <v>72</v>
      </c>
      <c r="F133" s="8">
        <f>(INT(Table_Estonia[[#This Row],[Date]]) - DATE(1970, 1, 1)) * 86400000</f>
        <v>1726963200000</v>
      </c>
      <c r="G133" s="10">
        <f>'GMT Glossary'!$B$2</f>
        <v>3</v>
      </c>
      <c r="H133" s="2" t="str">
        <f>TEXT(IF(B133&lt;0, A133+1+((B133+(G133/24))-(INT(B133+(G133/24)))), A133+(B133+(G133/24))), "yyyy-mm-dd")</f>
        <v>2024-09-22</v>
      </c>
      <c r="I133" s="2" t="str">
        <f>TEXT(IF(B133&lt;0, A133+1+((B133+(G133/24))-(INT(B133+(G133/24)))), A133+(B133+(G133/24))), "hh:mm")</f>
        <v>22:00</v>
      </c>
    </row>
    <row r="134" spans="1:9" x14ac:dyDescent="0.25">
      <c r="A134" s="64">
        <v>45557</v>
      </c>
      <c r="B134" s="68">
        <v>0.8125</v>
      </c>
      <c r="C134" s="65" t="s">
        <v>8</v>
      </c>
      <c r="D134" s="67" t="s">
        <v>143</v>
      </c>
      <c r="E134" s="9" t="s">
        <v>21</v>
      </c>
      <c r="F134" s="8">
        <f>(INT(Table_Estonia[[#This Row],[Date]]) - DATE(1970, 1, 1)) * 86400000</f>
        <v>1726963200000</v>
      </c>
      <c r="G134" s="10">
        <f>'GMT Glossary'!$B$2</f>
        <v>3</v>
      </c>
      <c r="H134" s="2" t="str">
        <f>TEXT(IF(B134&lt;0, A134+1+((B134+(G134/24))-(INT(B134+(G134/24)))), A134+(B134+(G134/24))), "yyyy-mm-dd")</f>
        <v>2024-09-22</v>
      </c>
      <c r="I134" s="2" t="str">
        <f>TEXT(IF(B134&lt;0, A134+1+((B134+(G134/24))-(INT(B134+(G134/24)))), A134+(B134+(G134/24))), "hh:mm")</f>
        <v>22:30</v>
      </c>
    </row>
    <row r="135" spans="1:9" x14ac:dyDescent="0.25">
      <c r="A135" s="64">
        <v>45557</v>
      </c>
      <c r="B135" s="68">
        <v>0.90625</v>
      </c>
      <c r="C135" s="65" t="s">
        <v>8</v>
      </c>
      <c r="D135" s="67" t="s">
        <v>144</v>
      </c>
      <c r="E135" s="9" t="s">
        <v>21</v>
      </c>
      <c r="F135" s="8">
        <f>(INT(Table_Estonia[[#This Row],[Date]]) - DATE(1970, 1, 1)) * 86400000</f>
        <v>1726963200000</v>
      </c>
      <c r="G135">
        <f>'GMT Glossary'!$B$2</f>
        <v>3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00:45</v>
      </c>
    </row>
    <row r="136" spans="1:9" ht="15.75" x14ac:dyDescent="0.25">
      <c r="A136" s="60">
        <v>45557</v>
      </c>
      <c r="B136" s="51">
        <v>0.90625</v>
      </c>
      <c r="C136" s="33" t="s">
        <v>8</v>
      </c>
      <c r="D136" s="44" t="s">
        <v>181</v>
      </c>
      <c r="E136" s="9" t="s">
        <v>72</v>
      </c>
      <c r="F136" s="8">
        <f>(INT(Table_Estonia[[#This Row],[Date]]) - DATE(1970, 1, 1)) * 86400000</f>
        <v>1726963200000</v>
      </c>
      <c r="G136" s="10">
        <f>'GMT Glossary'!$B$2</f>
        <v>3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00:45</v>
      </c>
    </row>
    <row r="137" spans="1:9" x14ac:dyDescent="0.25">
      <c r="A137" s="64">
        <v>45558</v>
      </c>
      <c r="B137" s="68">
        <v>0</v>
      </c>
      <c r="C137" s="65" t="s">
        <v>8</v>
      </c>
      <c r="D137" s="66" t="s">
        <v>145</v>
      </c>
      <c r="E137" s="9" t="s">
        <v>21</v>
      </c>
      <c r="F137" s="8">
        <f>(INT(Table_Estonia[[#This Row],[Date]]) - DATE(1970, 1, 1)) * 86400000</f>
        <v>1727049600000</v>
      </c>
      <c r="G137">
        <f>'GMT Glossary'!$B$2</f>
        <v>3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03:00</v>
      </c>
    </row>
    <row r="138" spans="1:9" ht="15.75" x14ac:dyDescent="0.25">
      <c r="A138" s="60">
        <v>45558</v>
      </c>
      <c r="B138" s="51">
        <v>0</v>
      </c>
      <c r="C138" s="33" t="s">
        <v>8</v>
      </c>
      <c r="D138" s="44" t="s">
        <v>151</v>
      </c>
      <c r="E138" s="9" t="s">
        <v>72</v>
      </c>
      <c r="F138" s="8">
        <f>(INT(Table_Estonia[[#This Row],[Date]]) - DATE(1970, 1, 1)) * 86400000</f>
        <v>1727049600000</v>
      </c>
      <c r="G138" s="10">
        <f>'GMT Glossary'!$B$2</f>
        <v>3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03:00</v>
      </c>
    </row>
    <row r="139" spans="1:9" x14ac:dyDescent="0.25">
      <c r="A139" s="64">
        <v>45558</v>
      </c>
      <c r="B139" s="68">
        <v>8.3333333333333329E-2</v>
      </c>
      <c r="C139" s="65" t="s">
        <v>8</v>
      </c>
      <c r="D139" s="66" t="s">
        <v>146</v>
      </c>
      <c r="E139" s="9" t="s">
        <v>21</v>
      </c>
      <c r="F139" s="8">
        <f>(INT(Table_Estonia[[#This Row],[Date]]) - DATE(1970, 1, 1)) * 86400000</f>
        <v>1727049600000</v>
      </c>
      <c r="G139" s="10">
        <f>'GMT Glossary'!$B$2</f>
        <v>3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05:00</v>
      </c>
    </row>
    <row r="140" spans="1:9" ht="15.75" x14ac:dyDescent="0.25">
      <c r="A140" s="60">
        <v>45558</v>
      </c>
      <c r="B140" s="51">
        <v>8.3333333333333329E-2</v>
      </c>
      <c r="C140" s="33" t="s">
        <v>398</v>
      </c>
      <c r="D140" s="44" t="s">
        <v>182</v>
      </c>
      <c r="E140" s="9" t="s">
        <v>72</v>
      </c>
      <c r="F140" s="8">
        <f>(INT(Table_Estonia[[#This Row],[Date]]) - DATE(1970, 1, 1)) * 86400000</f>
        <v>1727049600000</v>
      </c>
      <c r="G140" s="10">
        <f>'GMT Glossary'!$B$2</f>
        <v>3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05:00</v>
      </c>
    </row>
    <row r="141" spans="1:9" x14ac:dyDescent="0.25">
      <c r="A141" s="64">
        <v>45558</v>
      </c>
      <c r="B141" s="68">
        <v>0.16666666666666666</v>
      </c>
      <c r="C141" s="65" t="s">
        <v>8</v>
      </c>
      <c r="D141" s="66" t="s">
        <v>147</v>
      </c>
      <c r="E141" s="9" t="s">
        <v>21</v>
      </c>
      <c r="F141" s="8">
        <f>(INT(Table_Estonia[[#This Row],[Date]]) - DATE(1970, 1, 1)) * 86400000</f>
        <v>1727049600000</v>
      </c>
      <c r="G141">
        <f>'GMT Glossary'!$B$2</f>
        <v>3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07:00</v>
      </c>
    </row>
    <row r="142" spans="1:9" ht="15.75" x14ac:dyDescent="0.25">
      <c r="A142" s="60">
        <v>45558</v>
      </c>
      <c r="B142" s="51">
        <v>0.16666666666666666</v>
      </c>
      <c r="C142" s="33" t="s">
        <v>8</v>
      </c>
      <c r="D142" s="44" t="s">
        <v>145</v>
      </c>
      <c r="E142" s="9" t="s">
        <v>72</v>
      </c>
      <c r="F142" s="8">
        <f>(INT(Table_Estonia[[#This Row],[Date]]) - DATE(1970, 1, 1)) * 86400000</f>
        <v>1727049600000</v>
      </c>
      <c r="G142" s="10">
        <f>'GMT Glossary'!$B$2</f>
        <v>3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07:00</v>
      </c>
    </row>
    <row r="143" spans="1:9" x14ac:dyDescent="0.25">
      <c r="A143" s="64">
        <v>45558</v>
      </c>
      <c r="B143" s="68">
        <v>0.25</v>
      </c>
      <c r="C143" s="65" t="s">
        <v>8</v>
      </c>
      <c r="D143" s="66" t="s">
        <v>148</v>
      </c>
      <c r="E143" s="9" t="s">
        <v>21</v>
      </c>
      <c r="F143" s="8">
        <f>(INT(Table_Estonia[[#This Row],[Date]]) - DATE(1970, 1, 1)) * 86400000</f>
        <v>1727049600000</v>
      </c>
      <c r="G143" s="10">
        <f>'GMT Glossary'!$B$2</f>
        <v>3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09:00</v>
      </c>
    </row>
    <row r="144" spans="1:9" ht="15.75" x14ac:dyDescent="0.25">
      <c r="A144" s="60">
        <v>45558</v>
      </c>
      <c r="B144" s="51">
        <v>0.25</v>
      </c>
      <c r="C144" s="33" t="s">
        <v>8</v>
      </c>
      <c r="D144" s="44" t="s">
        <v>183</v>
      </c>
      <c r="E144" s="9" t="s">
        <v>72</v>
      </c>
      <c r="F144" s="8">
        <f>(INT(Table_Estonia[[#This Row],[Date]]) - DATE(1970, 1, 1)) * 86400000</f>
        <v>1727049600000</v>
      </c>
      <c r="G144" s="10">
        <f>'GMT Glossary'!$B$2</f>
        <v>3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09:00</v>
      </c>
    </row>
    <row r="145" spans="1:9" x14ac:dyDescent="0.25">
      <c r="A145" s="64">
        <v>45558</v>
      </c>
      <c r="B145" s="68">
        <v>0.33333333333333331</v>
      </c>
      <c r="C145" s="65" t="s">
        <v>8</v>
      </c>
      <c r="D145" s="66" t="s">
        <v>149</v>
      </c>
      <c r="E145" s="9" t="s">
        <v>21</v>
      </c>
      <c r="F145" s="8">
        <f>(INT(Table_Estonia[[#This Row],[Date]]) - DATE(1970, 1, 1)) * 86400000</f>
        <v>1727049600000</v>
      </c>
      <c r="G145">
        <f>'GMT Glossary'!$B$2</f>
        <v>3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11:00</v>
      </c>
    </row>
    <row r="146" spans="1:9" ht="15.75" x14ac:dyDescent="0.25">
      <c r="A146" s="60">
        <v>45558</v>
      </c>
      <c r="B146" s="51">
        <v>0.33333333333333331</v>
      </c>
      <c r="C146" s="33" t="s">
        <v>8</v>
      </c>
      <c r="D146" s="44" t="s">
        <v>184</v>
      </c>
      <c r="E146" s="9" t="s">
        <v>72</v>
      </c>
      <c r="F146" s="8">
        <f>(INT(Table_Estonia[[#This Row],[Date]]) - DATE(1970, 1, 1)) * 86400000</f>
        <v>1727049600000</v>
      </c>
      <c r="G146" s="10">
        <f>'GMT Glossary'!$B$2</f>
        <v>3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11:00</v>
      </c>
    </row>
    <row r="147" spans="1:9" x14ac:dyDescent="0.25">
      <c r="A147" s="64">
        <v>45558</v>
      </c>
      <c r="B147" s="68">
        <v>0.41666666666666669</v>
      </c>
      <c r="C147" s="65" t="s">
        <v>8</v>
      </c>
      <c r="D147" s="66" t="s">
        <v>150</v>
      </c>
      <c r="E147" s="9" t="s">
        <v>21</v>
      </c>
      <c r="F147" s="8">
        <f>(INT(Table_Estonia[[#This Row],[Date]]) - DATE(1970, 1, 1)) * 86400000</f>
        <v>1727049600000</v>
      </c>
      <c r="G147" s="10">
        <f>'GMT Glossary'!$B$2</f>
        <v>3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13:00</v>
      </c>
    </row>
    <row r="148" spans="1:9" ht="15.75" x14ac:dyDescent="0.25">
      <c r="A148" s="60">
        <v>45558</v>
      </c>
      <c r="B148" s="51">
        <v>0.41666666666666669</v>
      </c>
      <c r="C148" s="33" t="s">
        <v>8</v>
      </c>
      <c r="D148" s="44" t="s">
        <v>148</v>
      </c>
      <c r="E148" s="9" t="s">
        <v>72</v>
      </c>
      <c r="F148" s="8">
        <f>(INT(Table_Estonia[[#This Row],[Date]]) - DATE(1970, 1, 1)) * 86400000</f>
        <v>1727049600000</v>
      </c>
      <c r="G148" s="10">
        <f>'GMT Glossary'!$B$2</f>
        <v>3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13:00</v>
      </c>
    </row>
    <row r="149" spans="1:9" x14ac:dyDescent="0.25">
      <c r="A149" s="64">
        <v>45558</v>
      </c>
      <c r="B149" s="68">
        <v>0.5</v>
      </c>
      <c r="C149" s="65" t="s">
        <v>8</v>
      </c>
      <c r="D149" s="66" t="s">
        <v>151</v>
      </c>
      <c r="E149" s="9" t="s">
        <v>21</v>
      </c>
      <c r="F149" s="8">
        <f>(INT(Table_Estonia[[#This Row],[Date]]) - DATE(1970, 1, 1)) * 86400000</f>
        <v>1727049600000</v>
      </c>
      <c r="G149">
        <f>'GMT Glossary'!$B$2</f>
        <v>3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15:00</v>
      </c>
    </row>
    <row r="150" spans="1:9" ht="15.75" x14ac:dyDescent="0.25">
      <c r="A150" s="60">
        <v>45558</v>
      </c>
      <c r="B150" s="51">
        <v>0.5</v>
      </c>
      <c r="C150" s="33" t="s">
        <v>8</v>
      </c>
      <c r="D150" s="44" t="s">
        <v>185</v>
      </c>
      <c r="E150" s="9" t="s">
        <v>72</v>
      </c>
      <c r="F150" s="8">
        <f>(INT(Table_Estonia[[#This Row],[Date]]) - DATE(1970, 1, 1)) * 86400000</f>
        <v>1727049600000</v>
      </c>
      <c r="G150" s="10">
        <f>'GMT Glossary'!$B$2</f>
        <v>3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15:00</v>
      </c>
    </row>
    <row r="151" spans="1:9" x14ac:dyDescent="0.25">
      <c r="A151" s="64">
        <v>45558</v>
      </c>
      <c r="B151" s="68">
        <v>0.58333333333333337</v>
      </c>
      <c r="C151" s="65" t="s">
        <v>8</v>
      </c>
      <c r="D151" s="66" t="s">
        <v>141</v>
      </c>
      <c r="E151" s="9" t="s">
        <v>21</v>
      </c>
      <c r="F151" s="8">
        <f>(INT(Table_Estonia[[#This Row],[Date]]) - DATE(1970, 1, 1)) * 86400000</f>
        <v>1727049600000</v>
      </c>
      <c r="G151" s="10">
        <f>'GMT Glossary'!$B$2</f>
        <v>3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17:00</v>
      </c>
    </row>
    <row r="152" spans="1:9" ht="15.75" x14ac:dyDescent="0.25">
      <c r="A152" s="60">
        <v>45558</v>
      </c>
      <c r="B152" s="51">
        <v>0.58333333333333337</v>
      </c>
      <c r="C152" s="33" t="s">
        <v>8</v>
      </c>
      <c r="D152" s="44" t="s">
        <v>149</v>
      </c>
      <c r="E152" s="9" t="s">
        <v>72</v>
      </c>
      <c r="F152" s="8">
        <f>(INT(Table_Estonia[[#This Row],[Date]]) - DATE(1970, 1, 1)) * 86400000</f>
        <v>1727049600000</v>
      </c>
      <c r="G152" s="10">
        <f>'GMT Glossary'!$B$2</f>
        <v>3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17:00</v>
      </c>
    </row>
    <row r="153" spans="1:9" x14ac:dyDescent="0.25">
      <c r="A153" s="64">
        <v>45558</v>
      </c>
      <c r="B153" s="68">
        <v>0.66666666666666663</v>
      </c>
      <c r="C153" s="65" t="s">
        <v>8</v>
      </c>
      <c r="D153" s="66" t="s">
        <v>152</v>
      </c>
      <c r="E153" s="9" t="s">
        <v>21</v>
      </c>
      <c r="F153" s="8">
        <f>(INT(Table_Estonia[[#This Row],[Date]]) - DATE(1970, 1, 1)) * 86400000</f>
        <v>1727049600000</v>
      </c>
      <c r="G153">
        <f>'GMT Glossary'!$B$2</f>
        <v>3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19:00</v>
      </c>
    </row>
    <row r="154" spans="1:9" ht="15.75" x14ac:dyDescent="0.25">
      <c r="A154" s="60">
        <v>45558</v>
      </c>
      <c r="B154" s="51">
        <v>0.66666666666666663</v>
      </c>
      <c r="C154" s="33" t="s">
        <v>8</v>
      </c>
      <c r="D154" s="44" t="s">
        <v>186</v>
      </c>
      <c r="E154" s="9" t="s">
        <v>72</v>
      </c>
      <c r="F154" s="8">
        <f>(INT(Table_Estonia[[#This Row],[Date]]) - DATE(1970, 1, 1)) * 86400000</f>
        <v>1727049600000</v>
      </c>
      <c r="G154" s="10">
        <f>'GMT Glossary'!$B$2</f>
        <v>3</v>
      </c>
      <c r="H154" s="2" t="str">
        <f>TEXT(IF(B154&lt;0, A154+1+((B154+(G154/24))-(INT(B154+(G154/24)))), A154+(B154+(G154/24))), "yyyy-mm-dd")</f>
        <v>2024-09-23</v>
      </c>
      <c r="I154" s="2" t="str">
        <f>TEXT(IF(B154&lt;0, A154+1+((B154+(G154/24))-(INT(B154+(G154/24)))), A154+(B154+(G154/24))), "hh:mm")</f>
        <v>19:00</v>
      </c>
    </row>
    <row r="155" spans="1:9" x14ac:dyDescent="0.25">
      <c r="A155" s="64">
        <v>45558</v>
      </c>
      <c r="B155" s="68">
        <v>0.75</v>
      </c>
      <c r="C155" s="65" t="s">
        <v>8</v>
      </c>
      <c r="D155" s="66" t="s">
        <v>153</v>
      </c>
      <c r="E155" s="9" t="s">
        <v>21</v>
      </c>
      <c r="F155" s="8">
        <f>(INT(Table_Estonia[[#This Row],[Date]]) - DATE(1970, 1, 1)) * 86400000</f>
        <v>1727049600000</v>
      </c>
      <c r="G155" s="10">
        <f>'GMT Glossary'!$B$2</f>
        <v>3</v>
      </c>
      <c r="H155" s="2" t="str">
        <f>TEXT(IF(B155&lt;0, A155+1+((B155+(G155/24))-(INT(B155+(G155/24)))), A155+(B155+(G155/24))), "yyyy-mm-dd")</f>
        <v>2024-09-23</v>
      </c>
      <c r="I155" s="2" t="str">
        <f>TEXT(IF(B155&lt;0, A155+1+((B155+(G155/24))-(INT(B155+(G155/24)))), A155+(B155+(G155/24))), "hh:mm")</f>
        <v>21:00</v>
      </c>
    </row>
    <row r="156" spans="1:9" ht="15.75" x14ac:dyDescent="0.25">
      <c r="A156" s="60">
        <v>45558</v>
      </c>
      <c r="B156" s="51">
        <v>0.75</v>
      </c>
      <c r="C156" s="33" t="s">
        <v>8</v>
      </c>
      <c r="D156" s="44" t="s">
        <v>187</v>
      </c>
      <c r="E156" s="9" t="s">
        <v>72</v>
      </c>
      <c r="F156" s="8">
        <f>(INT(Table_Estonia[[#This Row],[Date]]) - DATE(1970, 1, 1)) * 86400000</f>
        <v>1727049600000</v>
      </c>
      <c r="G156" s="10">
        <f>'GMT Glossary'!$B$2</f>
        <v>3</v>
      </c>
      <c r="H156" s="2" t="str">
        <f>TEXT(IF(B156&lt;0, A156+1+((B156+(G156/24))-(INT(B156+(G156/24)))), A156+(B156+(G156/24))), "yyyy-mm-dd")</f>
        <v>2024-09-23</v>
      </c>
      <c r="I156" s="2" t="str">
        <f>TEXT(IF(B156&lt;0, A156+1+((B156+(G156/24))-(INT(B156+(G156/24)))), A156+(B156+(G156/24))), "hh:mm")</f>
        <v>21:00</v>
      </c>
    </row>
    <row r="157" spans="1:9" x14ac:dyDescent="0.25">
      <c r="A157" s="64">
        <v>45558</v>
      </c>
      <c r="B157" s="68">
        <v>0.83333333333333337</v>
      </c>
      <c r="C157" s="65" t="s">
        <v>398</v>
      </c>
      <c r="D157" s="66" t="s">
        <v>45</v>
      </c>
      <c r="E157" s="9" t="s">
        <v>21</v>
      </c>
      <c r="F157" s="8">
        <f>(INT(Table_Estonia[[#This Row],[Date]]) - DATE(1970, 1, 1)) * 86400000</f>
        <v>1727049600000</v>
      </c>
      <c r="G157">
        <f>'GMT Glossary'!$B$2</f>
        <v>3</v>
      </c>
      <c r="H157" s="2" t="str">
        <f>TEXT(IF(B157&lt;0, A157+1+((B157+(G157/24))-(INT(B157+(G157/24)))), A157+(B157+(G157/24))), "yyyy-mm-dd")</f>
        <v>2024-09-23</v>
      </c>
      <c r="I157" s="2" t="str">
        <f>TEXT(IF(B157&lt;0, A157+1+((B157+(G157/24))-(INT(B157+(G157/24)))), A157+(B157+(G157/24))), "hh:mm")</f>
        <v>23:00</v>
      </c>
    </row>
    <row r="158" spans="1:9" ht="15.75" x14ac:dyDescent="0.25">
      <c r="A158" s="60">
        <v>45558</v>
      </c>
      <c r="B158" s="51">
        <v>0.83333333333333337</v>
      </c>
      <c r="C158" s="33" t="s">
        <v>8</v>
      </c>
      <c r="D158" s="44" t="s">
        <v>188</v>
      </c>
      <c r="E158" s="9" t="s">
        <v>72</v>
      </c>
      <c r="F158" s="8">
        <f>(INT(Table_Estonia[[#This Row],[Date]]) - DATE(1970, 1, 1)) * 86400000</f>
        <v>1727049600000</v>
      </c>
      <c r="G158" s="10">
        <f>'GMT Glossary'!$B$2</f>
        <v>3</v>
      </c>
      <c r="H158" s="2" t="str">
        <f>TEXT(IF(B158&lt;0, A158+1+((B158+(G158/24))-(INT(B158+(G158/24)))), A158+(B158+(G158/24))), "yyyy-mm-dd")</f>
        <v>2024-09-23</v>
      </c>
      <c r="I158" s="2" t="str">
        <f>TEXT(IF(B158&lt;0, A158+1+((B158+(G158/24))-(INT(B158+(G158/24)))), A158+(B158+(G158/24))), "hh:mm")</f>
        <v>23:00</v>
      </c>
    </row>
    <row r="159" spans="1:9" x14ac:dyDescent="0.25">
      <c r="A159" s="64">
        <v>45558</v>
      </c>
      <c r="B159" s="68">
        <v>0.90625</v>
      </c>
      <c r="C159" s="65" t="s">
        <v>8</v>
      </c>
      <c r="D159" s="66" t="s">
        <v>154</v>
      </c>
      <c r="E159" s="9" t="s">
        <v>21</v>
      </c>
      <c r="F159" s="8">
        <f>(INT(Table_Estonia[[#This Row],[Date]]) - DATE(1970, 1, 1)) * 86400000</f>
        <v>1727049600000</v>
      </c>
      <c r="G159" s="10">
        <f>'GMT Glossary'!$B$2</f>
        <v>3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00:45</v>
      </c>
    </row>
    <row r="160" spans="1:9" ht="15.75" x14ac:dyDescent="0.25">
      <c r="A160" s="60">
        <v>45558</v>
      </c>
      <c r="B160" s="51">
        <v>0.91666666666666663</v>
      </c>
      <c r="C160" s="33" t="s">
        <v>8</v>
      </c>
      <c r="D160" s="44" t="s">
        <v>189</v>
      </c>
      <c r="E160" s="9" t="s">
        <v>72</v>
      </c>
      <c r="F160" s="8">
        <f>(INT(Table_Estonia[[#This Row],[Date]]) - DATE(1970, 1, 1)) * 86400000</f>
        <v>1727049600000</v>
      </c>
      <c r="G160" s="10">
        <f>'GMT Glossary'!$B$2</f>
        <v>3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01:00</v>
      </c>
    </row>
    <row r="161" spans="1:9" x14ac:dyDescent="0.25">
      <c r="A161" s="64">
        <v>45559</v>
      </c>
      <c r="B161" s="68">
        <v>0</v>
      </c>
      <c r="C161" s="65" t="s">
        <v>398</v>
      </c>
      <c r="D161" s="66" t="s">
        <v>155</v>
      </c>
      <c r="E161" s="9" t="s">
        <v>21</v>
      </c>
      <c r="F161" s="8">
        <f>(INT(Table_Estonia[[#This Row],[Date]]) - DATE(1970, 1, 1)) * 86400000</f>
        <v>1727136000000</v>
      </c>
      <c r="G161">
        <f>'GMT Glossary'!$B$2</f>
        <v>3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03:00</v>
      </c>
    </row>
    <row r="162" spans="1:9" ht="15.75" x14ac:dyDescent="0.25">
      <c r="A162" s="60">
        <v>45559</v>
      </c>
      <c r="B162" s="51">
        <v>0</v>
      </c>
      <c r="C162" s="33" t="s">
        <v>8</v>
      </c>
      <c r="D162" s="44" t="s">
        <v>157</v>
      </c>
      <c r="E162" s="9" t="s">
        <v>72</v>
      </c>
      <c r="F162" s="8">
        <f>(INT(Table_Estonia[[#This Row],[Date]]) - DATE(1970, 1, 1)) * 86400000</f>
        <v>1727136000000</v>
      </c>
      <c r="G162" s="10">
        <f>'GMT Glossary'!$B$2</f>
        <v>3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03:00</v>
      </c>
    </row>
    <row r="163" spans="1:9" ht="15.75" x14ac:dyDescent="0.25">
      <c r="A163" s="60">
        <v>45559</v>
      </c>
      <c r="B163" s="51">
        <v>8.3333333333333329E-2</v>
      </c>
      <c r="C163" s="33" t="s">
        <v>8</v>
      </c>
      <c r="D163" s="44" t="s">
        <v>190</v>
      </c>
      <c r="E163" s="9" t="s">
        <v>72</v>
      </c>
      <c r="F163" s="8">
        <f>(INT(Table_Estonia[[#This Row],[Date]]) - DATE(1970, 1, 1)) * 86400000</f>
        <v>1727136000000</v>
      </c>
      <c r="G163" s="10">
        <f>'GMT Glossary'!$B$2</f>
        <v>3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05:00</v>
      </c>
    </row>
    <row r="164" spans="1:9" x14ac:dyDescent="0.25">
      <c r="A164" s="64">
        <v>45559</v>
      </c>
      <c r="B164" s="68">
        <v>0.125</v>
      </c>
      <c r="C164" s="65" t="s">
        <v>398</v>
      </c>
      <c r="D164" s="66" t="s">
        <v>123</v>
      </c>
      <c r="E164" s="9" t="s">
        <v>21</v>
      </c>
      <c r="F164" s="8">
        <f>(INT(Table_Estonia[[#This Row],[Date]]) - DATE(1970, 1, 1)) * 86400000</f>
        <v>1727136000000</v>
      </c>
      <c r="G164" s="10">
        <f>'GMT Glossary'!$B$2</f>
        <v>3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06:00</v>
      </c>
    </row>
    <row r="165" spans="1:9" ht="15.75" x14ac:dyDescent="0.25">
      <c r="A165" s="60">
        <v>45559</v>
      </c>
      <c r="B165" s="51">
        <v>0.16666666666666666</v>
      </c>
      <c r="C165" s="33" t="s">
        <v>8</v>
      </c>
      <c r="D165" s="44" t="s">
        <v>191</v>
      </c>
      <c r="E165" s="9" t="s">
        <v>72</v>
      </c>
      <c r="F165" s="8">
        <f>(INT(Table_Estonia[[#This Row],[Date]]) - DATE(1970, 1, 1)) * 86400000</f>
        <v>1727136000000</v>
      </c>
      <c r="G165" s="10">
        <f>'GMT Glossary'!$B$2</f>
        <v>3</v>
      </c>
      <c r="H165" s="2" t="str">
        <f>TEXT(IF(B165&lt;0, A165+1+((B165+(G165/24))-(INT(B165+(G165/24)))), A165+(B165+(G165/24))), "yyyy-mm-dd")</f>
        <v>2024-09-24</v>
      </c>
      <c r="I165" s="2" t="str">
        <f>TEXT(IF(B165&lt;0, A165+1+((B165+(G165/24))-(INT(B165+(G165/24)))), A165+(B165+(G165/24))), "hh:mm")</f>
        <v>07:00</v>
      </c>
    </row>
    <row r="166" spans="1:9" x14ac:dyDescent="0.25">
      <c r="A166" s="64">
        <v>45559</v>
      </c>
      <c r="B166" s="68">
        <v>0.25</v>
      </c>
      <c r="C166" s="65" t="s">
        <v>8</v>
      </c>
      <c r="D166" s="66" t="s">
        <v>156</v>
      </c>
      <c r="E166" s="9" t="s">
        <v>21</v>
      </c>
      <c r="F166" s="8">
        <f>(INT(Table_Estonia[[#This Row],[Date]]) - DATE(1970, 1, 1)) * 86400000</f>
        <v>1727136000000</v>
      </c>
      <c r="G166">
        <f>'GMT Glossary'!$B$2</f>
        <v>3</v>
      </c>
      <c r="H166" s="2" t="str">
        <f>TEXT(IF(B166&lt;0, A166+1+((B166+(G166/24))-(INT(B166+(G166/24)))), A166+(B166+(G166/24))), "yyyy-mm-dd")</f>
        <v>2024-09-24</v>
      </c>
      <c r="I166" s="2" t="str">
        <f>TEXT(IF(B166&lt;0, A166+1+((B166+(G166/24))-(INT(B166+(G166/24)))), A166+(B166+(G166/24))), "hh:mm")</f>
        <v>09:00</v>
      </c>
    </row>
    <row r="167" spans="1:9" ht="15.75" x14ac:dyDescent="0.25">
      <c r="A167" s="60">
        <v>45559</v>
      </c>
      <c r="B167" s="51">
        <v>0.25</v>
      </c>
      <c r="C167" s="33" t="s">
        <v>8</v>
      </c>
      <c r="D167" s="44" t="s">
        <v>192</v>
      </c>
      <c r="E167" s="9" t="s">
        <v>72</v>
      </c>
      <c r="F167" s="8">
        <f>(INT(Table_Estonia[[#This Row],[Date]]) - DATE(1970, 1, 1)) * 86400000</f>
        <v>1727136000000</v>
      </c>
      <c r="G167" s="10">
        <f>'GMT Glossary'!$B$2</f>
        <v>3</v>
      </c>
      <c r="H167" s="2" t="str">
        <f>TEXT(IF(B167&lt;0, A167+1+((B167+(G167/24))-(INT(B167+(G167/24)))), A167+(B167+(G167/24))), "yyyy-mm-dd")</f>
        <v>2024-09-24</v>
      </c>
      <c r="I167" s="2" t="str">
        <f>TEXT(IF(B167&lt;0, A167+1+((B167+(G167/24))-(INT(B167+(G167/24)))), A167+(B167+(G167/24))), "hh:mm")</f>
        <v>09:00</v>
      </c>
    </row>
    <row r="168" spans="1:9" x14ac:dyDescent="0.25">
      <c r="A168" s="64">
        <v>45559</v>
      </c>
      <c r="B168" s="68">
        <v>0.33333333333333331</v>
      </c>
      <c r="C168" s="65" t="s">
        <v>8</v>
      </c>
      <c r="D168" s="66" t="s">
        <v>157</v>
      </c>
      <c r="E168" s="9" t="s">
        <v>21</v>
      </c>
      <c r="F168" s="8">
        <f>(INT(Table_Estonia[[#This Row],[Date]]) - DATE(1970, 1, 1)) * 86400000</f>
        <v>1727136000000</v>
      </c>
      <c r="G168" s="10">
        <f>'GMT Glossary'!$B$2</f>
        <v>3</v>
      </c>
      <c r="H168" s="2" t="str">
        <f>TEXT(IF(B168&lt;0, A168+1+((B168+(G168/24))-(INT(B168+(G168/24)))), A168+(B168+(G168/24))), "yyyy-mm-dd")</f>
        <v>2024-09-24</v>
      </c>
      <c r="I168" s="2" t="str">
        <f>TEXT(IF(B168&lt;0, A168+1+((B168+(G168/24))-(INT(B168+(G168/24)))), A168+(B168+(G168/24))), "hh:mm")</f>
        <v>11:00</v>
      </c>
    </row>
    <row r="169" spans="1:9" ht="15.75" x14ac:dyDescent="0.25">
      <c r="A169" s="60">
        <v>45559</v>
      </c>
      <c r="B169" s="51">
        <v>0.33333333333333331</v>
      </c>
      <c r="C169" s="33" t="s">
        <v>8</v>
      </c>
      <c r="D169" s="44" t="s">
        <v>193</v>
      </c>
      <c r="E169" s="9" t="s">
        <v>72</v>
      </c>
      <c r="F169" s="8">
        <f>(INT(Table_Estonia[[#This Row],[Date]]) - DATE(1970, 1, 1)) * 86400000</f>
        <v>1727136000000</v>
      </c>
      <c r="G169" s="10">
        <f>'GMT Glossary'!$B$2</f>
        <v>3</v>
      </c>
      <c r="H169" s="2" t="str">
        <f>TEXT(IF(B169&lt;0, A169+1+((B169+(G169/24))-(INT(B169+(G169/24)))), A169+(B169+(G169/24))), "yyyy-mm-dd")</f>
        <v>2024-09-24</v>
      </c>
      <c r="I169" s="2" t="str">
        <f>TEXT(IF(B169&lt;0, A169+1+((B169+(G169/24))-(INT(B169+(G169/24)))), A169+(B169+(G169/24))), "hh:mm")</f>
        <v>11:00</v>
      </c>
    </row>
    <row r="170" spans="1:9" x14ac:dyDescent="0.25">
      <c r="A170" s="64">
        <v>45559</v>
      </c>
      <c r="B170" s="68">
        <v>0.41666666666666669</v>
      </c>
      <c r="C170" s="65" t="s">
        <v>8</v>
      </c>
      <c r="D170" s="66" t="s">
        <v>158</v>
      </c>
      <c r="E170" s="9" t="s">
        <v>21</v>
      </c>
      <c r="F170" s="8">
        <f>(INT(Table_Estonia[[#This Row],[Date]]) - DATE(1970, 1, 1)) * 86400000</f>
        <v>1727136000000</v>
      </c>
      <c r="G170">
        <f>'GMT Glossary'!$B$2</f>
        <v>3</v>
      </c>
      <c r="H170" s="2" t="str">
        <f>TEXT(IF(B170&lt;0, A170+1+((B170+(G170/24))-(INT(B170+(G170/24)))), A170+(B170+(G170/24))), "yyyy-mm-dd")</f>
        <v>2024-09-24</v>
      </c>
      <c r="I170" s="2" t="str">
        <f>TEXT(IF(B170&lt;0, A170+1+((B170+(G170/24))-(INT(B170+(G170/24)))), A170+(B170+(G170/24))), "hh:mm")</f>
        <v>13:00</v>
      </c>
    </row>
    <row r="171" spans="1:9" ht="15.75" x14ac:dyDescent="0.25">
      <c r="A171" s="42">
        <v>45559</v>
      </c>
      <c r="B171" s="40">
        <v>0.41666666666666669</v>
      </c>
      <c r="C171" s="34" t="s">
        <v>8</v>
      </c>
      <c r="D171" s="37" t="s">
        <v>194</v>
      </c>
      <c r="E171" s="9" t="s">
        <v>72</v>
      </c>
      <c r="F171" s="21">
        <f>(INT(Table_Estonia[[#This Row],[Date]]) - DATE(1970, 1, 1)) * 86400000</f>
        <v>1727136000000</v>
      </c>
      <c r="G171" s="12">
        <f>'GMT Glossary'!$B$2</f>
        <v>3</v>
      </c>
      <c r="H171" s="18" t="str">
        <f>TEXT(IF(B171&lt;0, A171+1+((B171+(G171/24))-(INT(B171+(G171/24)))), A171+(B171+(G171/24))), "yyyy-mm-dd")</f>
        <v>2024-09-24</v>
      </c>
      <c r="I171" s="18" t="str">
        <f>TEXT(IF(B171&lt;0, A171+1+((B171+(G171/24))-(INT(B171+(G171/24)))), A171+(B171+(G171/24))), "hh:mm")</f>
        <v>13:00</v>
      </c>
    </row>
  </sheetData>
  <sortState ref="A2:I171">
    <sortCondition ref="A2:A171"/>
    <sortCondition ref="B2:B171"/>
  </sortState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81A14-3C55-40DC-A2F5-28A5E9A78E77}">
  <sheetPr codeName="Sheet4"/>
  <dimension ref="A1:J171"/>
  <sheetViews>
    <sheetView topLeftCell="A149" workbookViewId="0">
      <selection activeCell="D175" sqref="D175"/>
    </sheetView>
  </sheetViews>
  <sheetFormatPr defaultRowHeight="15" x14ac:dyDescent="0.25"/>
  <cols>
    <col min="1" max="1" width="25.85546875" customWidth="1"/>
    <col min="2" max="3" width="27.2851562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42578125" customWidth="1"/>
  </cols>
  <sheetData>
    <row r="1" spans="1:10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10" x14ac:dyDescent="0.25">
      <c r="A2" s="64">
        <v>45552</v>
      </c>
      <c r="B2" s="68">
        <v>0.5</v>
      </c>
      <c r="C2" s="65" t="s">
        <v>8</v>
      </c>
      <c r="D2" s="66" t="s">
        <v>120</v>
      </c>
      <c r="E2" s="9" t="s">
        <v>21</v>
      </c>
      <c r="F2" s="8">
        <f>(INT(Table_Latvia[[#This Row],[Date]]) - DATE(1970, 1, 1)) * 86400000</f>
        <v>1726531200000</v>
      </c>
      <c r="G2">
        <f>'GMT Glossary'!$B$5</f>
        <v>3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15:00</v>
      </c>
      <c r="J2" s="2"/>
    </row>
    <row r="3" spans="1:10" ht="15.75" x14ac:dyDescent="0.25">
      <c r="A3" s="60">
        <v>45552</v>
      </c>
      <c r="B3" s="68">
        <v>0.5</v>
      </c>
      <c r="C3" s="33" t="s">
        <v>8</v>
      </c>
      <c r="D3" s="44" t="s">
        <v>159</v>
      </c>
      <c r="E3" s="9" t="s">
        <v>72</v>
      </c>
      <c r="F3" s="8">
        <f>(INT(Table_Latvia[[#This Row],[Date]]) - DATE(1970, 1, 1)) * 86400000</f>
        <v>1726531200000</v>
      </c>
      <c r="G3" s="10">
        <f>'GMT Glossary'!$B$5</f>
        <v>3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15:00</v>
      </c>
      <c r="J3" s="2"/>
    </row>
    <row r="4" spans="1:10" x14ac:dyDescent="0.25">
      <c r="A4" s="64">
        <v>45552</v>
      </c>
      <c r="B4" s="68">
        <v>0.54166666666666663</v>
      </c>
      <c r="C4" s="65" t="s">
        <v>8</v>
      </c>
      <c r="D4" s="66" t="s">
        <v>121</v>
      </c>
      <c r="E4" s="9" t="s">
        <v>21</v>
      </c>
      <c r="F4" s="8">
        <f>(INT(Table_Latvia[[#This Row],[Date]]) - DATE(1970, 1, 1)) * 86400000</f>
        <v>1726531200000</v>
      </c>
      <c r="G4" s="10">
        <f>'GMT Glossary'!$B$5</f>
        <v>3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16:00</v>
      </c>
      <c r="J4" s="2"/>
    </row>
    <row r="5" spans="1:10" x14ac:dyDescent="0.25">
      <c r="A5" s="64">
        <v>45552</v>
      </c>
      <c r="B5" s="68">
        <v>0.58333333333333337</v>
      </c>
      <c r="C5" s="65" t="s">
        <v>8</v>
      </c>
      <c r="D5" s="69" t="s">
        <v>48</v>
      </c>
      <c r="E5" s="9" t="s">
        <v>21</v>
      </c>
      <c r="F5" s="8">
        <f>(INT(Table_Latvia[[#This Row],[Date]]) - DATE(1970, 1, 1)) * 86400000</f>
        <v>1726531200000</v>
      </c>
      <c r="G5">
        <f>'GMT Glossary'!$B$5</f>
        <v>3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17:00</v>
      </c>
      <c r="J5" s="2"/>
    </row>
    <row r="6" spans="1:10" ht="15.75" x14ac:dyDescent="0.25">
      <c r="A6" s="60">
        <v>45552</v>
      </c>
      <c r="B6" s="51">
        <v>0.58333333333333337</v>
      </c>
      <c r="C6" s="33" t="s">
        <v>8</v>
      </c>
      <c r="D6" s="44" t="s">
        <v>160</v>
      </c>
      <c r="E6" s="9" t="s">
        <v>72</v>
      </c>
      <c r="F6" s="8">
        <f>(INT(Table_Latvia[[#This Row],[Date]]) - DATE(1970, 1, 1)) * 86400000</f>
        <v>1726531200000</v>
      </c>
      <c r="G6" s="10">
        <f>'GMT Glossary'!$B$5</f>
        <v>3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17:00</v>
      </c>
      <c r="J6" s="2"/>
    </row>
    <row r="7" spans="1:10" x14ac:dyDescent="0.25">
      <c r="A7" s="64">
        <v>45552</v>
      </c>
      <c r="B7" s="68">
        <v>0.66666666666666663</v>
      </c>
      <c r="C7" s="65" t="s">
        <v>8</v>
      </c>
      <c r="D7" s="69" t="s">
        <v>44</v>
      </c>
      <c r="E7" s="9" t="s">
        <v>21</v>
      </c>
      <c r="F7" s="8">
        <f>(INT(Table_Latvia[[#This Row],[Date]]) - DATE(1970, 1, 1)) * 86400000</f>
        <v>1726531200000</v>
      </c>
      <c r="G7">
        <f>'GMT Glossary'!$B$5</f>
        <v>3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19:00</v>
      </c>
      <c r="J7" s="2"/>
    </row>
    <row r="8" spans="1:10" ht="15.75" x14ac:dyDescent="0.25">
      <c r="A8" s="60">
        <v>45552</v>
      </c>
      <c r="B8" s="51">
        <v>0.66666666666666663</v>
      </c>
      <c r="C8" s="33" t="s">
        <v>8</v>
      </c>
      <c r="D8" s="44" t="s">
        <v>47</v>
      </c>
      <c r="E8" s="9" t="s">
        <v>72</v>
      </c>
      <c r="F8" s="8">
        <f>(INT(Table_Latvia[[#This Row],[Date]]) - DATE(1970, 1, 1)) * 86400000</f>
        <v>1726531200000</v>
      </c>
      <c r="G8" s="10">
        <f>'GMT Glossary'!$B$5</f>
        <v>3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19:00</v>
      </c>
      <c r="J8" s="2"/>
    </row>
    <row r="9" spans="1:10" x14ac:dyDescent="0.25">
      <c r="A9" s="64">
        <v>45552</v>
      </c>
      <c r="B9" s="68">
        <v>0.75</v>
      </c>
      <c r="C9" s="65" t="s">
        <v>8</v>
      </c>
      <c r="D9" s="66" t="s">
        <v>38</v>
      </c>
      <c r="E9" s="9" t="s">
        <v>21</v>
      </c>
      <c r="F9" s="8">
        <f>(INT(Table_Latvia[[#This Row],[Date]]) - DATE(1970, 1, 1)) * 86400000</f>
        <v>1726531200000</v>
      </c>
      <c r="G9" s="10">
        <f>'GMT Glossary'!$B$5</f>
        <v>3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21:00</v>
      </c>
      <c r="J9" s="2"/>
    </row>
    <row r="10" spans="1:10" ht="15.75" x14ac:dyDescent="0.25">
      <c r="A10" s="60">
        <v>45552</v>
      </c>
      <c r="B10" s="51">
        <v>0.75</v>
      </c>
      <c r="C10" s="33" t="s">
        <v>8</v>
      </c>
      <c r="D10" s="44" t="s">
        <v>129</v>
      </c>
      <c r="E10" s="9" t="s">
        <v>72</v>
      </c>
      <c r="F10" s="8">
        <f>(INT(Table_Latvia[[#This Row],[Date]]) - DATE(1970, 1, 1)) * 86400000</f>
        <v>1726531200000</v>
      </c>
      <c r="G10" s="10">
        <f>'GMT Glossary'!$B$5</f>
        <v>3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21:00</v>
      </c>
      <c r="J10" s="2"/>
    </row>
    <row r="11" spans="1:10" x14ac:dyDescent="0.25">
      <c r="A11" s="64">
        <v>45552</v>
      </c>
      <c r="B11" s="68">
        <v>0.83333333333333337</v>
      </c>
      <c r="C11" s="65" t="s">
        <v>8</v>
      </c>
      <c r="D11" s="67" t="s">
        <v>122</v>
      </c>
      <c r="E11" s="9" t="s">
        <v>21</v>
      </c>
      <c r="F11" s="8">
        <f>(INT(Table_Latvia[[#This Row],[Date]]) - DATE(1970, 1, 1)) * 86400000</f>
        <v>1726531200000</v>
      </c>
      <c r="G11">
        <f>'GMT Glossary'!$B$5</f>
        <v>3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23:00</v>
      </c>
      <c r="J11" s="2"/>
    </row>
    <row r="12" spans="1:10" ht="15.75" x14ac:dyDescent="0.25">
      <c r="A12" s="60">
        <v>45552</v>
      </c>
      <c r="B12" s="51">
        <v>0.83333333333333337</v>
      </c>
      <c r="C12" s="33" t="s">
        <v>8</v>
      </c>
      <c r="D12" s="44" t="s">
        <v>67</v>
      </c>
      <c r="E12" s="9" t="s">
        <v>72</v>
      </c>
      <c r="F12" s="8">
        <f>(INT(Table_Latvia[[#This Row],[Date]]) - DATE(1970, 1, 1)) * 86400000</f>
        <v>1726531200000</v>
      </c>
      <c r="G12" s="10">
        <f>'GMT Glossary'!$B$5</f>
        <v>3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23:00</v>
      </c>
      <c r="J12" s="2"/>
    </row>
    <row r="13" spans="1:10" x14ac:dyDescent="0.25">
      <c r="A13" s="64">
        <v>45552</v>
      </c>
      <c r="B13" s="68">
        <v>0.91666666666666663</v>
      </c>
      <c r="C13" s="65" t="s">
        <v>8</v>
      </c>
      <c r="D13" s="66" t="s">
        <v>39</v>
      </c>
      <c r="E13" s="9" t="s">
        <v>21</v>
      </c>
      <c r="F13" s="8">
        <f>(INT(Table_Latvia[[#This Row],[Date]]) - DATE(1970, 1, 1)) * 86400000</f>
        <v>1726531200000</v>
      </c>
      <c r="G13" s="10">
        <f>'GMT Glossary'!$B$5</f>
        <v>3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01:00</v>
      </c>
      <c r="J13" s="2"/>
    </row>
    <row r="14" spans="1:10" ht="15.75" x14ac:dyDescent="0.25">
      <c r="A14" s="60">
        <v>45552</v>
      </c>
      <c r="B14" s="51">
        <v>0.91666666666666663</v>
      </c>
      <c r="C14" s="33" t="s">
        <v>8</v>
      </c>
      <c r="D14" s="44" t="s">
        <v>70</v>
      </c>
      <c r="E14" s="9" t="s">
        <v>72</v>
      </c>
      <c r="F14" s="8">
        <f>(INT(Table_Latvia[[#This Row],[Date]]) - DATE(1970, 1, 1)) * 86400000</f>
        <v>1726531200000</v>
      </c>
      <c r="G14" s="10">
        <f>'GMT Glossary'!$B$5</f>
        <v>3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01:00</v>
      </c>
      <c r="J14" s="2"/>
    </row>
    <row r="15" spans="1:10" x14ac:dyDescent="0.25">
      <c r="A15" s="64">
        <v>45553</v>
      </c>
      <c r="B15" s="68">
        <v>0</v>
      </c>
      <c r="C15" s="65" t="s">
        <v>398</v>
      </c>
      <c r="D15" s="69" t="s">
        <v>123</v>
      </c>
      <c r="E15" s="9" t="s">
        <v>21</v>
      </c>
      <c r="F15" s="8">
        <f>(INT(Table_Latvia[[#This Row],[Date]]) - DATE(1970, 1, 1)) * 86400000</f>
        <v>1726617600000</v>
      </c>
      <c r="G15">
        <f>'GMT Glossary'!$B$5</f>
        <v>3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03:00</v>
      </c>
      <c r="J15" s="2"/>
    </row>
    <row r="16" spans="1:10" ht="15.75" x14ac:dyDescent="0.25">
      <c r="A16" s="60">
        <v>45553</v>
      </c>
      <c r="B16" s="51">
        <v>0</v>
      </c>
      <c r="C16" s="33" t="s">
        <v>8</v>
      </c>
      <c r="D16" s="44" t="s">
        <v>71</v>
      </c>
      <c r="E16" s="9" t="s">
        <v>72</v>
      </c>
      <c r="F16" s="8">
        <f>(INT(Table_Latvia[[#This Row],[Date]]) - DATE(1970, 1, 1)) * 86400000</f>
        <v>1726617600000</v>
      </c>
      <c r="G16" s="10">
        <f>'GMT Glossary'!$B$5</f>
        <v>3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03:00</v>
      </c>
      <c r="J16" s="2"/>
    </row>
    <row r="17" spans="1:10" ht="15.75" x14ac:dyDescent="0.25">
      <c r="A17" s="60">
        <v>45553</v>
      </c>
      <c r="B17" s="51">
        <v>8.3333333333333329E-2</v>
      </c>
      <c r="C17" s="33" t="s">
        <v>8</v>
      </c>
      <c r="D17" s="44" t="s">
        <v>43</v>
      </c>
      <c r="E17" s="9" t="s">
        <v>72</v>
      </c>
      <c r="F17" s="8">
        <f>(INT(Table_Latvia[[#This Row],[Date]]) - DATE(1970, 1, 1)) * 86400000</f>
        <v>1726617600000</v>
      </c>
      <c r="G17" s="10">
        <f>'GMT Glossary'!$B$5</f>
        <v>3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05:00</v>
      </c>
      <c r="J17" s="2"/>
    </row>
    <row r="18" spans="1:10" x14ac:dyDescent="0.25">
      <c r="A18" s="64">
        <v>45553</v>
      </c>
      <c r="B18" s="68">
        <v>0.125</v>
      </c>
      <c r="C18" s="65" t="s">
        <v>8</v>
      </c>
      <c r="D18" s="66" t="s">
        <v>40</v>
      </c>
      <c r="E18" s="9" t="s">
        <v>21</v>
      </c>
      <c r="F18" s="8">
        <f>(INT(Table_Latvia[[#This Row],[Date]]) - DATE(1970, 1, 1)) * 86400000</f>
        <v>1726617600000</v>
      </c>
      <c r="G18" s="10">
        <f>'GMT Glossary'!$B$5</f>
        <v>3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06:00</v>
      </c>
      <c r="J18" s="2"/>
    </row>
    <row r="19" spans="1:10" ht="15.75" x14ac:dyDescent="0.25">
      <c r="A19" s="60">
        <v>45553</v>
      </c>
      <c r="B19" s="51">
        <v>0.16666666666666666</v>
      </c>
      <c r="C19" s="33" t="s">
        <v>8</v>
      </c>
      <c r="D19" s="44" t="s">
        <v>64</v>
      </c>
      <c r="E19" s="9" t="s">
        <v>72</v>
      </c>
      <c r="F19" s="8">
        <f>(INT(Table_Latvia[[#This Row],[Date]]) - DATE(1970, 1, 1)) * 86400000</f>
        <v>1726617600000</v>
      </c>
      <c r="G19" s="10">
        <f>'GMT Glossary'!$B$5</f>
        <v>3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07:00</v>
      </c>
      <c r="J19" s="2"/>
    </row>
    <row r="20" spans="1:10" x14ac:dyDescent="0.25">
      <c r="A20" s="64">
        <v>45553</v>
      </c>
      <c r="B20" s="68">
        <v>0.20833333333333334</v>
      </c>
      <c r="C20" s="65" t="s">
        <v>8</v>
      </c>
      <c r="D20" s="66" t="s">
        <v>124</v>
      </c>
      <c r="E20" s="9" t="s">
        <v>21</v>
      </c>
      <c r="F20" s="8">
        <f>(INT(Table_Latvia[[#This Row],[Date]]) - DATE(1970, 1, 1)) * 86400000</f>
        <v>1726617600000</v>
      </c>
      <c r="G20">
        <f>'GMT Glossary'!$B$5</f>
        <v>3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08:00</v>
      </c>
      <c r="J20" s="2"/>
    </row>
    <row r="21" spans="1:10" ht="15.75" x14ac:dyDescent="0.25">
      <c r="A21" s="60">
        <v>45553</v>
      </c>
      <c r="B21" s="51">
        <v>0.25</v>
      </c>
      <c r="C21" s="33" t="s">
        <v>398</v>
      </c>
      <c r="D21" s="44" t="s">
        <v>161</v>
      </c>
      <c r="E21" s="9" t="s">
        <v>72</v>
      </c>
      <c r="F21" s="8">
        <f>(INT(Table_Latvia[[#This Row],[Date]]) - DATE(1970, 1, 1)) * 86400000</f>
        <v>1726617600000</v>
      </c>
      <c r="G21" s="10">
        <f>'GMT Glossary'!$B$5</f>
        <v>3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09:00</v>
      </c>
      <c r="J21" s="2"/>
    </row>
    <row r="22" spans="1:10" x14ac:dyDescent="0.25">
      <c r="A22" s="64">
        <v>45553</v>
      </c>
      <c r="B22" s="68">
        <v>0.29166666666666669</v>
      </c>
      <c r="C22" s="65" t="s">
        <v>8</v>
      </c>
      <c r="D22" s="66" t="s">
        <v>66</v>
      </c>
      <c r="E22" s="9" t="s">
        <v>21</v>
      </c>
      <c r="F22" s="8">
        <f>(INT(Table_Latvia[[#This Row],[Date]]) - DATE(1970, 1, 1)) * 86400000</f>
        <v>1726617600000</v>
      </c>
      <c r="G22" s="10">
        <f>'GMT Glossary'!$B$5</f>
        <v>3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10:00</v>
      </c>
      <c r="J22" s="2"/>
    </row>
    <row r="23" spans="1:10" x14ac:dyDescent="0.25">
      <c r="A23" s="64">
        <v>45553</v>
      </c>
      <c r="B23" s="68">
        <v>0.375</v>
      </c>
      <c r="C23" s="65" t="s">
        <v>8</v>
      </c>
      <c r="D23" s="66" t="s">
        <v>46</v>
      </c>
      <c r="E23" s="9" t="s">
        <v>21</v>
      </c>
      <c r="F23" s="8">
        <f>(INT(Table_Latvia[[#This Row],[Date]]) - DATE(1970, 1, 1)) * 86400000</f>
        <v>1726617600000</v>
      </c>
      <c r="G23">
        <f>'GMT Glossary'!$B$5</f>
        <v>3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12:00</v>
      </c>
      <c r="J23" s="2"/>
    </row>
    <row r="24" spans="1:10" ht="15.75" x14ac:dyDescent="0.25">
      <c r="A24" s="60">
        <v>45553</v>
      </c>
      <c r="B24" s="51">
        <v>0.375</v>
      </c>
      <c r="C24" s="33" t="s">
        <v>8</v>
      </c>
      <c r="D24" s="44" t="s">
        <v>66</v>
      </c>
      <c r="E24" s="9" t="s">
        <v>72</v>
      </c>
      <c r="F24" s="8">
        <f>(INT(Table_Latvia[[#This Row],[Date]]) - DATE(1970, 1, 1)) * 86400000</f>
        <v>1726617600000</v>
      </c>
      <c r="G24" s="10">
        <f>'GMT Glossary'!$B$5</f>
        <v>3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12:00</v>
      </c>
      <c r="J24" s="2"/>
    </row>
    <row r="25" spans="1:10" x14ac:dyDescent="0.25">
      <c r="A25" s="64">
        <v>45553</v>
      </c>
      <c r="B25" s="68">
        <v>0.45833333333333331</v>
      </c>
      <c r="C25" s="65" t="s">
        <v>8</v>
      </c>
      <c r="D25" s="66" t="s">
        <v>34</v>
      </c>
      <c r="E25" s="9" t="s">
        <v>21</v>
      </c>
      <c r="F25" s="8">
        <f>(INT(Table_Latvia[[#This Row],[Date]]) - DATE(1970, 1, 1)) * 86400000</f>
        <v>1726617600000</v>
      </c>
      <c r="G25" s="10">
        <f>'GMT Glossary'!$B$5</f>
        <v>3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14:00</v>
      </c>
      <c r="J25" s="2"/>
    </row>
    <row r="26" spans="1:10" ht="15.75" x14ac:dyDescent="0.25">
      <c r="A26" s="60">
        <v>45553</v>
      </c>
      <c r="B26" s="51">
        <v>0.45833333333333331</v>
      </c>
      <c r="C26" s="33" t="s">
        <v>8</v>
      </c>
      <c r="D26" s="44" t="s">
        <v>162</v>
      </c>
      <c r="E26" s="9" t="s">
        <v>72</v>
      </c>
      <c r="F26" s="8">
        <f>(INT(Table_Latvia[[#This Row],[Date]]) - DATE(1970, 1, 1)) * 86400000</f>
        <v>1726617600000</v>
      </c>
      <c r="G26" s="10">
        <f>'GMT Glossary'!$B$5</f>
        <v>3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14:00</v>
      </c>
      <c r="J26" s="2"/>
    </row>
    <row r="27" spans="1:10" x14ac:dyDescent="0.25">
      <c r="A27" s="64">
        <v>45553</v>
      </c>
      <c r="B27" s="68">
        <v>0.5</v>
      </c>
      <c r="C27" s="65" t="s">
        <v>8</v>
      </c>
      <c r="D27" s="66" t="s">
        <v>41</v>
      </c>
      <c r="E27" s="9" t="s">
        <v>21</v>
      </c>
      <c r="F27" s="8">
        <f>(INT(Table_Latvia[[#This Row],[Date]]) - DATE(1970, 1, 1)) * 86400000</f>
        <v>1726617600000</v>
      </c>
      <c r="G27">
        <f>'GMT Glossary'!$B$5</f>
        <v>3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15:00</v>
      </c>
      <c r="J27" s="2"/>
    </row>
    <row r="28" spans="1:10" ht="15.75" x14ac:dyDescent="0.25">
      <c r="A28" s="60">
        <v>45553</v>
      </c>
      <c r="B28" s="51">
        <v>0.5</v>
      </c>
      <c r="C28" s="33" t="s">
        <v>8</v>
      </c>
      <c r="D28" s="44" t="s">
        <v>163</v>
      </c>
      <c r="E28" s="9" t="s">
        <v>72</v>
      </c>
      <c r="F28" s="8">
        <f>(INT(Table_Latvia[[#This Row],[Date]]) - DATE(1970, 1, 1)) * 86400000</f>
        <v>1726617600000</v>
      </c>
      <c r="G28" s="10">
        <f>'GMT Glossary'!$B$5</f>
        <v>3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15:00</v>
      </c>
      <c r="J28" s="2"/>
    </row>
    <row r="29" spans="1:10" x14ac:dyDescent="0.25">
      <c r="A29" s="64">
        <v>45553</v>
      </c>
      <c r="B29" s="68">
        <v>0.58333333333333337</v>
      </c>
      <c r="C29" s="65" t="s">
        <v>8</v>
      </c>
      <c r="D29" s="66" t="s">
        <v>65</v>
      </c>
      <c r="E29" s="9" t="s">
        <v>21</v>
      </c>
      <c r="F29" s="8">
        <f>(INT(Table_Latvia[[#This Row],[Date]]) - DATE(1970, 1, 1)) * 86400000</f>
        <v>1726617600000</v>
      </c>
      <c r="G29" s="10">
        <f>'GMT Glossary'!$B$5</f>
        <v>3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17:00</v>
      </c>
      <c r="J29" s="2"/>
    </row>
    <row r="30" spans="1:10" ht="15.75" x14ac:dyDescent="0.25">
      <c r="A30" s="60">
        <v>45553</v>
      </c>
      <c r="B30" s="51">
        <v>0.58333333333333337</v>
      </c>
      <c r="C30" s="33" t="s">
        <v>8</v>
      </c>
      <c r="D30" s="44" t="s">
        <v>68</v>
      </c>
      <c r="E30" s="9" t="s">
        <v>72</v>
      </c>
      <c r="F30" s="8">
        <f>(INT(Table_Latvia[[#This Row],[Date]]) - DATE(1970, 1, 1)) * 86400000</f>
        <v>1726617600000</v>
      </c>
      <c r="G30" s="10">
        <f>'GMT Glossary'!$B$5</f>
        <v>3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17:00</v>
      </c>
      <c r="J30" s="2"/>
    </row>
    <row r="31" spans="1:10" x14ac:dyDescent="0.25">
      <c r="A31" s="64">
        <v>45553</v>
      </c>
      <c r="B31" s="68">
        <v>0.66666666666666663</v>
      </c>
      <c r="C31" s="65" t="s">
        <v>8</v>
      </c>
      <c r="D31" s="66" t="s">
        <v>125</v>
      </c>
      <c r="E31" s="9" t="s">
        <v>21</v>
      </c>
      <c r="F31" s="8">
        <f>(INT(Table_Latvia[[#This Row],[Date]]) - DATE(1970, 1, 1)) * 86400000</f>
        <v>1726617600000</v>
      </c>
      <c r="G31" s="10">
        <f>'GMT Glossary'!$B$5</f>
        <v>3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19:00</v>
      </c>
      <c r="J31" s="2"/>
    </row>
    <row r="32" spans="1:10" ht="15.75" x14ac:dyDescent="0.25">
      <c r="A32" s="60">
        <v>45553</v>
      </c>
      <c r="B32" s="51">
        <v>0.66666666666666663</v>
      </c>
      <c r="C32" s="33" t="s">
        <v>8</v>
      </c>
      <c r="D32" s="44" t="s">
        <v>60</v>
      </c>
      <c r="E32" s="9" t="s">
        <v>72</v>
      </c>
      <c r="F32" s="8">
        <f>(INT(Table_Latvia[[#This Row],[Date]]) - DATE(1970, 1, 1)) * 86400000</f>
        <v>1726617600000</v>
      </c>
      <c r="G32" s="10">
        <f>'GMT Glossary'!$B$5</f>
        <v>3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19:00</v>
      </c>
      <c r="J32" s="2"/>
    </row>
    <row r="33" spans="1:10" x14ac:dyDescent="0.25">
      <c r="A33" s="64">
        <v>45553</v>
      </c>
      <c r="B33" s="68">
        <v>0.75</v>
      </c>
      <c r="C33" s="65" t="s">
        <v>8</v>
      </c>
      <c r="D33" s="66" t="s">
        <v>38</v>
      </c>
      <c r="E33" s="9" t="s">
        <v>21</v>
      </c>
      <c r="F33" s="8">
        <f>(INT(Table_Latvia[[#This Row],[Date]]) - DATE(1970, 1, 1)) * 86400000</f>
        <v>1726617600000</v>
      </c>
      <c r="G33">
        <f>'GMT Glossary'!$B$5</f>
        <v>3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21:00</v>
      </c>
      <c r="J33" s="2"/>
    </row>
    <row r="34" spans="1:10" ht="15.75" x14ac:dyDescent="0.25">
      <c r="A34" s="60">
        <v>45553</v>
      </c>
      <c r="B34" s="51">
        <v>0.75</v>
      </c>
      <c r="C34" s="33" t="s">
        <v>8</v>
      </c>
      <c r="D34" s="44" t="s">
        <v>65</v>
      </c>
      <c r="E34" s="9" t="s">
        <v>72</v>
      </c>
      <c r="F34" s="8">
        <f>(INT(Table_Latvia[[#This Row],[Date]]) - DATE(1970, 1, 1)) * 86400000</f>
        <v>1726617600000</v>
      </c>
      <c r="G34" s="10">
        <f>'GMT Glossary'!$B$5</f>
        <v>3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21:00</v>
      </c>
      <c r="J34" s="2"/>
    </row>
    <row r="35" spans="1:10" x14ac:dyDescent="0.25">
      <c r="A35" s="64">
        <v>45553</v>
      </c>
      <c r="B35" s="68">
        <v>0.83333333333333337</v>
      </c>
      <c r="C35" s="65" t="s">
        <v>8</v>
      </c>
      <c r="D35" s="67" t="s">
        <v>126</v>
      </c>
      <c r="E35" s="9" t="s">
        <v>21</v>
      </c>
      <c r="F35" s="8">
        <f>(INT(Table_Latvia[[#This Row],[Date]]) - DATE(1970, 1, 1)) * 86400000</f>
        <v>1726617600000</v>
      </c>
      <c r="G35" s="10">
        <f>'GMT Glossary'!$B$5</f>
        <v>3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23:00</v>
      </c>
      <c r="J35" s="2"/>
    </row>
    <row r="36" spans="1:10" ht="15.75" x14ac:dyDescent="0.25">
      <c r="A36" s="60">
        <v>45553</v>
      </c>
      <c r="B36" s="51">
        <v>0.83333333333333337</v>
      </c>
      <c r="C36" s="33" t="s">
        <v>8</v>
      </c>
      <c r="D36" s="44" t="s">
        <v>46</v>
      </c>
      <c r="E36" s="9" t="s">
        <v>72</v>
      </c>
      <c r="F36" s="8">
        <f>(INT(Table_Latvia[[#This Row],[Date]]) - DATE(1970, 1, 1)) * 86400000</f>
        <v>1726617600000</v>
      </c>
      <c r="G36" s="10">
        <f>'GMT Glossary'!$B$5</f>
        <v>3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23:00</v>
      </c>
      <c r="J36" s="2"/>
    </row>
    <row r="37" spans="1:10" x14ac:dyDescent="0.25">
      <c r="A37" s="64">
        <v>45553</v>
      </c>
      <c r="B37" s="68">
        <v>0.91666666666666663</v>
      </c>
      <c r="C37" s="65" t="s">
        <v>8</v>
      </c>
      <c r="D37" s="66" t="s">
        <v>120</v>
      </c>
      <c r="E37" s="9" t="s">
        <v>21</v>
      </c>
      <c r="F37" s="8">
        <f>(INT(Table_Latvia[[#This Row],[Date]]) - DATE(1970, 1, 1)) * 86400000</f>
        <v>1726617600000</v>
      </c>
      <c r="G37">
        <f>'GMT Glossary'!$B$5</f>
        <v>3</v>
      </c>
      <c r="H37" s="2" t="str">
        <f>TEXT(IF(B37&lt;0, A37+1+((B37+(G37/24))-(INT(B37+(G37/24)))), A37+(B37+(G37/24))), "yyyy-mm-dd")</f>
        <v>2024-09-19</v>
      </c>
      <c r="I37" s="2" t="str">
        <f>TEXT(IF(B37&lt;0, A37+1+((B37+(G37/24))-(INT(B37+(G37/24)))), A37+(B37+(G37/24))), "hh:mm")</f>
        <v>01:00</v>
      </c>
      <c r="J37" s="2"/>
    </row>
    <row r="38" spans="1:10" ht="15.75" x14ac:dyDescent="0.25">
      <c r="A38" s="60">
        <v>45553</v>
      </c>
      <c r="B38" s="51">
        <v>0.91666666666666663</v>
      </c>
      <c r="C38" s="33" t="s">
        <v>8</v>
      </c>
      <c r="D38" s="44" t="s">
        <v>69</v>
      </c>
      <c r="E38" s="9" t="s">
        <v>72</v>
      </c>
      <c r="F38" s="8">
        <f>(INT(Table_Latvia[[#This Row],[Date]]) - DATE(1970, 1, 1)) * 86400000</f>
        <v>1726617600000</v>
      </c>
      <c r="G38" s="10">
        <f>'GMT Glossary'!$B$5</f>
        <v>3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01:00</v>
      </c>
      <c r="J38" s="2"/>
    </row>
    <row r="39" spans="1:10" x14ac:dyDescent="0.25">
      <c r="A39" s="64">
        <v>45553</v>
      </c>
      <c r="B39" s="68">
        <v>0.95833333333333337</v>
      </c>
      <c r="C39" s="65" t="s">
        <v>8</v>
      </c>
      <c r="D39" s="66" t="s">
        <v>42</v>
      </c>
      <c r="E39" s="9" t="s">
        <v>21</v>
      </c>
      <c r="F39" s="8">
        <f>(INT(Table_Latvia[[#This Row],[Date]]) - DATE(1970, 1, 1)) * 86400000</f>
        <v>1726617600000</v>
      </c>
      <c r="G39" s="10">
        <f>'GMT Glossary'!$B$5</f>
        <v>3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02:00</v>
      </c>
      <c r="J39" s="2"/>
    </row>
    <row r="40" spans="1:10" ht="15.75" x14ac:dyDescent="0.25">
      <c r="A40" s="60">
        <v>45554</v>
      </c>
      <c r="B40" s="51">
        <v>0</v>
      </c>
      <c r="C40" s="33" t="s">
        <v>8</v>
      </c>
      <c r="D40" s="44" t="s">
        <v>33</v>
      </c>
      <c r="E40" s="9" t="s">
        <v>72</v>
      </c>
      <c r="F40" s="8">
        <f>(INT(Table_Latvia[[#This Row],[Date]]) - DATE(1970, 1, 1)) * 86400000</f>
        <v>1726704000000</v>
      </c>
      <c r="G40" s="10">
        <f>'GMT Glossary'!$B$5</f>
        <v>3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03:00</v>
      </c>
      <c r="J40" s="2"/>
    </row>
    <row r="41" spans="1:10" x14ac:dyDescent="0.25">
      <c r="A41" s="64">
        <v>45554</v>
      </c>
      <c r="B41" s="68">
        <v>4.1666666666666664E-2</v>
      </c>
      <c r="C41" s="65" t="s">
        <v>8</v>
      </c>
      <c r="D41" s="66" t="s">
        <v>35</v>
      </c>
      <c r="E41" s="9" t="s">
        <v>21</v>
      </c>
      <c r="F41" s="8">
        <f>(INT(Table_Latvia[[#This Row],[Date]]) - DATE(1970, 1, 1)) * 86400000</f>
        <v>1726704000000</v>
      </c>
      <c r="G41">
        <f>'GMT Glossary'!$B$5</f>
        <v>3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04:00</v>
      </c>
      <c r="J41" s="2"/>
    </row>
    <row r="42" spans="1:10" ht="15.75" x14ac:dyDescent="0.25">
      <c r="A42" s="60">
        <v>45554</v>
      </c>
      <c r="B42" s="51">
        <v>8.3333333333333329E-2</v>
      </c>
      <c r="C42" s="33" t="s">
        <v>8</v>
      </c>
      <c r="D42" s="44" t="s">
        <v>62</v>
      </c>
      <c r="E42" s="9" t="s">
        <v>72</v>
      </c>
      <c r="F42" s="8">
        <f>(INT(Table_Latvia[[#This Row],[Date]]) - DATE(1970, 1, 1)) * 86400000</f>
        <v>1726704000000</v>
      </c>
      <c r="G42" s="10">
        <f>'GMT Glossary'!$B$5</f>
        <v>3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05:00</v>
      </c>
      <c r="J42" s="2"/>
    </row>
    <row r="43" spans="1:10" x14ac:dyDescent="0.25">
      <c r="A43" s="64">
        <v>45554</v>
      </c>
      <c r="B43" s="68">
        <v>0.125</v>
      </c>
      <c r="C43" s="65" t="s">
        <v>8</v>
      </c>
      <c r="D43" s="66" t="s">
        <v>36</v>
      </c>
      <c r="E43" s="9" t="s">
        <v>21</v>
      </c>
      <c r="F43" s="8">
        <f>(INT(Table_Latvia[[#This Row],[Date]]) - DATE(1970, 1, 1)) * 86400000</f>
        <v>1726704000000</v>
      </c>
      <c r="G43">
        <f>'GMT Glossary'!$B$5</f>
        <v>3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06:00</v>
      </c>
      <c r="J43" s="2"/>
    </row>
    <row r="44" spans="1:10" ht="15.75" x14ac:dyDescent="0.25">
      <c r="A44" s="60">
        <v>45554</v>
      </c>
      <c r="B44" s="51">
        <v>0.16666666666666666</v>
      </c>
      <c r="C44" s="33" t="s">
        <v>398</v>
      </c>
      <c r="D44" s="44" t="s">
        <v>52</v>
      </c>
      <c r="E44" s="9" t="s">
        <v>72</v>
      </c>
      <c r="F44" s="8">
        <f>(INT(Table_Latvia[[#This Row],[Date]]) - DATE(1970, 1, 1)) * 86400000</f>
        <v>1726704000000</v>
      </c>
      <c r="G44" s="10">
        <f>'GMT Glossary'!$B$5</f>
        <v>3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07:00</v>
      </c>
      <c r="J44" s="2"/>
    </row>
    <row r="45" spans="1:10" x14ac:dyDescent="0.25">
      <c r="A45" s="64">
        <v>45554</v>
      </c>
      <c r="B45" s="68">
        <v>0.20833333333333334</v>
      </c>
      <c r="C45" s="65" t="s">
        <v>8</v>
      </c>
      <c r="D45" s="66" t="s">
        <v>37</v>
      </c>
      <c r="E45" s="9" t="s">
        <v>21</v>
      </c>
      <c r="F45" s="8">
        <f>(INT(Table_Latvia[[#This Row],[Date]]) - DATE(1970, 1, 1)) * 86400000</f>
        <v>1726704000000</v>
      </c>
      <c r="G45" s="10">
        <f>'GMT Glossary'!$B$5</f>
        <v>3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08:00</v>
      </c>
      <c r="J45" s="2"/>
    </row>
    <row r="46" spans="1:10" ht="15.75" x14ac:dyDescent="0.25">
      <c r="A46" s="60">
        <v>45554</v>
      </c>
      <c r="B46" s="51">
        <v>0.25</v>
      </c>
      <c r="C46" s="33" t="s">
        <v>8</v>
      </c>
      <c r="D46" s="44" t="s">
        <v>41</v>
      </c>
      <c r="E46" s="9" t="s">
        <v>72</v>
      </c>
      <c r="F46" s="8">
        <f>(INT(Table_Latvia[[#This Row],[Date]]) - DATE(1970, 1, 1)) * 86400000</f>
        <v>1726704000000</v>
      </c>
      <c r="G46" s="10">
        <f>'GMT Glossary'!$B$5</f>
        <v>3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09:00</v>
      </c>
      <c r="J46" s="2"/>
    </row>
    <row r="47" spans="1:10" x14ac:dyDescent="0.25">
      <c r="A47" s="64">
        <v>45554</v>
      </c>
      <c r="B47" s="68">
        <v>0.29166666666666669</v>
      </c>
      <c r="C47" s="65" t="s">
        <v>8</v>
      </c>
      <c r="D47" s="66" t="s">
        <v>66</v>
      </c>
      <c r="E47" s="9" t="s">
        <v>21</v>
      </c>
      <c r="F47" s="8">
        <f>(INT(Table_Latvia[[#This Row],[Date]]) - DATE(1970, 1, 1)) * 86400000</f>
        <v>1726704000000</v>
      </c>
      <c r="G47">
        <f>'GMT Glossary'!$B$5</f>
        <v>3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10:00</v>
      </c>
      <c r="J47" s="2"/>
    </row>
    <row r="48" spans="1:10" ht="15.75" x14ac:dyDescent="0.25">
      <c r="A48" s="60">
        <v>45554</v>
      </c>
      <c r="B48" s="51">
        <v>0.33333333333333331</v>
      </c>
      <c r="C48" s="33" t="s">
        <v>8</v>
      </c>
      <c r="D48" s="44" t="s">
        <v>35</v>
      </c>
      <c r="E48" s="9" t="s">
        <v>72</v>
      </c>
      <c r="F48" s="8">
        <f>(INT(Table_Latvia[[#This Row],[Date]]) - DATE(1970, 1, 1)) * 86400000</f>
        <v>1726704000000</v>
      </c>
      <c r="G48" s="10">
        <f>'GMT Glossary'!$B$5</f>
        <v>3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11:00</v>
      </c>
      <c r="J48" s="2"/>
    </row>
    <row r="49" spans="1:10" x14ac:dyDescent="0.25">
      <c r="A49" s="64">
        <v>45554</v>
      </c>
      <c r="B49" s="68">
        <v>0.375</v>
      </c>
      <c r="C49" s="65" t="s">
        <v>8</v>
      </c>
      <c r="D49" s="66" t="s">
        <v>68</v>
      </c>
      <c r="E49" s="9" t="s">
        <v>21</v>
      </c>
      <c r="F49" s="8">
        <f>(INT(Table_Latvia[[#This Row],[Date]]) - DATE(1970, 1, 1)) * 86400000</f>
        <v>1726704000000</v>
      </c>
      <c r="G49" s="10">
        <f>'GMT Glossary'!$B$5</f>
        <v>3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12:00</v>
      </c>
      <c r="J49" s="2"/>
    </row>
    <row r="50" spans="1:10" ht="15.75" x14ac:dyDescent="0.25">
      <c r="A50" s="60">
        <v>45554</v>
      </c>
      <c r="B50" s="51">
        <v>0.41666666666666669</v>
      </c>
      <c r="C50" s="33" t="s">
        <v>8</v>
      </c>
      <c r="D50" s="44" t="s">
        <v>59</v>
      </c>
      <c r="E50" s="9" t="s">
        <v>72</v>
      </c>
      <c r="F50" s="8">
        <f>(INT(Table_Latvia[[#This Row],[Date]]) - DATE(1970, 1, 1)) * 86400000</f>
        <v>1726704000000</v>
      </c>
      <c r="G50" s="10">
        <f>'GMT Glossary'!$B$5</f>
        <v>3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13:00</v>
      </c>
      <c r="J50" s="2"/>
    </row>
    <row r="51" spans="1:10" x14ac:dyDescent="0.25">
      <c r="A51" s="64">
        <v>45554</v>
      </c>
      <c r="B51" s="68">
        <v>0.45833333333333331</v>
      </c>
      <c r="C51" s="65" t="s">
        <v>8</v>
      </c>
      <c r="D51" s="66" t="s">
        <v>120</v>
      </c>
      <c r="E51" s="9" t="s">
        <v>21</v>
      </c>
      <c r="F51" s="8">
        <f>(INT(Table_Latvia[[#This Row],[Date]]) - DATE(1970, 1, 1)) * 86400000</f>
        <v>1726704000000</v>
      </c>
      <c r="G51">
        <f>'GMT Glossary'!$B$5</f>
        <v>3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14:00</v>
      </c>
      <c r="J51" s="2"/>
    </row>
    <row r="52" spans="1:10" ht="15.75" x14ac:dyDescent="0.25">
      <c r="A52" s="60">
        <v>45554</v>
      </c>
      <c r="B52" s="51">
        <v>0.45833333333333331</v>
      </c>
      <c r="C52" s="33" t="s">
        <v>8</v>
      </c>
      <c r="D52" s="44" t="s">
        <v>164</v>
      </c>
      <c r="E52" s="9" t="s">
        <v>72</v>
      </c>
      <c r="F52" s="8">
        <f>(INT(Table_Latvia[[#This Row],[Date]]) - DATE(1970, 1, 1)) * 86400000</f>
        <v>1726704000000</v>
      </c>
      <c r="G52" s="10">
        <f>'GMT Glossary'!$B$5</f>
        <v>3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14:00</v>
      </c>
      <c r="J52" s="2"/>
    </row>
    <row r="53" spans="1:10" x14ac:dyDescent="0.25">
      <c r="A53" s="64">
        <v>45554</v>
      </c>
      <c r="B53" s="68">
        <v>0.5</v>
      </c>
      <c r="C53" s="65" t="s">
        <v>8</v>
      </c>
      <c r="D53" s="69" t="s">
        <v>44</v>
      </c>
      <c r="E53" s="9" t="s">
        <v>21</v>
      </c>
      <c r="F53" s="8">
        <f>(INT(Table_Latvia[[#This Row],[Date]]) - DATE(1970, 1, 1)) * 86400000</f>
        <v>1726704000000</v>
      </c>
      <c r="G53" s="10">
        <f>'GMT Glossary'!$B$5</f>
        <v>3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15:00</v>
      </c>
      <c r="J53" s="2"/>
    </row>
    <row r="54" spans="1:10" ht="15.75" x14ac:dyDescent="0.25">
      <c r="A54" s="60">
        <v>45554</v>
      </c>
      <c r="B54" s="51">
        <v>0.5</v>
      </c>
      <c r="C54" s="33" t="s">
        <v>8</v>
      </c>
      <c r="D54" s="44" t="s">
        <v>48</v>
      </c>
      <c r="E54" s="9" t="s">
        <v>72</v>
      </c>
      <c r="F54" s="8">
        <f>(INT(Table_Latvia[[#This Row],[Date]]) - DATE(1970, 1, 1)) * 86400000</f>
        <v>1726704000000</v>
      </c>
      <c r="G54" s="10">
        <f>'GMT Glossary'!$B$5</f>
        <v>3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15:00</v>
      </c>
      <c r="J54" s="2"/>
    </row>
    <row r="55" spans="1:10" x14ac:dyDescent="0.25">
      <c r="A55" s="64">
        <v>45554</v>
      </c>
      <c r="B55" s="68">
        <v>0.58333333333333337</v>
      </c>
      <c r="C55" s="65" t="s">
        <v>8</v>
      </c>
      <c r="D55" s="66" t="s">
        <v>49</v>
      </c>
      <c r="E55" s="9" t="s">
        <v>21</v>
      </c>
      <c r="F55" s="8">
        <f>(INT(Table_Latvia[[#This Row],[Date]]) - DATE(1970, 1, 1)) * 86400000</f>
        <v>1726704000000</v>
      </c>
      <c r="G55">
        <f>'GMT Glossary'!$B$5</f>
        <v>3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17:00</v>
      </c>
      <c r="J55" s="2"/>
    </row>
    <row r="56" spans="1:10" ht="15.75" x14ac:dyDescent="0.25">
      <c r="A56" s="60">
        <v>45554</v>
      </c>
      <c r="B56" s="51">
        <v>0.58333333333333337</v>
      </c>
      <c r="C56" s="33" t="s">
        <v>8</v>
      </c>
      <c r="D56" s="44" t="s">
        <v>51</v>
      </c>
      <c r="E56" s="9" t="s">
        <v>72</v>
      </c>
      <c r="F56" s="8">
        <f>(INT(Table_Latvia[[#This Row],[Date]]) - DATE(1970, 1, 1)) * 86400000</f>
        <v>1726704000000</v>
      </c>
      <c r="G56" s="10">
        <f>'GMT Glossary'!$B$5</f>
        <v>3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17:00</v>
      </c>
      <c r="J56" s="2"/>
    </row>
    <row r="57" spans="1:10" x14ac:dyDescent="0.25">
      <c r="A57" s="64">
        <v>45554</v>
      </c>
      <c r="B57" s="68">
        <v>0.66666666666666663</v>
      </c>
      <c r="C57" s="65" t="s">
        <v>399</v>
      </c>
      <c r="D57" s="69" t="s">
        <v>32</v>
      </c>
      <c r="E57" s="9" t="s">
        <v>21</v>
      </c>
      <c r="F57" s="8">
        <f>(INT(Table_Latvia[[#This Row],[Date]]) - DATE(1970, 1, 1)) * 86400000</f>
        <v>1726704000000</v>
      </c>
      <c r="G57" s="10">
        <f>'GMT Glossary'!$B$5</f>
        <v>3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19:00</v>
      </c>
      <c r="J57" s="2"/>
    </row>
    <row r="58" spans="1:10" ht="15.75" x14ac:dyDescent="0.25">
      <c r="A58" s="60">
        <v>45554</v>
      </c>
      <c r="B58" s="51">
        <v>0.66666666666666663</v>
      </c>
      <c r="C58" s="33" t="s">
        <v>8</v>
      </c>
      <c r="D58" s="44" t="s">
        <v>165</v>
      </c>
      <c r="E58" s="9" t="s">
        <v>72</v>
      </c>
      <c r="F58" s="8">
        <f>(INT(Table_Latvia[[#This Row],[Date]]) - DATE(1970, 1, 1)) * 86400000</f>
        <v>1726704000000</v>
      </c>
      <c r="G58" s="10">
        <f>'GMT Glossary'!$B$5</f>
        <v>3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19:00</v>
      </c>
      <c r="J58" s="2"/>
    </row>
    <row r="59" spans="1:10" ht="15.75" x14ac:dyDescent="0.25">
      <c r="A59" s="60">
        <v>45554</v>
      </c>
      <c r="B59" s="51">
        <v>0.75</v>
      </c>
      <c r="C59" s="33" t="s">
        <v>400</v>
      </c>
      <c r="D59" s="44" t="s">
        <v>54</v>
      </c>
      <c r="E59" s="9" t="s">
        <v>72</v>
      </c>
      <c r="F59" s="8">
        <f>(INT(Table_Latvia[[#This Row],[Date]]) - DATE(1970, 1, 1)) * 86400000</f>
        <v>1726704000000</v>
      </c>
      <c r="G59" s="10">
        <f>'GMT Glossary'!$B$5</f>
        <v>3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21:00</v>
      </c>
      <c r="J59" s="2"/>
    </row>
    <row r="60" spans="1:10" x14ac:dyDescent="0.25">
      <c r="A60" s="64">
        <v>45554</v>
      </c>
      <c r="B60" s="68">
        <v>0.79166666666666663</v>
      </c>
      <c r="C60" s="65" t="s">
        <v>8</v>
      </c>
      <c r="D60" s="66" t="s">
        <v>34</v>
      </c>
      <c r="E60" s="9" t="s">
        <v>21</v>
      </c>
      <c r="F60" s="8">
        <f>(INT(Table_Latvia[[#This Row],[Date]]) - DATE(1970, 1, 1)) * 86400000</f>
        <v>1726704000000</v>
      </c>
      <c r="G60">
        <f>'GMT Glossary'!$B$5</f>
        <v>3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22:00</v>
      </c>
      <c r="J60" s="2"/>
    </row>
    <row r="61" spans="1:10" x14ac:dyDescent="0.25">
      <c r="A61" s="64">
        <v>45554</v>
      </c>
      <c r="B61" s="68">
        <v>0.83333333333333337</v>
      </c>
      <c r="C61" s="65" t="s">
        <v>8</v>
      </c>
      <c r="D61" s="67" t="s">
        <v>127</v>
      </c>
      <c r="E61" s="9" t="s">
        <v>21</v>
      </c>
      <c r="F61" s="8">
        <f>(INT(Table_Latvia[[#This Row],[Date]]) - DATE(1970, 1, 1)) * 86400000</f>
        <v>1726704000000</v>
      </c>
      <c r="G61" s="10">
        <f>'GMT Glossary'!$B$5</f>
        <v>3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23:00</v>
      </c>
      <c r="J61" s="2"/>
    </row>
    <row r="62" spans="1:10" ht="15.75" x14ac:dyDescent="0.25">
      <c r="A62" s="60">
        <v>45554</v>
      </c>
      <c r="B62" s="51">
        <v>0.875</v>
      </c>
      <c r="C62" s="33" t="s">
        <v>8</v>
      </c>
      <c r="D62" s="44" t="s">
        <v>166</v>
      </c>
      <c r="E62" s="9" t="s">
        <v>72</v>
      </c>
      <c r="F62" s="8">
        <f>(INT(Table_Latvia[[#This Row],[Date]]) - DATE(1970, 1, 1)) * 86400000</f>
        <v>1726704000000</v>
      </c>
      <c r="G62" s="10">
        <f>'GMT Glossary'!$B$5</f>
        <v>3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00:00</v>
      </c>
      <c r="J62" s="2"/>
    </row>
    <row r="63" spans="1:10" x14ac:dyDescent="0.25">
      <c r="A63" s="64">
        <v>45554</v>
      </c>
      <c r="B63" s="68">
        <v>0.91666666666666663</v>
      </c>
      <c r="C63" s="65" t="s">
        <v>398</v>
      </c>
      <c r="D63" s="69" t="s">
        <v>123</v>
      </c>
      <c r="E63" s="9" t="s">
        <v>21</v>
      </c>
      <c r="F63" s="8">
        <f>(INT(Table_Latvia[[#This Row],[Date]]) - DATE(1970, 1, 1)) * 86400000</f>
        <v>1726704000000</v>
      </c>
      <c r="G63">
        <f>'GMT Glossary'!$B$5</f>
        <v>3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01:00</v>
      </c>
      <c r="J63" s="2"/>
    </row>
    <row r="64" spans="1:10" ht="15.75" x14ac:dyDescent="0.25">
      <c r="A64" s="60">
        <v>45554</v>
      </c>
      <c r="B64" s="51">
        <v>0.95833333333333337</v>
      </c>
      <c r="C64" s="33" t="s">
        <v>8</v>
      </c>
      <c r="D64" s="44" t="s">
        <v>125</v>
      </c>
      <c r="E64" s="9" t="s">
        <v>72</v>
      </c>
      <c r="F64" s="8">
        <f>(INT(Table_Latvia[[#This Row],[Date]]) - DATE(1970, 1, 1)) * 86400000</f>
        <v>1726704000000</v>
      </c>
      <c r="G64" s="10">
        <f>'GMT Glossary'!$B$5</f>
        <v>3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02:00</v>
      </c>
      <c r="J64" s="2"/>
    </row>
    <row r="65" spans="1:10" x14ac:dyDescent="0.25">
      <c r="A65" s="64">
        <v>45555</v>
      </c>
      <c r="B65" s="68">
        <v>4.1666666666666664E-2</v>
      </c>
      <c r="C65" s="65" t="s">
        <v>8</v>
      </c>
      <c r="D65" s="66" t="s">
        <v>128</v>
      </c>
      <c r="E65" s="9" t="s">
        <v>21</v>
      </c>
      <c r="F65" s="8">
        <f>(INT(Table_Latvia[[#This Row],[Date]]) - DATE(1970, 1, 1)) * 86400000</f>
        <v>1726790400000</v>
      </c>
      <c r="G65" s="10">
        <f>'GMT Glossary'!$B$5</f>
        <v>3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04:00</v>
      </c>
      <c r="J65" s="2"/>
    </row>
    <row r="66" spans="1:10" ht="15.75" x14ac:dyDescent="0.25">
      <c r="A66" s="60">
        <v>45555</v>
      </c>
      <c r="B66" s="51">
        <v>4.1666666666666664E-2</v>
      </c>
      <c r="C66" s="33" t="s">
        <v>8</v>
      </c>
      <c r="D66" s="44" t="s">
        <v>55</v>
      </c>
      <c r="E66" s="9" t="s">
        <v>72</v>
      </c>
      <c r="F66" s="8">
        <f>(INT(Table_Latvia[[#This Row],[Date]]) - DATE(1970, 1, 1)) * 86400000</f>
        <v>1726790400000</v>
      </c>
      <c r="G66" s="10">
        <f>'GMT Glossary'!$B$5</f>
        <v>3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04:00</v>
      </c>
      <c r="J66" s="2"/>
    </row>
    <row r="67" spans="1:10" ht="15.75" x14ac:dyDescent="0.25">
      <c r="A67" s="60">
        <v>45555</v>
      </c>
      <c r="B67" s="51">
        <v>8.3333333333333329E-2</v>
      </c>
      <c r="C67" s="33" t="s">
        <v>8</v>
      </c>
      <c r="D67" s="44" t="s">
        <v>160</v>
      </c>
      <c r="E67" s="9" t="s">
        <v>72</v>
      </c>
      <c r="F67" s="8">
        <f>(INT(Table_Latvia[[#This Row],[Date]]) - DATE(1970, 1, 1)) * 86400000</f>
        <v>1726790400000</v>
      </c>
      <c r="G67" s="10">
        <f>'GMT Glossary'!$B$5</f>
        <v>3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05:00</v>
      </c>
      <c r="J67" s="2"/>
    </row>
    <row r="68" spans="1:10" x14ac:dyDescent="0.25">
      <c r="A68" s="64">
        <v>45555</v>
      </c>
      <c r="B68" s="68">
        <v>0.125</v>
      </c>
      <c r="C68" s="65" t="s">
        <v>8</v>
      </c>
      <c r="D68" s="66" t="s">
        <v>129</v>
      </c>
      <c r="E68" s="9" t="s">
        <v>21</v>
      </c>
      <c r="F68" s="8">
        <f>(INT(Table_Latvia[[#This Row],[Date]]) - DATE(1970, 1, 1)) * 86400000</f>
        <v>1726790400000</v>
      </c>
      <c r="G68">
        <f>'GMT Glossary'!$B$5</f>
        <v>3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06:00</v>
      </c>
      <c r="J68" s="2"/>
    </row>
    <row r="69" spans="1:10" ht="15.75" x14ac:dyDescent="0.25">
      <c r="A69" s="60">
        <v>45555</v>
      </c>
      <c r="B69" s="51">
        <v>0.16666666666666666</v>
      </c>
      <c r="C69" s="33" t="s">
        <v>398</v>
      </c>
      <c r="D69" s="44" t="s">
        <v>57</v>
      </c>
      <c r="E69" s="9" t="s">
        <v>72</v>
      </c>
      <c r="F69" s="8">
        <f>(INT(Table_Latvia[[#This Row],[Date]]) - DATE(1970, 1, 1)) * 86400000</f>
        <v>1726790400000</v>
      </c>
      <c r="G69" s="10">
        <f>'GMT Glossary'!$B$5</f>
        <v>3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07:00</v>
      </c>
      <c r="J69" s="2"/>
    </row>
    <row r="70" spans="1:10" x14ac:dyDescent="0.25">
      <c r="A70" s="64">
        <v>45555</v>
      </c>
      <c r="B70" s="68">
        <v>0.20833333333333334</v>
      </c>
      <c r="C70" s="65" t="s">
        <v>8</v>
      </c>
      <c r="D70" s="66" t="s">
        <v>70</v>
      </c>
      <c r="E70" s="9" t="s">
        <v>21</v>
      </c>
      <c r="F70" s="8">
        <f>(INT(Table_Latvia[[#This Row],[Date]]) - DATE(1970, 1, 1)) * 86400000</f>
        <v>1726790400000</v>
      </c>
      <c r="G70" s="10">
        <f>'GMT Glossary'!$B$5</f>
        <v>3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08:00</v>
      </c>
      <c r="J70" s="2"/>
    </row>
    <row r="71" spans="1:10" x14ac:dyDescent="0.25">
      <c r="A71" s="64">
        <v>45555</v>
      </c>
      <c r="B71" s="68">
        <v>0.29166666666666669</v>
      </c>
      <c r="C71" s="65" t="s">
        <v>8</v>
      </c>
      <c r="D71" s="66" t="s">
        <v>35</v>
      </c>
      <c r="E71" s="9" t="s">
        <v>21</v>
      </c>
      <c r="F71" s="8">
        <f>(INT(Table_Latvia[[#This Row],[Date]]) - DATE(1970, 1, 1)) * 86400000</f>
        <v>1726790400000</v>
      </c>
      <c r="G71">
        <f>'GMT Glossary'!$B$5</f>
        <v>3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10:00</v>
      </c>
      <c r="J71" s="2"/>
    </row>
    <row r="72" spans="1:10" ht="15.75" x14ac:dyDescent="0.25">
      <c r="A72" s="60">
        <v>45555</v>
      </c>
      <c r="B72" s="51">
        <v>0.29166666666666669</v>
      </c>
      <c r="C72" s="33" t="s">
        <v>8</v>
      </c>
      <c r="D72" s="44" t="s">
        <v>30</v>
      </c>
      <c r="E72" s="9" t="s">
        <v>72</v>
      </c>
      <c r="F72" s="8">
        <f>(INT(Table_Latvia[[#This Row],[Date]]) - DATE(1970, 1, 1)) * 86400000</f>
        <v>1726790400000</v>
      </c>
      <c r="G72" s="10">
        <f>'GMT Glossary'!$B$5</f>
        <v>3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10:00</v>
      </c>
      <c r="J72" s="2"/>
    </row>
    <row r="73" spans="1:10" x14ac:dyDescent="0.25">
      <c r="A73" s="64">
        <v>45555</v>
      </c>
      <c r="B73" s="68">
        <v>0.375</v>
      </c>
      <c r="C73" s="65" t="s">
        <v>398</v>
      </c>
      <c r="D73" s="67" t="s">
        <v>130</v>
      </c>
      <c r="E73" s="9" t="s">
        <v>21</v>
      </c>
      <c r="F73" s="8">
        <f>(INT(Table_Latvia[[#This Row],[Date]]) - DATE(1970, 1, 1)) * 86400000</f>
        <v>1726790400000</v>
      </c>
      <c r="G73" s="10">
        <f>'GMT Glossary'!$B$5</f>
        <v>3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12:00</v>
      </c>
      <c r="J73" s="2"/>
    </row>
    <row r="74" spans="1:10" ht="15.75" x14ac:dyDescent="0.25">
      <c r="A74" s="60">
        <v>45555</v>
      </c>
      <c r="B74" s="51">
        <v>0.375</v>
      </c>
      <c r="C74" s="33" t="s">
        <v>8</v>
      </c>
      <c r="D74" s="44" t="s">
        <v>50</v>
      </c>
      <c r="E74" s="9" t="s">
        <v>72</v>
      </c>
      <c r="F74" s="8">
        <f>(INT(Table_Latvia[[#This Row],[Date]]) - DATE(1970, 1, 1)) * 86400000</f>
        <v>1726790400000</v>
      </c>
      <c r="G74" s="10">
        <f>'GMT Glossary'!$B$5</f>
        <v>3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12:00</v>
      </c>
      <c r="J74" s="2"/>
    </row>
    <row r="75" spans="1:10" x14ac:dyDescent="0.25">
      <c r="A75" s="64">
        <v>45555</v>
      </c>
      <c r="B75" s="68">
        <v>0.4375</v>
      </c>
      <c r="C75" s="65" t="s">
        <v>398</v>
      </c>
      <c r="D75" s="67" t="s">
        <v>130</v>
      </c>
      <c r="E75" s="9" t="s">
        <v>21</v>
      </c>
      <c r="F75" s="8">
        <f>(INT(Table_Latvia[[#This Row],[Date]]) - DATE(1970, 1, 1)) * 86400000</f>
        <v>1726790400000</v>
      </c>
      <c r="G75">
        <f>'GMT Glossary'!$B$5</f>
        <v>3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13:30</v>
      </c>
      <c r="J75" s="2"/>
    </row>
    <row r="76" spans="1:10" ht="15.75" x14ac:dyDescent="0.25">
      <c r="A76" s="60">
        <v>45555</v>
      </c>
      <c r="B76" s="51">
        <v>0.45833333333333331</v>
      </c>
      <c r="C76" s="33" t="s">
        <v>8</v>
      </c>
      <c r="D76" s="44" t="s">
        <v>167</v>
      </c>
      <c r="E76" s="9" t="s">
        <v>72</v>
      </c>
      <c r="F76" s="8">
        <f>(INT(Table_Latvia[[#This Row],[Date]]) - DATE(1970, 1, 1)) * 86400000</f>
        <v>1726790400000</v>
      </c>
      <c r="G76" s="10">
        <f>'GMT Glossary'!$B$5</f>
        <v>3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14:00</v>
      </c>
      <c r="J76" s="2"/>
    </row>
    <row r="77" spans="1:10" x14ac:dyDescent="0.25">
      <c r="A77" s="64">
        <v>45555</v>
      </c>
      <c r="B77" s="68">
        <v>0.5</v>
      </c>
      <c r="C77" s="65" t="s">
        <v>398</v>
      </c>
      <c r="D77" s="67" t="s">
        <v>130</v>
      </c>
      <c r="E77" s="9" t="s">
        <v>21</v>
      </c>
      <c r="F77" s="8">
        <f>(INT(Table_Latvia[[#This Row],[Date]]) - DATE(1970, 1, 1)) * 86400000</f>
        <v>1726790400000</v>
      </c>
      <c r="G77" s="10">
        <f>'GMT Glossary'!$B$5</f>
        <v>3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15:00</v>
      </c>
      <c r="J77" s="2"/>
    </row>
    <row r="78" spans="1:10" ht="15.75" x14ac:dyDescent="0.25">
      <c r="A78" s="60">
        <v>45555</v>
      </c>
      <c r="B78" s="51">
        <v>0.5</v>
      </c>
      <c r="C78" s="33" t="s">
        <v>8</v>
      </c>
      <c r="D78" s="44" t="s">
        <v>168</v>
      </c>
      <c r="E78" s="9" t="s">
        <v>72</v>
      </c>
      <c r="F78" s="8">
        <f>(INT(Table_Latvia[[#This Row],[Date]]) - DATE(1970, 1, 1)) * 86400000</f>
        <v>1726790400000</v>
      </c>
      <c r="G78" s="10">
        <f>'GMT Glossary'!$B$5</f>
        <v>3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15:00</v>
      </c>
      <c r="J78" s="2"/>
    </row>
    <row r="79" spans="1:10" x14ac:dyDescent="0.25">
      <c r="A79" s="64">
        <v>45555</v>
      </c>
      <c r="B79" s="68">
        <v>0.58333333333333337</v>
      </c>
      <c r="C79" s="65" t="s">
        <v>398</v>
      </c>
      <c r="D79" s="67" t="s">
        <v>130</v>
      </c>
      <c r="E79" s="9" t="s">
        <v>21</v>
      </c>
      <c r="F79" s="8">
        <f>(INT(Table_Latvia[[#This Row],[Date]]) - DATE(1970, 1, 1)) * 86400000</f>
        <v>1726790400000</v>
      </c>
      <c r="G79">
        <f>'GMT Glossary'!$B$5</f>
        <v>3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17:00</v>
      </c>
      <c r="J79" s="2"/>
    </row>
    <row r="80" spans="1:10" ht="15.75" x14ac:dyDescent="0.25">
      <c r="A80" s="60">
        <v>45555</v>
      </c>
      <c r="B80" s="51">
        <v>0.58333333333333337</v>
      </c>
      <c r="C80" s="33" t="s">
        <v>8</v>
      </c>
      <c r="D80" s="44" t="s">
        <v>70</v>
      </c>
      <c r="E80" s="9" t="s">
        <v>72</v>
      </c>
      <c r="F80" s="8">
        <f>(INT(Table_Latvia[[#This Row],[Date]]) - DATE(1970, 1, 1)) * 86400000</f>
        <v>1726790400000</v>
      </c>
      <c r="G80" s="10">
        <f>'GMT Glossary'!$B$5</f>
        <v>3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17:00</v>
      </c>
      <c r="J80" s="2"/>
    </row>
    <row r="81" spans="1:10" x14ac:dyDescent="0.25">
      <c r="A81" s="64">
        <v>45555</v>
      </c>
      <c r="B81" s="68">
        <v>0.66666666666666663</v>
      </c>
      <c r="C81" s="65" t="s">
        <v>8</v>
      </c>
      <c r="D81" s="70" t="s">
        <v>23</v>
      </c>
      <c r="E81" s="9" t="s">
        <v>21</v>
      </c>
      <c r="F81" s="8">
        <f>(INT(Table_Latvia[[#This Row],[Date]]) - DATE(1970, 1, 1)) * 86400000</f>
        <v>1726790400000</v>
      </c>
      <c r="G81" s="10">
        <f>'GMT Glossary'!$B$5</f>
        <v>3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19:00</v>
      </c>
      <c r="J81" s="2"/>
    </row>
    <row r="82" spans="1:10" ht="15.75" x14ac:dyDescent="0.25">
      <c r="A82" s="60">
        <v>45555</v>
      </c>
      <c r="B82" s="51">
        <v>0.66666666666666663</v>
      </c>
      <c r="C82" s="33" t="s">
        <v>8</v>
      </c>
      <c r="D82" s="44" t="s">
        <v>47</v>
      </c>
      <c r="E82" s="9" t="s">
        <v>72</v>
      </c>
      <c r="F82" s="8">
        <f>(INT(Table_Latvia[[#This Row],[Date]]) - DATE(1970, 1, 1)) * 86400000</f>
        <v>1726790400000</v>
      </c>
      <c r="G82" s="10">
        <f>'GMT Glossary'!$B$5</f>
        <v>3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19:00</v>
      </c>
      <c r="J82" s="2"/>
    </row>
    <row r="83" spans="1:10" x14ac:dyDescent="0.25">
      <c r="A83" s="64">
        <v>45555</v>
      </c>
      <c r="B83" s="68">
        <v>0.70833333333333337</v>
      </c>
      <c r="C83" s="65" t="s">
        <v>8</v>
      </c>
      <c r="D83" s="66" t="s">
        <v>34</v>
      </c>
      <c r="E83" s="9" t="s">
        <v>21</v>
      </c>
      <c r="F83" s="8">
        <f>(INT(Table_Latvia[[#This Row],[Date]]) - DATE(1970, 1, 1)) * 86400000</f>
        <v>1726790400000</v>
      </c>
      <c r="G83">
        <f>'GMT Glossary'!$B$5</f>
        <v>3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20:00</v>
      </c>
      <c r="J83" s="2"/>
    </row>
    <row r="84" spans="1:10" ht="15.75" x14ac:dyDescent="0.25">
      <c r="A84" s="60">
        <v>45555</v>
      </c>
      <c r="B84" s="51">
        <v>0.75</v>
      </c>
      <c r="C84" s="33" t="s">
        <v>8</v>
      </c>
      <c r="D84" s="44" t="s">
        <v>53</v>
      </c>
      <c r="E84" s="9" t="s">
        <v>72</v>
      </c>
      <c r="F84" s="8">
        <f>(INT(Table_Latvia[[#This Row],[Date]]) - DATE(1970, 1, 1)) * 86400000</f>
        <v>1726790400000</v>
      </c>
      <c r="G84" s="10">
        <f>'GMT Glossary'!$B$5</f>
        <v>3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21:00</v>
      </c>
      <c r="J84" s="2"/>
    </row>
    <row r="85" spans="1:10" x14ac:dyDescent="0.25">
      <c r="A85" s="64">
        <v>45555</v>
      </c>
      <c r="B85" s="68">
        <v>0.77083333333333337</v>
      </c>
      <c r="C85" s="65" t="s">
        <v>399</v>
      </c>
      <c r="D85" s="67" t="s">
        <v>131</v>
      </c>
      <c r="E85" s="9" t="s">
        <v>21</v>
      </c>
      <c r="F85" s="8">
        <f>(INT(Table_Latvia[[#This Row],[Date]]) - DATE(1970, 1, 1)) * 86400000</f>
        <v>1726790400000</v>
      </c>
      <c r="G85" s="10">
        <f>'GMT Glossary'!$B$5</f>
        <v>3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21:30</v>
      </c>
      <c r="J85" s="2"/>
    </row>
    <row r="86" spans="1:10" ht="15.75" x14ac:dyDescent="0.25">
      <c r="A86" s="60">
        <v>45555</v>
      </c>
      <c r="B86" s="51">
        <v>0.8125</v>
      </c>
      <c r="C86" s="33" t="s">
        <v>8</v>
      </c>
      <c r="D86" s="44" t="s">
        <v>169</v>
      </c>
      <c r="E86" s="9" t="s">
        <v>72</v>
      </c>
      <c r="F86" s="8">
        <f>(INT(Table_Latvia[[#This Row],[Date]]) - DATE(1970, 1, 1)) * 86400000</f>
        <v>1726790400000</v>
      </c>
      <c r="G86" s="10">
        <f>'GMT Glossary'!$B$5</f>
        <v>3</v>
      </c>
      <c r="H86" s="2" t="str">
        <f>TEXT(IF(B86&lt;0, A86+1+((B86+(G86/24))-(INT(B86+(G86/24)))), A86+(B86+(G86/24))), "yyyy-mm-dd")</f>
        <v>2024-09-20</v>
      </c>
      <c r="I86" s="2" t="str">
        <f>TEXT(IF(B86&lt;0, A86+1+((B86+(G86/24))-(INT(B86+(G86/24)))), A86+(B86+(G86/24))), "hh:mm")</f>
        <v>22:30</v>
      </c>
      <c r="J86" s="2"/>
    </row>
    <row r="87" spans="1:10" x14ac:dyDescent="0.25">
      <c r="A87" s="64">
        <v>45555</v>
      </c>
      <c r="B87" s="68">
        <v>0.89583333333333337</v>
      </c>
      <c r="C87" s="65" t="s">
        <v>8</v>
      </c>
      <c r="D87" s="66" t="s">
        <v>39</v>
      </c>
      <c r="E87" s="9" t="s">
        <v>21</v>
      </c>
      <c r="F87" s="8">
        <f>(INT(Table_Latvia[[#This Row],[Date]]) - DATE(1970, 1, 1)) * 86400000</f>
        <v>1726790400000</v>
      </c>
      <c r="G87">
        <f>'GMT Glossary'!$B$5</f>
        <v>3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00:30</v>
      </c>
      <c r="J87" s="2"/>
    </row>
    <row r="88" spans="1:10" ht="15.75" x14ac:dyDescent="0.25">
      <c r="A88" s="60">
        <v>45555</v>
      </c>
      <c r="B88" s="51">
        <v>0.91666666666666663</v>
      </c>
      <c r="C88" s="33" t="s">
        <v>8</v>
      </c>
      <c r="D88" s="44" t="s">
        <v>170</v>
      </c>
      <c r="E88" s="9" t="s">
        <v>72</v>
      </c>
      <c r="F88" s="8">
        <f>(INT(Table_Latvia[[#This Row],[Date]]) - DATE(1970, 1, 1)) * 86400000</f>
        <v>1726790400000</v>
      </c>
      <c r="G88" s="10">
        <f>'GMT Glossary'!$B$5</f>
        <v>3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01:00</v>
      </c>
      <c r="J88" s="2"/>
    </row>
    <row r="89" spans="1:10" x14ac:dyDescent="0.25">
      <c r="A89" s="64">
        <v>45555</v>
      </c>
      <c r="B89" s="68">
        <v>0.97916666666666663</v>
      </c>
      <c r="C89" s="65" t="s">
        <v>8</v>
      </c>
      <c r="D89" s="66" t="s">
        <v>68</v>
      </c>
      <c r="E89" s="9" t="s">
        <v>21</v>
      </c>
      <c r="F89" s="8">
        <f>(INT(Table_Latvia[[#This Row],[Date]]) - DATE(1970, 1, 1)) * 86400000</f>
        <v>1726790400000</v>
      </c>
      <c r="G89" s="10">
        <f>'GMT Glossary'!$B$5</f>
        <v>3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02:30</v>
      </c>
      <c r="J89" s="2"/>
    </row>
    <row r="90" spans="1:10" ht="15.75" x14ac:dyDescent="0.25">
      <c r="A90" s="60">
        <v>45556</v>
      </c>
      <c r="B90" s="51">
        <v>0</v>
      </c>
      <c r="C90" s="33" t="s">
        <v>8</v>
      </c>
      <c r="D90" s="44" t="s">
        <v>28</v>
      </c>
      <c r="E90" s="9" t="s">
        <v>72</v>
      </c>
      <c r="F90" s="8">
        <f>(INT(Table_Latvia[[#This Row],[Date]]) - DATE(1970, 1, 1)) * 86400000</f>
        <v>1726876800000</v>
      </c>
      <c r="G90" s="10">
        <f>'GMT Glossary'!$B$5</f>
        <v>3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03:00</v>
      </c>
      <c r="J90" s="2"/>
    </row>
    <row r="91" spans="1:10" x14ac:dyDescent="0.25">
      <c r="A91" s="64">
        <v>45556</v>
      </c>
      <c r="B91" s="68">
        <v>6.25E-2</v>
      </c>
      <c r="C91" s="65" t="s">
        <v>8</v>
      </c>
      <c r="D91" s="66" t="s">
        <v>48</v>
      </c>
      <c r="E91" s="9" t="s">
        <v>21</v>
      </c>
      <c r="F91" s="8">
        <f>(INT(Table_Latvia[[#This Row],[Date]]) - DATE(1970, 1, 1)) * 86400000</f>
        <v>1726876800000</v>
      </c>
      <c r="G91">
        <f>'GMT Glossary'!$B$5</f>
        <v>3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04:30</v>
      </c>
      <c r="J91" s="2"/>
    </row>
    <row r="92" spans="1:10" ht="15.75" x14ac:dyDescent="0.25">
      <c r="A92" s="60">
        <v>45556</v>
      </c>
      <c r="B92" s="51">
        <v>8.3333333333333329E-2</v>
      </c>
      <c r="C92" s="33" t="s">
        <v>8</v>
      </c>
      <c r="D92" s="44" t="s">
        <v>163</v>
      </c>
      <c r="E92" s="9" t="s">
        <v>72</v>
      </c>
      <c r="F92" s="8">
        <f>(INT(Table_Latvia[[#This Row],[Date]]) - DATE(1970, 1, 1)) * 86400000</f>
        <v>1726876800000</v>
      </c>
      <c r="G92" s="10">
        <f>'GMT Glossary'!$B$5</f>
        <v>3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05:00</v>
      </c>
      <c r="J92" s="2"/>
    </row>
    <row r="93" spans="1:10" x14ac:dyDescent="0.25">
      <c r="A93" s="64">
        <v>45556</v>
      </c>
      <c r="B93" s="68">
        <v>0.14583333333333334</v>
      </c>
      <c r="C93" s="65" t="s">
        <v>8</v>
      </c>
      <c r="D93" s="66" t="s">
        <v>132</v>
      </c>
      <c r="E93" s="9" t="s">
        <v>21</v>
      </c>
      <c r="F93" s="8">
        <f>(INT(Table_Latvia[[#This Row],[Date]]) - DATE(1970, 1, 1)) * 86400000</f>
        <v>1726876800000</v>
      </c>
      <c r="G93" s="10">
        <f>'GMT Glossary'!$B$5</f>
        <v>3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06:30</v>
      </c>
      <c r="J93" s="2"/>
    </row>
    <row r="94" spans="1:10" ht="15.75" x14ac:dyDescent="0.25">
      <c r="A94" s="60">
        <v>45556</v>
      </c>
      <c r="B94" s="51">
        <v>0.16666666666666666</v>
      </c>
      <c r="C94" s="33" t="s">
        <v>8</v>
      </c>
      <c r="D94" s="44" t="s">
        <v>29</v>
      </c>
      <c r="E94" s="9" t="s">
        <v>72</v>
      </c>
      <c r="F94" s="8">
        <f>(INT(Table_Latvia[[#This Row],[Date]]) - DATE(1970, 1, 1)) * 86400000</f>
        <v>1726876800000</v>
      </c>
      <c r="G94" s="10">
        <f>'GMT Glossary'!$B$5</f>
        <v>3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07:00</v>
      </c>
      <c r="J94" s="2"/>
    </row>
    <row r="95" spans="1:10" x14ac:dyDescent="0.25">
      <c r="A95" s="64">
        <v>45556</v>
      </c>
      <c r="B95" s="68">
        <v>0.22916666666666666</v>
      </c>
      <c r="C95" s="65" t="s">
        <v>8</v>
      </c>
      <c r="D95" s="66" t="s">
        <v>125</v>
      </c>
      <c r="E95" s="9" t="s">
        <v>21</v>
      </c>
      <c r="F95" s="8">
        <f>(INT(Table_Latvia[[#This Row],[Date]]) - DATE(1970, 1, 1)) * 86400000</f>
        <v>1726876800000</v>
      </c>
      <c r="G95">
        <f>'GMT Glossary'!$B$5</f>
        <v>3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08:30</v>
      </c>
    </row>
    <row r="96" spans="1:10" ht="15.75" x14ac:dyDescent="0.25">
      <c r="A96" s="60">
        <v>45556</v>
      </c>
      <c r="B96" s="51">
        <v>0.25</v>
      </c>
      <c r="C96" s="33" t="s">
        <v>8</v>
      </c>
      <c r="D96" s="44" t="s">
        <v>25</v>
      </c>
      <c r="E96" s="9" t="s">
        <v>72</v>
      </c>
      <c r="F96" s="8">
        <f>(INT(Table_Latvia[[#This Row],[Date]]) - DATE(1970, 1, 1)) * 86400000</f>
        <v>1726876800000</v>
      </c>
      <c r="G96" s="10">
        <f>'GMT Glossary'!$B$5</f>
        <v>3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09:00</v>
      </c>
    </row>
    <row r="97" spans="1:9" x14ac:dyDescent="0.25">
      <c r="A97" s="64">
        <v>45556</v>
      </c>
      <c r="B97" s="68">
        <v>0.3125</v>
      </c>
      <c r="C97" s="65" t="s">
        <v>8</v>
      </c>
      <c r="D97" s="66" t="s">
        <v>66</v>
      </c>
      <c r="E97" s="9" t="s">
        <v>21</v>
      </c>
      <c r="F97" s="8">
        <f>(INT(Table_Latvia[[#This Row],[Date]]) - DATE(1970, 1, 1)) * 86400000</f>
        <v>1726876800000</v>
      </c>
      <c r="G97" s="10">
        <f>'GMT Glossary'!$B$5</f>
        <v>3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10:30</v>
      </c>
    </row>
    <row r="98" spans="1:9" ht="15.75" x14ac:dyDescent="0.25">
      <c r="A98" s="60">
        <v>45556</v>
      </c>
      <c r="B98" s="51">
        <v>0.33333333333333331</v>
      </c>
      <c r="C98" s="33" t="s">
        <v>8</v>
      </c>
      <c r="D98" s="44" t="s">
        <v>26</v>
      </c>
      <c r="E98" s="9" t="s">
        <v>72</v>
      </c>
      <c r="F98" s="8">
        <f>(INT(Table_Latvia[[#This Row],[Date]]) - DATE(1970, 1, 1)) * 86400000</f>
        <v>1726876800000</v>
      </c>
      <c r="G98" s="10">
        <f>'GMT Glossary'!$B$5</f>
        <v>3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11:00</v>
      </c>
    </row>
    <row r="99" spans="1:9" x14ac:dyDescent="0.25">
      <c r="A99" s="64">
        <v>45556</v>
      </c>
      <c r="B99" s="68">
        <v>0.41666666666666669</v>
      </c>
      <c r="C99" s="65" t="s">
        <v>398</v>
      </c>
      <c r="D99" s="67" t="s">
        <v>133</v>
      </c>
      <c r="E99" s="9" t="s">
        <v>21</v>
      </c>
      <c r="F99" s="8">
        <f>(INT(Table_Latvia[[#This Row],[Date]]) - DATE(1970, 1, 1)) * 86400000</f>
        <v>1726876800000</v>
      </c>
      <c r="G99">
        <f>'GMT Glossary'!$B$5</f>
        <v>3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13:00</v>
      </c>
    </row>
    <row r="100" spans="1:9" ht="15.75" x14ac:dyDescent="0.25">
      <c r="A100" s="60">
        <v>45556</v>
      </c>
      <c r="B100" s="51">
        <v>0.41666666666666669</v>
      </c>
      <c r="C100" s="33" t="s">
        <v>8</v>
      </c>
      <c r="D100" s="44" t="s">
        <v>165</v>
      </c>
      <c r="E100" s="9" t="s">
        <v>72</v>
      </c>
      <c r="F100" s="8">
        <f>(INT(Table_Latvia[[#This Row],[Date]]) - DATE(1970, 1, 1)) * 86400000</f>
        <v>1726876800000</v>
      </c>
      <c r="G100" s="10">
        <f>'GMT Glossary'!$B$5</f>
        <v>3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13:00</v>
      </c>
    </row>
    <row r="101" spans="1:9" x14ac:dyDescent="0.25">
      <c r="A101" s="64">
        <v>45556</v>
      </c>
      <c r="B101" s="68">
        <v>0.47916666666666669</v>
      </c>
      <c r="C101" s="65" t="s">
        <v>398</v>
      </c>
      <c r="D101" s="67" t="s">
        <v>133</v>
      </c>
      <c r="E101" s="9" t="s">
        <v>21</v>
      </c>
      <c r="F101" s="8">
        <f>(INT(Table_Latvia[[#This Row],[Date]]) - DATE(1970, 1, 1)) * 86400000</f>
        <v>1726876800000</v>
      </c>
      <c r="G101" s="10">
        <f>'GMT Glossary'!$B$5</f>
        <v>3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14:30</v>
      </c>
    </row>
    <row r="102" spans="1:9" ht="15.75" x14ac:dyDescent="0.25">
      <c r="A102" s="60">
        <v>45556</v>
      </c>
      <c r="B102" s="51">
        <v>0.5</v>
      </c>
      <c r="C102" s="33" t="s">
        <v>8</v>
      </c>
      <c r="D102" s="44" t="s">
        <v>135</v>
      </c>
      <c r="E102" s="9" t="s">
        <v>72</v>
      </c>
      <c r="F102" s="8">
        <f>(INT(Table_Latvia[[#This Row],[Date]]) - DATE(1970, 1, 1)) * 86400000</f>
        <v>1726876800000</v>
      </c>
      <c r="G102" s="10">
        <f>'GMT Glossary'!$B$5</f>
        <v>3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15:00</v>
      </c>
    </row>
    <row r="103" spans="1:9" x14ac:dyDescent="0.25">
      <c r="A103" s="64">
        <v>45556</v>
      </c>
      <c r="B103" s="68">
        <v>0.54166666666666663</v>
      </c>
      <c r="C103" s="65" t="s">
        <v>8</v>
      </c>
      <c r="D103" s="66" t="s">
        <v>24</v>
      </c>
      <c r="E103" s="9" t="s">
        <v>21</v>
      </c>
      <c r="F103" s="8">
        <f>(INT(Table_Latvia[[#This Row],[Date]]) - DATE(1970, 1, 1)) * 86400000</f>
        <v>1726876800000</v>
      </c>
      <c r="G103">
        <f>'GMT Glossary'!$B$5</f>
        <v>3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16:00</v>
      </c>
    </row>
    <row r="104" spans="1:9" x14ac:dyDescent="0.25">
      <c r="A104" s="64">
        <v>45556</v>
      </c>
      <c r="B104" s="68">
        <v>0.58333333333333337</v>
      </c>
      <c r="C104" s="65" t="s">
        <v>8</v>
      </c>
      <c r="D104" s="70" t="s">
        <v>34</v>
      </c>
      <c r="E104" s="9" t="s">
        <v>21</v>
      </c>
      <c r="F104" s="8">
        <f>(INT(Table_Latvia[[#This Row],[Date]]) - DATE(1970, 1, 1)) * 86400000</f>
        <v>1726876800000</v>
      </c>
      <c r="G104" s="10">
        <f>'GMT Glossary'!$B$5</f>
        <v>3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17:00</v>
      </c>
    </row>
    <row r="105" spans="1:9" ht="15.75" x14ac:dyDescent="0.25">
      <c r="A105" s="60">
        <v>45556</v>
      </c>
      <c r="B105" s="51">
        <v>0.58333333333333337</v>
      </c>
      <c r="C105" s="33" t="s">
        <v>8</v>
      </c>
      <c r="D105" s="44" t="s">
        <v>171</v>
      </c>
      <c r="E105" s="9" t="s">
        <v>72</v>
      </c>
      <c r="F105" s="8">
        <f>(INT(Table_Latvia[[#This Row],[Date]]) - DATE(1970, 1, 1)) * 86400000</f>
        <v>1726876800000</v>
      </c>
      <c r="G105" s="10">
        <f>'GMT Glossary'!$B$5</f>
        <v>3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17:00</v>
      </c>
    </row>
    <row r="106" spans="1:9" x14ac:dyDescent="0.25">
      <c r="A106" s="64">
        <v>45556</v>
      </c>
      <c r="B106" s="68">
        <v>0.625</v>
      </c>
      <c r="C106" s="65" t="s">
        <v>8</v>
      </c>
      <c r="D106" s="67" t="s">
        <v>134</v>
      </c>
      <c r="E106" s="9" t="s">
        <v>21</v>
      </c>
      <c r="F106" s="8">
        <f>(INT(Table_Latvia[[#This Row],[Date]]) - DATE(1970, 1, 1)) * 86400000</f>
        <v>1726876800000</v>
      </c>
      <c r="G106">
        <f>'GMT Glossary'!$B$5</f>
        <v>3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18:00</v>
      </c>
    </row>
    <row r="107" spans="1:9" ht="15.75" x14ac:dyDescent="0.25">
      <c r="A107" s="60">
        <v>45556</v>
      </c>
      <c r="B107" s="51">
        <v>0.6875</v>
      </c>
      <c r="C107" s="33" t="s">
        <v>8</v>
      </c>
      <c r="D107" s="44" t="s">
        <v>172</v>
      </c>
      <c r="E107" s="9" t="s">
        <v>72</v>
      </c>
      <c r="F107" s="8">
        <f>(INT(Table_Latvia[[#This Row],[Date]]) - DATE(1970, 1, 1)) * 86400000</f>
        <v>1726876800000</v>
      </c>
      <c r="G107" s="10">
        <f>'GMT Glossary'!$B$5</f>
        <v>3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19:30</v>
      </c>
    </row>
    <row r="108" spans="1:9" x14ac:dyDescent="0.25">
      <c r="A108" s="64">
        <v>45556</v>
      </c>
      <c r="B108" s="68">
        <v>0.70833333333333337</v>
      </c>
      <c r="C108" s="65" t="s">
        <v>8</v>
      </c>
      <c r="D108" s="66" t="s">
        <v>135</v>
      </c>
      <c r="E108" s="9" t="s">
        <v>21</v>
      </c>
      <c r="F108" s="8">
        <f>(INT(Table_Latvia[[#This Row],[Date]]) - DATE(1970, 1, 1)) * 86400000</f>
        <v>1726876800000</v>
      </c>
      <c r="G108" s="10">
        <f>'GMT Glossary'!$B$5</f>
        <v>3</v>
      </c>
      <c r="H108" s="2" t="str">
        <f>TEXT(IF(B108&lt;0, A108+1+((B108+(G108/24))-(INT(B108+(G108/24)))), A108+(B108+(G108/24))), "yyyy-mm-dd")</f>
        <v>2024-09-21</v>
      </c>
      <c r="I108" s="2" t="str">
        <f>TEXT(IF(B108&lt;0, A108+1+((B108+(G108/24))-(INT(B108+(G108/24)))), A108+(B108+(G108/24))), "hh:mm")</f>
        <v>20:00</v>
      </c>
    </row>
    <row r="109" spans="1:9" ht="15.75" x14ac:dyDescent="0.25">
      <c r="A109" s="60">
        <v>45556</v>
      </c>
      <c r="B109" s="51">
        <v>0.77083333333333337</v>
      </c>
      <c r="C109" s="33" t="s">
        <v>8</v>
      </c>
      <c r="D109" s="44" t="s">
        <v>55</v>
      </c>
      <c r="E109" s="9" t="s">
        <v>72</v>
      </c>
      <c r="F109" s="8">
        <f>(INT(Table_Latvia[[#This Row],[Date]]) - DATE(1970, 1, 1)) * 86400000</f>
        <v>1726876800000</v>
      </c>
      <c r="G109" s="10">
        <f>'GMT Glossary'!$B$5</f>
        <v>3</v>
      </c>
      <c r="H109" s="2" t="str">
        <f>TEXT(IF(B109&lt;0, A109+1+((B109+(G109/24))-(INT(B109+(G109/24)))), A109+(B109+(G109/24))), "yyyy-mm-dd")</f>
        <v>2024-09-21</v>
      </c>
      <c r="I109" s="2" t="str">
        <f>TEXT(IF(B109&lt;0, A109+1+((B109+(G109/24))-(INT(B109+(G109/24)))), A109+(B109+(G109/24))), "hh:mm")</f>
        <v>21:30</v>
      </c>
    </row>
    <row r="110" spans="1:9" x14ac:dyDescent="0.25">
      <c r="A110" s="64">
        <v>45556</v>
      </c>
      <c r="B110" s="68">
        <v>0.79166666666666663</v>
      </c>
      <c r="C110" s="65" t="s">
        <v>8</v>
      </c>
      <c r="D110" s="67" t="s">
        <v>136</v>
      </c>
      <c r="E110" s="9" t="s">
        <v>21</v>
      </c>
      <c r="F110" s="8">
        <f>(INT(Table_Latvia[[#This Row],[Date]]) - DATE(1970, 1, 1)) * 86400000</f>
        <v>1726876800000</v>
      </c>
      <c r="G110">
        <f>'GMT Glossary'!$B$5</f>
        <v>3</v>
      </c>
      <c r="H110" s="2" t="str">
        <f>TEXT(IF(B110&lt;0, A110+1+((B110+(G110/24))-(INT(B110+(G110/24)))), A110+(B110+(G110/24))), "yyyy-mm-dd")</f>
        <v>2024-09-21</v>
      </c>
      <c r="I110" s="2" t="str">
        <f>TEXT(IF(B110&lt;0, A110+1+((B110+(G110/24))-(INT(B110+(G110/24)))), A110+(B110+(G110/24))), "hh:mm")</f>
        <v>22:00</v>
      </c>
    </row>
    <row r="111" spans="1:9" ht="15.75" x14ac:dyDescent="0.25">
      <c r="A111" s="60">
        <v>45556</v>
      </c>
      <c r="B111" s="51">
        <v>0.79166666666666663</v>
      </c>
      <c r="C111" s="33" t="s">
        <v>8</v>
      </c>
      <c r="D111" s="44" t="s">
        <v>173</v>
      </c>
      <c r="E111" s="9" t="s">
        <v>72</v>
      </c>
      <c r="F111" s="8">
        <f>(INT(Table_Latvia[[#This Row],[Date]]) - DATE(1970, 1, 1)) * 86400000</f>
        <v>1726876800000</v>
      </c>
      <c r="G111" s="10">
        <f>'GMT Glossary'!$B$5</f>
        <v>3</v>
      </c>
      <c r="H111" s="2" t="str">
        <f>TEXT(IF(B111&lt;0, A111+1+((B111+(G111/24))-(INT(B111+(G111/24)))), A111+(B111+(G111/24))), "yyyy-mm-dd")</f>
        <v>2024-09-21</v>
      </c>
      <c r="I111" s="2" t="str">
        <f>TEXT(IF(B111&lt;0, A111+1+((B111+(G111/24))-(INT(B111+(G111/24)))), A111+(B111+(G111/24))), "hh:mm")</f>
        <v>22:00</v>
      </c>
    </row>
    <row r="112" spans="1:9" x14ac:dyDescent="0.25">
      <c r="A112" s="64">
        <v>45556</v>
      </c>
      <c r="B112" s="68">
        <v>0.875</v>
      </c>
      <c r="C112" s="65" t="s">
        <v>8</v>
      </c>
      <c r="D112" s="66" t="s">
        <v>23</v>
      </c>
      <c r="E112" s="9" t="s">
        <v>21</v>
      </c>
      <c r="F112" s="8">
        <f>(INT(Table_Latvia[[#This Row],[Date]]) - DATE(1970, 1, 1)) * 86400000</f>
        <v>1726876800000</v>
      </c>
      <c r="G112" s="10">
        <f>'GMT Glossary'!$B$5</f>
        <v>3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00:00</v>
      </c>
    </row>
    <row r="113" spans="1:9" ht="15.75" x14ac:dyDescent="0.25">
      <c r="A113" s="60">
        <v>45556</v>
      </c>
      <c r="B113" s="51">
        <v>0.90625</v>
      </c>
      <c r="C113" s="33" t="s">
        <v>8</v>
      </c>
      <c r="D113" s="44" t="s">
        <v>174</v>
      </c>
      <c r="E113" s="9" t="s">
        <v>72</v>
      </c>
      <c r="F113" s="8">
        <f>(INT(Table_Latvia[[#This Row],[Date]]) - DATE(1970, 1, 1)) * 86400000</f>
        <v>1726876800000</v>
      </c>
      <c r="G113" s="10">
        <f>'GMT Glossary'!$B$5</f>
        <v>3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00:45</v>
      </c>
    </row>
    <row r="114" spans="1:9" x14ac:dyDescent="0.25">
      <c r="A114" s="64">
        <v>45556</v>
      </c>
      <c r="B114" s="68">
        <v>0.91666666666666663</v>
      </c>
      <c r="C114" s="65" t="s">
        <v>8</v>
      </c>
      <c r="D114" s="67" t="s">
        <v>137</v>
      </c>
      <c r="E114" s="9" t="s">
        <v>21</v>
      </c>
      <c r="F114" s="8">
        <f>(INT(Table_Latvia[[#This Row],[Date]]) - DATE(1970, 1, 1)) * 86400000</f>
        <v>1726876800000</v>
      </c>
      <c r="G114" s="10">
        <f>'GMT Glossary'!$B$5</f>
        <v>3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01:00</v>
      </c>
    </row>
    <row r="115" spans="1:9" x14ac:dyDescent="0.25">
      <c r="A115" s="64">
        <v>45557</v>
      </c>
      <c r="B115" s="68">
        <v>0</v>
      </c>
      <c r="C115" s="65" t="s">
        <v>8</v>
      </c>
      <c r="D115" s="66" t="s">
        <v>138</v>
      </c>
      <c r="E115" s="9" t="s">
        <v>21</v>
      </c>
      <c r="F115" s="8">
        <f>(INT(Table_Latvia[[#This Row],[Date]]) - DATE(1970, 1, 1)) * 86400000</f>
        <v>1726963200000</v>
      </c>
      <c r="G115">
        <f>'GMT Glossary'!$B$5</f>
        <v>3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03:00</v>
      </c>
    </row>
    <row r="116" spans="1:9" ht="15.75" x14ac:dyDescent="0.25">
      <c r="A116" s="60">
        <v>45557</v>
      </c>
      <c r="B116" s="51">
        <v>0</v>
      </c>
      <c r="C116" s="33" t="s">
        <v>8</v>
      </c>
      <c r="D116" s="44" t="s">
        <v>175</v>
      </c>
      <c r="E116" s="9" t="s">
        <v>72</v>
      </c>
      <c r="F116" s="8">
        <f>(INT(Table_Latvia[[#This Row],[Date]]) - DATE(1970, 1, 1)) * 86400000</f>
        <v>1726963200000</v>
      </c>
      <c r="G116" s="10">
        <f>'GMT Glossary'!$B$5</f>
        <v>3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03:00</v>
      </c>
    </row>
    <row r="117" spans="1:9" x14ac:dyDescent="0.25">
      <c r="A117" s="64">
        <v>45557</v>
      </c>
      <c r="B117" s="68">
        <v>8.3333333333333329E-2</v>
      </c>
      <c r="C117" s="65" t="s">
        <v>8</v>
      </c>
      <c r="D117" s="66" t="s">
        <v>139</v>
      </c>
      <c r="E117" s="9" t="s">
        <v>21</v>
      </c>
      <c r="F117" s="8">
        <f>(INT(Table_Latvia[[#This Row],[Date]]) - DATE(1970, 1, 1)) * 86400000</f>
        <v>1726963200000</v>
      </c>
      <c r="G117">
        <f>'GMT Glossary'!$B$5</f>
        <v>3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05:00</v>
      </c>
    </row>
    <row r="118" spans="1:9" ht="15.75" x14ac:dyDescent="0.25">
      <c r="A118" s="60">
        <v>45557</v>
      </c>
      <c r="B118" s="51">
        <v>8.3333333333333329E-2</v>
      </c>
      <c r="C118" s="33" t="s">
        <v>398</v>
      </c>
      <c r="D118" s="44" t="s">
        <v>61</v>
      </c>
      <c r="E118" s="9" t="s">
        <v>72</v>
      </c>
      <c r="F118" s="8">
        <f>(INT(Table_Latvia[[#This Row],[Date]]) - DATE(1970, 1, 1)) * 86400000</f>
        <v>1726963200000</v>
      </c>
      <c r="G118" s="10">
        <f>'GMT Glossary'!$B$5</f>
        <v>3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05:00</v>
      </c>
    </row>
    <row r="119" spans="1:9" x14ac:dyDescent="0.25">
      <c r="A119" s="64">
        <v>45557</v>
      </c>
      <c r="B119" s="68">
        <v>0.16666666666666666</v>
      </c>
      <c r="C119" s="65" t="s">
        <v>399</v>
      </c>
      <c r="D119" s="66" t="s">
        <v>27</v>
      </c>
      <c r="E119" s="9" t="s">
        <v>21</v>
      </c>
      <c r="F119" s="8">
        <f>(INT(Table_Latvia[[#This Row],[Date]]) - DATE(1970, 1, 1)) * 86400000</f>
        <v>1726963200000</v>
      </c>
      <c r="G119" s="10">
        <f>'GMT Glossary'!$B$5</f>
        <v>3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07:00</v>
      </c>
    </row>
    <row r="120" spans="1:9" ht="15.75" x14ac:dyDescent="0.25">
      <c r="A120" s="60">
        <v>45557</v>
      </c>
      <c r="B120" s="51">
        <v>0.16666666666666666</v>
      </c>
      <c r="C120" s="33" t="s">
        <v>8</v>
      </c>
      <c r="D120" s="44" t="s">
        <v>176</v>
      </c>
      <c r="E120" s="9" t="s">
        <v>72</v>
      </c>
      <c r="F120" s="8">
        <f>(INT(Table_Latvia[[#This Row],[Date]]) - DATE(1970, 1, 1)) * 86400000</f>
        <v>1726963200000</v>
      </c>
      <c r="G120" s="10">
        <f>'GMT Glossary'!$B$5</f>
        <v>3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07:00</v>
      </c>
    </row>
    <row r="121" spans="1:9" ht="15.75" x14ac:dyDescent="0.25">
      <c r="A121" s="60">
        <v>45557</v>
      </c>
      <c r="B121" s="51">
        <v>0.25</v>
      </c>
      <c r="C121" s="33" t="s">
        <v>8</v>
      </c>
      <c r="D121" s="44" t="s">
        <v>63</v>
      </c>
      <c r="E121" s="9" t="s">
        <v>72</v>
      </c>
      <c r="F121" s="8">
        <f>(INT(Table_Latvia[[#This Row],[Date]]) - DATE(1970, 1, 1)) * 86400000</f>
        <v>1726963200000</v>
      </c>
      <c r="G121" s="10">
        <f>'GMT Glossary'!$B$5</f>
        <v>3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09:00</v>
      </c>
    </row>
    <row r="122" spans="1:9" x14ac:dyDescent="0.25">
      <c r="A122" s="64">
        <v>45557</v>
      </c>
      <c r="B122" s="68">
        <v>0.29166666666666669</v>
      </c>
      <c r="C122" s="65" t="s">
        <v>398</v>
      </c>
      <c r="D122" s="66" t="s">
        <v>31</v>
      </c>
      <c r="E122" s="9" t="s">
        <v>21</v>
      </c>
      <c r="F122" s="8">
        <f>(INT(Table_Latvia[[#This Row],[Date]]) - DATE(1970, 1, 1)) * 86400000</f>
        <v>1726963200000</v>
      </c>
      <c r="G122">
        <f>'GMT Glossary'!$B$5</f>
        <v>3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10:00</v>
      </c>
    </row>
    <row r="123" spans="1:9" ht="15.75" x14ac:dyDescent="0.25">
      <c r="A123" s="60">
        <v>45557</v>
      </c>
      <c r="B123" s="51">
        <v>0.33333333333333331</v>
      </c>
      <c r="C123" s="33" t="s">
        <v>8</v>
      </c>
      <c r="D123" s="44" t="s">
        <v>58</v>
      </c>
      <c r="E123" s="9" t="s">
        <v>72</v>
      </c>
      <c r="F123" s="8">
        <f>(INT(Table_Latvia[[#This Row],[Date]]) - DATE(1970, 1, 1)) * 86400000</f>
        <v>1726963200000</v>
      </c>
      <c r="G123" s="10">
        <f>'GMT Glossary'!$B$5</f>
        <v>3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11:00</v>
      </c>
    </row>
    <row r="124" spans="1:9" x14ac:dyDescent="0.25">
      <c r="A124" s="64">
        <v>45557</v>
      </c>
      <c r="B124" s="68">
        <v>0.41666666666666669</v>
      </c>
      <c r="C124" s="65" t="s">
        <v>398</v>
      </c>
      <c r="D124" s="67" t="s">
        <v>140</v>
      </c>
      <c r="E124" s="9" t="s">
        <v>21</v>
      </c>
      <c r="F124" s="8">
        <f>(INT(Table_Latvia[[#This Row],[Date]]) - DATE(1970, 1, 1)) * 86400000</f>
        <v>1726963200000</v>
      </c>
      <c r="G124" s="10">
        <f>'GMT Glossary'!$B$5</f>
        <v>3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13:00</v>
      </c>
    </row>
    <row r="125" spans="1:9" ht="15.75" x14ac:dyDescent="0.25">
      <c r="A125" s="60">
        <v>45557</v>
      </c>
      <c r="B125" s="51">
        <v>0.41666666666666669</v>
      </c>
      <c r="C125" s="33" t="s">
        <v>8</v>
      </c>
      <c r="D125" s="44" t="s">
        <v>56</v>
      </c>
      <c r="E125" s="9" t="s">
        <v>72</v>
      </c>
      <c r="F125" s="8">
        <f>(INT(Table_Latvia[[#This Row],[Date]]) - DATE(1970, 1, 1)) * 86400000</f>
        <v>1726963200000</v>
      </c>
      <c r="G125" s="10">
        <f>'GMT Glossary'!$B$5</f>
        <v>3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13:00</v>
      </c>
    </row>
    <row r="126" spans="1:9" ht="15.75" x14ac:dyDescent="0.25">
      <c r="A126" s="60">
        <v>45557</v>
      </c>
      <c r="B126" s="51">
        <v>0.5</v>
      </c>
      <c r="C126" s="33" t="s">
        <v>8</v>
      </c>
      <c r="D126" s="44" t="s">
        <v>177</v>
      </c>
      <c r="E126" s="9" t="s">
        <v>72</v>
      </c>
      <c r="F126" s="8">
        <f>(INT(Table_Latvia[[#This Row],[Date]]) - DATE(1970, 1, 1)) * 86400000</f>
        <v>1726963200000</v>
      </c>
      <c r="G126" s="10">
        <f>'GMT Glossary'!$B$5</f>
        <v>3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15:00</v>
      </c>
    </row>
    <row r="127" spans="1:9" x14ac:dyDescent="0.25">
      <c r="A127" s="64">
        <v>45557</v>
      </c>
      <c r="B127" s="68">
        <v>0.54166666666666663</v>
      </c>
      <c r="C127" s="65" t="s">
        <v>8</v>
      </c>
      <c r="D127" s="66" t="s">
        <v>141</v>
      </c>
      <c r="E127" s="9" t="s">
        <v>21</v>
      </c>
      <c r="F127" s="8">
        <f>(INT(Table_Latvia[[#This Row],[Date]]) - DATE(1970, 1, 1)) * 86400000</f>
        <v>1726963200000</v>
      </c>
      <c r="G127">
        <f>'GMT Glossary'!$B$5</f>
        <v>3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16:00</v>
      </c>
    </row>
    <row r="128" spans="1:9" ht="15.75" x14ac:dyDescent="0.25">
      <c r="A128" s="60">
        <v>45557</v>
      </c>
      <c r="B128" s="51">
        <v>0.5625</v>
      </c>
      <c r="C128" s="33" t="s">
        <v>8</v>
      </c>
      <c r="D128" s="44" t="s">
        <v>178</v>
      </c>
      <c r="E128" s="9" t="s">
        <v>72</v>
      </c>
      <c r="F128" s="8">
        <f>(INT(Table_Latvia[[#This Row],[Date]]) - DATE(1970, 1, 1)) * 86400000</f>
        <v>1726963200000</v>
      </c>
      <c r="G128" s="10">
        <f>'GMT Glossary'!$B$5</f>
        <v>3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16:30</v>
      </c>
    </row>
    <row r="129" spans="1:9" x14ac:dyDescent="0.25">
      <c r="A129" s="64">
        <v>45557</v>
      </c>
      <c r="B129" s="68">
        <v>0.625</v>
      </c>
      <c r="C129" s="65" t="s">
        <v>8</v>
      </c>
      <c r="D129" s="66" t="s">
        <v>23</v>
      </c>
      <c r="E129" s="9" t="s">
        <v>21</v>
      </c>
      <c r="F129" s="8">
        <f>(INT(Table_Latvia[[#This Row],[Date]]) - DATE(1970, 1, 1)) * 86400000</f>
        <v>1726963200000</v>
      </c>
      <c r="G129" s="10">
        <f>'GMT Glossary'!$B$5</f>
        <v>3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18:00</v>
      </c>
    </row>
    <row r="130" spans="1:9" x14ac:dyDescent="0.25">
      <c r="A130" s="64">
        <v>45557</v>
      </c>
      <c r="B130" s="68">
        <v>0.66666666666666663</v>
      </c>
      <c r="C130" s="65" t="s">
        <v>8</v>
      </c>
      <c r="D130" s="67" t="s">
        <v>142</v>
      </c>
      <c r="E130" s="9" t="s">
        <v>21</v>
      </c>
      <c r="F130" s="8">
        <f>(INT(Table_Latvia[[#This Row],[Date]]) - DATE(1970, 1, 1)) * 86400000</f>
        <v>1726963200000</v>
      </c>
      <c r="G130" s="10">
        <f>'GMT Glossary'!$B$5</f>
        <v>3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19:00</v>
      </c>
    </row>
    <row r="131" spans="1:9" ht="15.75" x14ac:dyDescent="0.25">
      <c r="A131" s="60">
        <v>45557</v>
      </c>
      <c r="B131" s="51">
        <v>0.6875</v>
      </c>
      <c r="C131" s="33" t="s">
        <v>8</v>
      </c>
      <c r="D131" s="44" t="s">
        <v>179</v>
      </c>
      <c r="E131" s="9" t="s">
        <v>72</v>
      </c>
      <c r="F131" s="8">
        <f>(INT(Table_Latvia[[#This Row],[Date]]) - DATE(1970, 1, 1)) * 86400000</f>
        <v>1726963200000</v>
      </c>
      <c r="G131" s="10">
        <f>'GMT Glossary'!$B$5</f>
        <v>3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19:30</v>
      </c>
    </row>
    <row r="132" spans="1:9" x14ac:dyDescent="0.25">
      <c r="A132" s="64">
        <v>45557</v>
      </c>
      <c r="B132" s="68">
        <v>0.75</v>
      </c>
      <c r="C132" s="65" t="s">
        <v>8</v>
      </c>
      <c r="D132" s="66" t="s">
        <v>24</v>
      </c>
      <c r="E132" s="9" t="s">
        <v>21</v>
      </c>
      <c r="F132" s="8">
        <f>(INT(Table_Latvia[[#This Row],[Date]]) - DATE(1970, 1, 1)) * 86400000</f>
        <v>1726963200000</v>
      </c>
      <c r="G132">
        <f>'GMT Glossary'!$B$5</f>
        <v>3</v>
      </c>
      <c r="H132" s="2" t="str">
        <f>TEXT(IF(B132&lt;0, A132+1+((B132+(G132/24))-(INT(B132+(G132/24)))), A132+(B132+(G132/24))), "yyyy-mm-dd")</f>
        <v>2024-09-22</v>
      </c>
      <c r="I132" s="2" t="str">
        <f>TEXT(IF(B132&lt;0, A132+1+((B132+(G132/24))-(INT(B132+(G132/24)))), A132+(B132+(G132/24))), "hh:mm")</f>
        <v>21:00</v>
      </c>
    </row>
    <row r="133" spans="1:9" ht="15.75" x14ac:dyDescent="0.25">
      <c r="A133" s="60">
        <v>45557</v>
      </c>
      <c r="B133" s="51">
        <v>0.79166666666666663</v>
      </c>
      <c r="C133" s="33" t="s">
        <v>8</v>
      </c>
      <c r="D133" s="44" t="s">
        <v>180</v>
      </c>
      <c r="E133" s="9" t="s">
        <v>72</v>
      </c>
      <c r="F133" s="8">
        <f>(INT(Table_Latvia[[#This Row],[Date]]) - DATE(1970, 1, 1)) * 86400000</f>
        <v>1726963200000</v>
      </c>
      <c r="G133" s="10">
        <f>'GMT Glossary'!$B$5</f>
        <v>3</v>
      </c>
      <c r="H133" s="2" t="str">
        <f>TEXT(IF(B133&lt;0, A133+1+((B133+(G133/24))-(INT(B133+(G133/24)))), A133+(B133+(G133/24))), "yyyy-mm-dd")</f>
        <v>2024-09-22</v>
      </c>
      <c r="I133" s="2" t="str">
        <f>TEXT(IF(B133&lt;0, A133+1+((B133+(G133/24))-(INT(B133+(G133/24)))), A133+(B133+(G133/24))), "hh:mm")</f>
        <v>22:00</v>
      </c>
    </row>
    <row r="134" spans="1:9" x14ac:dyDescent="0.25">
      <c r="A134" s="64">
        <v>45557</v>
      </c>
      <c r="B134" s="68">
        <v>0.8125</v>
      </c>
      <c r="C134" s="65" t="s">
        <v>8</v>
      </c>
      <c r="D134" s="67" t="s">
        <v>143</v>
      </c>
      <c r="E134" s="9" t="s">
        <v>21</v>
      </c>
      <c r="F134" s="8">
        <f>(INT(Table_Latvia[[#This Row],[Date]]) - DATE(1970, 1, 1)) * 86400000</f>
        <v>1726963200000</v>
      </c>
      <c r="G134" s="10">
        <f>'GMT Glossary'!$B$5</f>
        <v>3</v>
      </c>
      <c r="H134" s="2" t="str">
        <f>TEXT(IF(B134&lt;0, A134+1+((B134+(G134/24))-(INT(B134+(G134/24)))), A134+(B134+(G134/24))), "yyyy-mm-dd")</f>
        <v>2024-09-22</v>
      </c>
      <c r="I134" s="2" t="str">
        <f>TEXT(IF(B134&lt;0, A134+1+((B134+(G134/24))-(INT(B134+(G134/24)))), A134+(B134+(G134/24))), "hh:mm")</f>
        <v>22:30</v>
      </c>
    </row>
    <row r="135" spans="1:9" x14ac:dyDescent="0.25">
      <c r="A135" s="64">
        <v>45557</v>
      </c>
      <c r="B135" s="68">
        <v>0.90625</v>
      </c>
      <c r="C135" s="65" t="s">
        <v>8</v>
      </c>
      <c r="D135" s="67" t="s">
        <v>144</v>
      </c>
      <c r="E135" s="9" t="s">
        <v>21</v>
      </c>
      <c r="F135" s="8">
        <f>(INT(Table_Latvia[[#This Row],[Date]]) - DATE(1970, 1, 1)) * 86400000</f>
        <v>1726963200000</v>
      </c>
      <c r="G135">
        <f>'GMT Glossary'!$B$5</f>
        <v>3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00:45</v>
      </c>
    </row>
    <row r="136" spans="1:9" ht="15.75" x14ac:dyDescent="0.25">
      <c r="A136" s="60">
        <v>45557</v>
      </c>
      <c r="B136" s="51">
        <v>0.90625</v>
      </c>
      <c r="C136" s="33" t="s">
        <v>8</v>
      </c>
      <c r="D136" s="44" t="s">
        <v>181</v>
      </c>
      <c r="E136" s="9" t="s">
        <v>72</v>
      </c>
      <c r="F136" s="8">
        <f>(INT(Table_Latvia[[#This Row],[Date]]) - DATE(1970, 1, 1)) * 86400000</f>
        <v>1726963200000</v>
      </c>
      <c r="G136" s="10">
        <f>'GMT Glossary'!$B$5</f>
        <v>3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00:45</v>
      </c>
    </row>
    <row r="137" spans="1:9" x14ac:dyDescent="0.25">
      <c r="A137" s="64">
        <v>45558</v>
      </c>
      <c r="B137" s="68">
        <v>0</v>
      </c>
      <c r="C137" s="65" t="s">
        <v>8</v>
      </c>
      <c r="D137" s="66" t="s">
        <v>145</v>
      </c>
      <c r="E137" s="9" t="s">
        <v>21</v>
      </c>
      <c r="F137" s="8">
        <f>(INT(Table_Latvia[[#This Row],[Date]]) - DATE(1970, 1, 1)) * 86400000</f>
        <v>1727049600000</v>
      </c>
      <c r="G137">
        <f>'GMT Glossary'!$B$5</f>
        <v>3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03:00</v>
      </c>
    </row>
    <row r="138" spans="1:9" ht="15.75" x14ac:dyDescent="0.25">
      <c r="A138" s="60">
        <v>45558</v>
      </c>
      <c r="B138" s="51">
        <v>0</v>
      </c>
      <c r="C138" s="33" t="s">
        <v>8</v>
      </c>
      <c r="D138" s="44" t="s">
        <v>151</v>
      </c>
      <c r="E138" s="9" t="s">
        <v>72</v>
      </c>
      <c r="F138" s="8">
        <f>(INT(Table_Latvia[[#This Row],[Date]]) - DATE(1970, 1, 1)) * 86400000</f>
        <v>1727049600000</v>
      </c>
      <c r="G138" s="10">
        <f>'GMT Glossary'!$B$5</f>
        <v>3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03:00</v>
      </c>
    </row>
    <row r="139" spans="1:9" x14ac:dyDescent="0.25">
      <c r="A139" s="64">
        <v>45558</v>
      </c>
      <c r="B139" s="68">
        <v>8.3333333333333329E-2</v>
      </c>
      <c r="C139" s="65" t="s">
        <v>8</v>
      </c>
      <c r="D139" s="66" t="s">
        <v>146</v>
      </c>
      <c r="E139" s="9" t="s">
        <v>21</v>
      </c>
      <c r="F139" s="8">
        <f>(INT(Table_Latvia[[#This Row],[Date]]) - DATE(1970, 1, 1)) * 86400000</f>
        <v>1727049600000</v>
      </c>
      <c r="G139" s="10">
        <f>'GMT Glossary'!$B$5</f>
        <v>3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05:00</v>
      </c>
    </row>
    <row r="140" spans="1:9" ht="15.75" x14ac:dyDescent="0.25">
      <c r="A140" s="60">
        <v>45558</v>
      </c>
      <c r="B140" s="51">
        <v>8.3333333333333329E-2</v>
      </c>
      <c r="C140" s="33" t="s">
        <v>398</v>
      </c>
      <c r="D140" s="44" t="s">
        <v>182</v>
      </c>
      <c r="E140" s="9" t="s">
        <v>72</v>
      </c>
      <c r="F140" s="8">
        <f>(INT(Table_Latvia[[#This Row],[Date]]) - DATE(1970, 1, 1)) * 86400000</f>
        <v>1727049600000</v>
      </c>
      <c r="G140" s="10">
        <f>'GMT Glossary'!$B$5</f>
        <v>3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05:00</v>
      </c>
    </row>
    <row r="141" spans="1:9" x14ac:dyDescent="0.25">
      <c r="A141" s="64">
        <v>45558</v>
      </c>
      <c r="B141" s="68">
        <v>0.16666666666666666</v>
      </c>
      <c r="C141" s="65" t="s">
        <v>8</v>
      </c>
      <c r="D141" s="66" t="s">
        <v>147</v>
      </c>
      <c r="E141" s="9" t="s">
        <v>21</v>
      </c>
      <c r="F141" s="8">
        <f>(INT(Table_Latvia[[#This Row],[Date]]) - DATE(1970, 1, 1)) * 86400000</f>
        <v>1727049600000</v>
      </c>
      <c r="G141">
        <f>'GMT Glossary'!$B$5</f>
        <v>3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07:00</v>
      </c>
    </row>
    <row r="142" spans="1:9" ht="15.75" x14ac:dyDescent="0.25">
      <c r="A142" s="60">
        <v>45558</v>
      </c>
      <c r="B142" s="51">
        <v>0.16666666666666666</v>
      </c>
      <c r="C142" s="33" t="s">
        <v>8</v>
      </c>
      <c r="D142" s="44" t="s">
        <v>145</v>
      </c>
      <c r="E142" s="9" t="s">
        <v>72</v>
      </c>
      <c r="F142" s="8">
        <f>(INT(Table_Latvia[[#This Row],[Date]]) - DATE(1970, 1, 1)) * 86400000</f>
        <v>1727049600000</v>
      </c>
      <c r="G142" s="10">
        <f>'GMT Glossary'!$B$5</f>
        <v>3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07:00</v>
      </c>
    </row>
    <row r="143" spans="1:9" x14ac:dyDescent="0.25">
      <c r="A143" s="64">
        <v>45558</v>
      </c>
      <c r="B143" s="68">
        <v>0.25</v>
      </c>
      <c r="C143" s="65" t="s">
        <v>8</v>
      </c>
      <c r="D143" s="66" t="s">
        <v>148</v>
      </c>
      <c r="E143" s="9" t="s">
        <v>21</v>
      </c>
      <c r="F143" s="8">
        <f>(INT(Table_Latvia[[#This Row],[Date]]) - DATE(1970, 1, 1)) * 86400000</f>
        <v>1727049600000</v>
      </c>
      <c r="G143" s="10">
        <f>'GMT Glossary'!$B$5</f>
        <v>3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09:00</v>
      </c>
    </row>
    <row r="144" spans="1:9" ht="15.75" x14ac:dyDescent="0.25">
      <c r="A144" s="60">
        <v>45558</v>
      </c>
      <c r="B144" s="51">
        <v>0.25</v>
      </c>
      <c r="C144" s="33" t="s">
        <v>8</v>
      </c>
      <c r="D144" s="44" t="s">
        <v>183</v>
      </c>
      <c r="E144" s="9" t="s">
        <v>72</v>
      </c>
      <c r="F144" s="8">
        <f>(INT(Table_Latvia[[#This Row],[Date]]) - DATE(1970, 1, 1)) * 86400000</f>
        <v>1727049600000</v>
      </c>
      <c r="G144" s="10">
        <f>'GMT Glossary'!$B$5</f>
        <v>3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09:00</v>
      </c>
    </row>
    <row r="145" spans="1:9" x14ac:dyDescent="0.25">
      <c r="A145" s="64">
        <v>45558</v>
      </c>
      <c r="B145" s="68">
        <v>0.33333333333333331</v>
      </c>
      <c r="C145" s="65" t="s">
        <v>8</v>
      </c>
      <c r="D145" s="66" t="s">
        <v>149</v>
      </c>
      <c r="E145" s="9" t="s">
        <v>21</v>
      </c>
      <c r="F145" s="8">
        <f>(INT(Table_Latvia[[#This Row],[Date]]) - DATE(1970, 1, 1)) * 86400000</f>
        <v>1727049600000</v>
      </c>
      <c r="G145">
        <f>'GMT Glossary'!$B$5</f>
        <v>3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11:00</v>
      </c>
    </row>
    <row r="146" spans="1:9" ht="15.75" x14ac:dyDescent="0.25">
      <c r="A146" s="60">
        <v>45558</v>
      </c>
      <c r="B146" s="51">
        <v>0.33333333333333331</v>
      </c>
      <c r="C146" s="33" t="s">
        <v>8</v>
      </c>
      <c r="D146" s="44" t="s">
        <v>184</v>
      </c>
      <c r="E146" s="9" t="s">
        <v>72</v>
      </c>
      <c r="F146" s="8">
        <f>(INT(Table_Latvia[[#This Row],[Date]]) - DATE(1970, 1, 1)) * 86400000</f>
        <v>1727049600000</v>
      </c>
      <c r="G146" s="10">
        <f>'GMT Glossary'!$B$5</f>
        <v>3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11:00</v>
      </c>
    </row>
    <row r="147" spans="1:9" x14ac:dyDescent="0.25">
      <c r="A147" s="64">
        <v>45558</v>
      </c>
      <c r="B147" s="68">
        <v>0.41666666666666669</v>
      </c>
      <c r="C147" s="65" t="s">
        <v>8</v>
      </c>
      <c r="D147" s="66" t="s">
        <v>150</v>
      </c>
      <c r="E147" s="9" t="s">
        <v>21</v>
      </c>
      <c r="F147" s="8">
        <f>(INT(Table_Latvia[[#This Row],[Date]]) - DATE(1970, 1, 1)) * 86400000</f>
        <v>1727049600000</v>
      </c>
      <c r="G147" s="10">
        <f>'GMT Glossary'!$B$5</f>
        <v>3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13:00</v>
      </c>
    </row>
    <row r="148" spans="1:9" ht="15.75" x14ac:dyDescent="0.25">
      <c r="A148" s="60">
        <v>45558</v>
      </c>
      <c r="B148" s="51">
        <v>0.41666666666666669</v>
      </c>
      <c r="C148" s="33" t="s">
        <v>8</v>
      </c>
      <c r="D148" s="44" t="s">
        <v>148</v>
      </c>
      <c r="E148" s="9" t="s">
        <v>72</v>
      </c>
      <c r="F148" s="8">
        <f>(INT(Table_Latvia[[#This Row],[Date]]) - DATE(1970, 1, 1)) * 86400000</f>
        <v>1727049600000</v>
      </c>
      <c r="G148" s="10">
        <f>'GMT Glossary'!$B$5</f>
        <v>3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13:00</v>
      </c>
    </row>
    <row r="149" spans="1:9" x14ac:dyDescent="0.25">
      <c r="A149" s="64">
        <v>45558</v>
      </c>
      <c r="B149" s="68">
        <v>0.5</v>
      </c>
      <c r="C149" s="65" t="s">
        <v>8</v>
      </c>
      <c r="D149" s="66" t="s">
        <v>151</v>
      </c>
      <c r="E149" s="9" t="s">
        <v>21</v>
      </c>
      <c r="F149" s="8">
        <f>(INT(Table_Latvia[[#This Row],[Date]]) - DATE(1970, 1, 1)) * 86400000</f>
        <v>1727049600000</v>
      </c>
      <c r="G149">
        <f>'GMT Glossary'!$B$5</f>
        <v>3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15:00</v>
      </c>
    </row>
    <row r="150" spans="1:9" ht="15.75" x14ac:dyDescent="0.25">
      <c r="A150" s="60">
        <v>45558</v>
      </c>
      <c r="B150" s="51">
        <v>0.5</v>
      </c>
      <c r="C150" s="33" t="s">
        <v>8</v>
      </c>
      <c r="D150" s="44" t="s">
        <v>185</v>
      </c>
      <c r="E150" s="9" t="s">
        <v>72</v>
      </c>
      <c r="F150" s="8">
        <f>(INT(Table_Latvia[[#This Row],[Date]]) - DATE(1970, 1, 1)) * 86400000</f>
        <v>1727049600000</v>
      </c>
      <c r="G150" s="10">
        <f>'GMT Glossary'!$B$5</f>
        <v>3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15:00</v>
      </c>
    </row>
    <row r="151" spans="1:9" x14ac:dyDescent="0.25">
      <c r="A151" s="64">
        <v>45558</v>
      </c>
      <c r="B151" s="68">
        <v>0.58333333333333337</v>
      </c>
      <c r="C151" s="65" t="s">
        <v>8</v>
      </c>
      <c r="D151" s="66" t="s">
        <v>141</v>
      </c>
      <c r="E151" s="9" t="s">
        <v>21</v>
      </c>
      <c r="F151" s="8">
        <f>(INT(Table_Latvia[[#This Row],[Date]]) - DATE(1970, 1, 1)) * 86400000</f>
        <v>1727049600000</v>
      </c>
      <c r="G151" s="10">
        <f>'GMT Glossary'!$B$5</f>
        <v>3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17:00</v>
      </c>
    </row>
    <row r="152" spans="1:9" ht="15.75" x14ac:dyDescent="0.25">
      <c r="A152" s="60">
        <v>45558</v>
      </c>
      <c r="B152" s="51">
        <v>0.58333333333333337</v>
      </c>
      <c r="C152" s="33" t="s">
        <v>8</v>
      </c>
      <c r="D152" s="44" t="s">
        <v>149</v>
      </c>
      <c r="E152" s="9" t="s">
        <v>72</v>
      </c>
      <c r="F152" s="8">
        <f>(INT(Table_Latvia[[#This Row],[Date]]) - DATE(1970, 1, 1)) * 86400000</f>
        <v>1727049600000</v>
      </c>
      <c r="G152" s="10">
        <f>'GMT Glossary'!$B$5</f>
        <v>3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17:00</v>
      </c>
    </row>
    <row r="153" spans="1:9" x14ac:dyDescent="0.25">
      <c r="A153" s="64">
        <v>45558</v>
      </c>
      <c r="B153" s="68">
        <v>0.66666666666666663</v>
      </c>
      <c r="C153" s="65" t="s">
        <v>8</v>
      </c>
      <c r="D153" s="66" t="s">
        <v>152</v>
      </c>
      <c r="E153" s="9" t="s">
        <v>21</v>
      </c>
      <c r="F153" s="8">
        <f>(INT(Table_Latvia[[#This Row],[Date]]) - DATE(1970, 1, 1)) * 86400000</f>
        <v>1727049600000</v>
      </c>
      <c r="G153">
        <f>'GMT Glossary'!$B$5</f>
        <v>3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19:00</v>
      </c>
    </row>
    <row r="154" spans="1:9" ht="15.75" x14ac:dyDescent="0.25">
      <c r="A154" s="60">
        <v>45558</v>
      </c>
      <c r="B154" s="51">
        <v>0.66666666666666663</v>
      </c>
      <c r="C154" s="33" t="s">
        <v>8</v>
      </c>
      <c r="D154" s="44" t="s">
        <v>186</v>
      </c>
      <c r="E154" s="9" t="s">
        <v>72</v>
      </c>
      <c r="F154" s="8">
        <f>(INT(Table_Latvia[[#This Row],[Date]]) - DATE(1970, 1, 1)) * 86400000</f>
        <v>1727049600000</v>
      </c>
      <c r="G154" s="10">
        <f>'GMT Glossary'!$B$5</f>
        <v>3</v>
      </c>
      <c r="H154" s="2" t="str">
        <f>TEXT(IF(B154&lt;0, A154+1+((B154+(G154/24))-(INT(B154+(G154/24)))), A154+(B154+(G154/24))), "yyyy-mm-dd")</f>
        <v>2024-09-23</v>
      </c>
      <c r="I154" s="2" t="str">
        <f>TEXT(IF(B154&lt;0, A154+1+((B154+(G154/24))-(INT(B154+(G154/24)))), A154+(B154+(G154/24))), "hh:mm")</f>
        <v>19:00</v>
      </c>
    </row>
    <row r="155" spans="1:9" x14ac:dyDescent="0.25">
      <c r="A155" s="64">
        <v>45558</v>
      </c>
      <c r="B155" s="68">
        <v>0.75</v>
      </c>
      <c r="C155" s="65" t="s">
        <v>8</v>
      </c>
      <c r="D155" s="66" t="s">
        <v>153</v>
      </c>
      <c r="E155" s="9" t="s">
        <v>21</v>
      </c>
      <c r="F155" s="8">
        <f>(INT(Table_Latvia[[#This Row],[Date]]) - DATE(1970, 1, 1)) * 86400000</f>
        <v>1727049600000</v>
      </c>
      <c r="G155" s="10">
        <f>'GMT Glossary'!$B$5</f>
        <v>3</v>
      </c>
      <c r="H155" s="2" t="str">
        <f>TEXT(IF(B155&lt;0, A155+1+((B155+(G155/24))-(INT(B155+(G155/24)))), A155+(B155+(G155/24))), "yyyy-mm-dd")</f>
        <v>2024-09-23</v>
      </c>
      <c r="I155" s="2" t="str">
        <f>TEXT(IF(B155&lt;0, A155+1+((B155+(G155/24))-(INT(B155+(G155/24)))), A155+(B155+(G155/24))), "hh:mm")</f>
        <v>21:00</v>
      </c>
    </row>
    <row r="156" spans="1:9" ht="15.75" x14ac:dyDescent="0.25">
      <c r="A156" s="60">
        <v>45558</v>
      </c>
      <c r="B156" s="51">
        <v>0.75</v>
      </c>
      <c r="C156" s="33" t="s">
        <v>8</v>
      </c>
      <c r="D156" s="44" t="s">
        <v>187</v>
      </c>
      <c r="E156" s="9" t="s">
        <v>72</v>
      </c>
      <c r="F156" s="8">
        <f>(INT(Table_Latvia[[#This Row],[Date]]) - DATE(1970, 1, 1)) * 86400000</f>
        <v>1727049600000</v>
      </c>
      <c r="G156" s="10">
        <f>'GMT Glossary'!$B$5</f>
        <v>3</v>
      </c>
      <c r="H156" s="2" t="str">
        <f>TEXT(IF(B156&lt;0, A156+1+((B156+(G156/24))-(INT(B156+(G156/24)))), A156+(B156+(G156/24))), "yyyy-mm-dd")</f>
        <v>2024-09-23</v>
      </c>
      <c r="I156" s="2" t="str">
        <f>TEXT(IF(B156&lt;0, A156+1+((B156+(G156/24))-(INT(B156+(G156/24)))), A156+(B156+(G156/24))), "hh:mm")</f>
        <v>21:00</v>
      </c>
    </row>
    <row r="157" spans="1:9" x14ac:dyDescent="0.25">
      <c r="A157" s="64">
        <v>45558</v>
      </c>
      <c r="B157" s="68">
        <v>0.83333333333333337</v>
      </c>
      <c r="C157" s="65" t="s">
        <v>398</v>
      </c>
      <c r="D157" s="66" t="s">
        <v>45</v>
      </c>
      <c r="E157" s="9" t="s">
        <v>21</v>
      </c>
      <c r="F157" s="8">
        <f>(INT(Table_Latvia[[#This Row],[Date]]) - DATE(1970, 1, 1)) * 86400000</f>
        <v>1727049600000</v>
      </c>
      <c r="G157">
        <f>'GMT Glossary'!$B$5</f>
        <v>3</v>
      </c>
      <c r="H157" s="2" t="str">
        <f>TEXT(IF(B157&lt;0, A157+1+((B157+(G157/24))-(INT(B157+(G157/24)))), A157+(B157+(G157/24))), "yyyy-mm-dd")</f>
        <v>2024-09-23</v>
      </c>
      <c r="I157" s="2" t="str">
        <f>TEXT(IF(B157&lt;0, A157+1+((B157+(G157/24))-(INT(B157+(G157/24)))), A157+(B157+(G157/24))), "hh:mm")</f>
        <v>23:00</v>
      </c>
    </row>
    <row r="158" spans="1:9" ht="15.75" x14ac:dyDescent="0.25">
      <c r="A158" s="60">
        <v>45558</v>
      </c>
      <c r="B158" s="51">
        <v>0.83333333333333337</v>
      </c>
      <c r="C158" s="33" t="s">
        <v>8</v>
      </c>
      <c r="D158" s="44" t="s">
        <v>188</v>
      </c>
      <c r="E158" s="9" t="s">
        <v>72</v>
      </c>
      <c r="F158" s="8">
        <f>(INT(Table_Latvia[[#This Row],[Date]]) - DATE(1970, 1, 1)) * 86400000</f>
        <v>1727049600000</v>
      </c>
      <c r="G158" s="10">
        <f>'GMT Glossary'!$B$5</f>
        <v>3</v>
      </c>
      <c r="H158" s="2" t="str">
        <f>TEXT(IF(B158&lt;0, A158+1+((B158+(G158/24))-(INT(B158+(G158/24)))), A158+(B158+(G158/24))), "yyyy-mm-dd")</f>
        <v>2024-09-23</v>
      </c>
      <c r="I158" s="2" t="str">
        <f>TEXT(IF(B158&lt;0, A158+1+((B158+(G158/24))-(INT(B158+(G158/24)))), A158+(B158+(G158/24))), "hh:mm")</f>
        <v>23:00</v>
      </c>
    </row>
    <row r="159" spans="1:9" x14ac:dyDescent="0.25">
      <c r="A159" s="64">
        <v>45558</v>
      </c>
      <c r="B159" s="68">
        <v>0.90625</v>
      </c>
      <c r="C159" s="65" t="s">
        <v>8</v>
      </c>
      <c r="D159" s="66" t="s">
        <v>154</v>
      </c>
      <c r="E159" s="9" t="s">
        <v>21</v>
      </c>
      <c r="F159" s="8">
        <f>(INT(Table_Latvia[[#This Row],[Date]]) - DATE(1970, 1, 1)) * 86400000</f>
        <v>1727049600000</v>
      </c>
      <c r="G159" s="10">
        <f>'GMT Glossary'!$B$5</f>
        <v>3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00:45</v>
      </c>
    </row>
    <row r="160" spans="1:9" ht="15.75" x14ac:dyDescent="0.25">
      <c r="A160" s="60">
        <v>45558</v>
      </c>
      <c r="B160" s="51">
        <v>0.91666666666666663</v>
      </c>
      <c r="C160" s="33" t="s">
        <v>8</v>
      </c>
      <c r="D160" s="44" t="s">
        <v>189</v>
      </c>
      <c r="E160" s="9" t="s">
        <v>72</v>
      </c>
      <c r="F160" s="8">
        <f>(INT(Table_Latvia[[#This Row],[Date]]) - DATE(1970, 1, 1)) * 86400000</f>
        <v>1727049600000</v>
      </c>
      <c r="G160" s="10">
        <f>'GMT Glossary'!$B$5</f>
        <v>3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01:00</v>
      </c>
    </row>
    <row r="161" spans="1:9" x14ac:dyDescent="0.25">
      <c r="A161" s="64">
        <v>45559</v>
      </c>
      <c r="B161" s="68">
        <v>0</v>
      </c>
      <c r="C161" s="65" t="s">
        <v>398</v>
      </c>
      <c r="D161" s="66" t="s">
        <v>155</v>
      </c>
      <c r="E161" s="9" t="s">
        <v>21</v>
      </c>
      <c r="F161" s="8">
        <f>(INT(Table_Latvia[[#This Row],[Date]]) - DATE(1970, 1, 1)) * 86400000</f>
        <v>1727136000000</v>
      </c>
      <c r="G161">
        <f>'GMT Glossary'!$B$5</f>
        <v>3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03:00</v>
      </c>
    </row>
    <row r="162" spans="1:9" ht="15.75" x14ac:dyDescent="0.25">
      <c r="A162" s="60">
        <v>45559</v>
      </c>
      <c r="B162" s="51">
        <v>0</v>
      </c>
      <c r="C162" s="33" t="s">
        <v>8</v>
      </c>
      <c r="D162" s="44" t="s">
        <v>157</v>
      </c>
      <c r="E162" s="9" t="s">
        <v>72</v>
      </c>
      <c r="F162" s="8">
        <f>(INT(Table_Latvia[[#This Row],[Date]]) - DATE(1970, 1, 1)) * 86400000</f>
        <v>1727136000000</v>
      </c>
      <c r="G162" s="10">
        <f>'GMT Glossary'!$B$5</f>
        <v>3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03:00</v>
      </c>
    </row>
    <row r="163" spans="1:9" ht="15.75" x14ac:dyDescent="0.25">
      <c r="A163" s="60">
        <v>45559</v>
      </c>
      <c r="B163" s="51">
        <v>8.3333333333333329E-2</v>
      </c>
      <c r="C163" s="33" t="s">
        <v>8</v>
      </c>
      <c r="D163" s="44" t="s">
        <v>190</v>
      </c>
      <c r="E163" s="9" t="s">
        <v>72</v>
      </c>
      <c r="F163" s="8">
        <f>(INT(Table_Latvia[[#This Row],[Date]]) - DATE(1970, 1, 1)) * 86400000</f>
        <v>1727136000000</v>
      </c>
      <c r="G163" s="10">
        <f>'GMT Glossary'!$B$5</f>
        <v>3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05:00</v>
      </c>
    </row>
    <row r="164" spans="1:9" x14ac:dyDescent="0.25">
      <c r="A164" s="64">
        <v>45559</v>
      </c>
      <c r="B164" s="68">
        <v>0.125</v>
      </c>
      <c r="C164" s="65" t="s">
        <v>398</v>
      </c>
      <c r="D164" s="66" t="s">
        <v>123</v>
      </c>
      <c r="E164" s="9" t="s">
        <v>21</v>
      </c>
      <c r="F164" s="8">
        <f>(INT(Table_Latvia[[#This Row],[Date]]) - DATE(1970, 1, 1)) * 86400000</f>
        <v>1727136000000</v>
      </c>
      <c r="G164" s="10">
        <f>'GMT Glossary'!$B$5</f>
        <v>3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06:00</v>
      </c>
    </row>
    <row r="165" spans="1:9" ht="15.75" x14ac:dyDescent="0.25">
      <c r="A165" s="60">
        <v>45559</v>
      </c>
      <c r="B165" s="51">
        <v>0.16666666666666666</v>
      </c>
      <c r="C165" s="33" t="s">
        <v>8</v>
      </c>
      <c r="D165" s="44" t="s">
        <v>191</v>
      </c>
      <c r="E165" s="9" t="s">
        <v>72</v>
      </c>
      <c r="F165" s="8">
        <f>(INT(Table_Latvia[[#This Row],[Date]]) - DATE(1970, 1, 1)) * 86400000</f>
        <v>1727136000000</v>
      </c>
      <c r="G165" s="10">
        <f>'GMT Glossary'!$B$5</f>
        <v>3</v>
      </c>
      <c r="H165" s="2" t="str">
        <f>TEXT(IF(B165&lt;0, A165+1+((B165+(G165/24))-(INT(B165+(G165/24)))), A165+(B165+(G165/24))), "yyyy-mm-dd")</f>
        <v>2024-09-24</v>
      </c>
      <c r="I165" s="2" t="str">
        <f>TEXT(IF(B165&lt;0, A165+1+((B165+(G165/24))-(INT(B165+(G165/24)))), A165+(B165+(G165/24))), "hh:mm")</f>
        <v>07:00</v>
      </c>
    </row>
    <row r="166" spans="1:9" x14ac:dyDescent="0.25">
      <c r="A166" s="64">
        <v>45559</v>
      </c>
      <c r="B166" s="68">
        <v>0.25</v>
      </c>
      <c r="C166" s="65" t="s">
        <v>8</v>
      </c>
      <c r="D166" s="66" t="s">
        <v>156</v>
      </c>
      <c r="E166" s="9" t="s">
        <v>21</v>
      </c>
      <c r="F166" s="8">
        <f>(INT(Table_Latvia[[#This Row],[Date]]) - DATE(1970, 1, 1)) * 86400000</f>
        <v>1727136000000</v>
      </c>
      <c r="G166">
        <f>'GMT Glossary'!$B$5</f>
        <v>3</v>
      </c>
      <c r="H166" s="2" t="str">
        <f>TEXT(IF(B166&lt;0, A166+1+((B166+(G166/24))-(INT(B166+(G166/24)))), A166+(B166+(G166/24))), "yyyy-mm-dd")</f>
        <v>2024-09-24</v>
      </c>
      <c r="I166" s="2" t="str">
        <f>TEXT(IF(B166&lt;0, A166+1+((B166+(G166/24))-(INT(B166+(G166/24)))), A166+(B166+(G166/24))), "hh:mm")</f>
        <v>09:00</v>
      </c>
    </row>
    <row r="167" spans="1:9" ht="15.75" x14ac:dyDescent="0.25">
      <c r="A167" s="60">
        <v>45559</v>
      </c>
      <c r="B167" s="51">
        <v>0.25</v>
      </c>
      <c r="C167" s="33" t="s">
        <v>8</v>
      </c>
      <c r="D167" s="44" t="s">
        <v>192</v>
      </c>
      <c r="E167" s="9" t="s">
        <v>72</v>
      </c>
      <c r="F167" s="8">
        <f>(INT(Table_Latvia[[#This Row],[Date]]) - DATE(1970, 1, 1)) * 86400000</f>
        <v>1727136000000</v>
      </c>
      <c r="G167" s="10">
        <f>'GMT Glossary'!$B$5</f>
        <v>3</v>
      </c>
      <c r="H167" s="2" t="str">
        <f>TEXT(IF(B167&lt;0, A167+1+((B167+(G167/24))-(INT(B167+(G167/24)))), A167+(B167+(G167/24))), "yyyy-mm-dd")</f>
        <v>2024-09-24</v>
      </c>
      <c r="I167" s="2" t="str">
        <f>TEXT(IF(B167&lt;0, A167+1+((B167+(G167/24))-(INT(B167+(G167/24)))), A167+(B167+(G167/24))), "hh:mm")</f>
        <v>09:00</v>
      </c>
    </row>
    <row r="168" spans="1:9" x14ac:dyDescent="0.25">
      <c r="A168" s="64">
        <v>45559</v>
      </c>
      <c r="B168" s="68">
        <v>0.33333333333333331</v>
      </c>
      <c r="C168" s="65" t="s">
        <v>8</v>
      </c>
      <c r="D168" s="66" t="s">
        <v>157</v>
      </c>
      <c r="E168" s="9" t="s">
        <v>21</v>
      </c>
      <c r="F168" s="8">
        <f>(INT(Table_Latvia[[#This Row],[Date]]) - DATE(1970, 1, 1)) * 86400000</f>
        <v>1727136000000</v>
      </c>
      <c r="G168" s="10">
        <f>'GMT Glossary'!$B$5</f>
        <v>3</v>
      </c>
      <c r="H168" s="2" t="str">
        <f>TEXT(IF(B168&lt;0, A168+1+((B168+(G168/24))-(INT(B168+(G168/24)))), A168+(B168+(G168/24))), "yyyy-mm-dd")</f>
        <v>2024-09-24</v>
      </c>
      <c r="I168" s="2" t="str">
        <f>TEXT(IF(B168&lt;0, A168+1+((B168+(G168/24))-(INT(B168+(G168/24)))), A168+(B168+(G168/24))), "hh:mm")</f>
        <v>11:00</v>
      </c>
    </row>
    <row r="169" spans="1:9" ht="15.75" x14ac:dyDescent="0.25">
      <c r="A169" s="60">
        <v>45559</v>
      </c>
      <c r="B169" s="51">
        <v>0.33333333333333331</v>
      </c>
      <c r="C169" s="33" t="s">
        <v>8</v>
      </c>
      <c r="D169" s="44" t="s">
        <v>193</v>
      </c>
      <c r="E169" s="9" t="s">
        <v>72</v>
      </c>
      <c r="F169" s="8">
        <f>(INT(Table_Latvia[[#This Row],[Date]]) - DATE(1970, 1, 1)) * 86400000</f>
        <v>1727136000000</v>
      </c>
      <c r="G169" s="10">
        <f>'GMT Glossary'!$B$5</f>
        <v>3</v>
      </c>
      <c r="H169" s="2" t="str">
        <f>TEXT(IF(B169&lt;0, A169+1+((B169+(G169/24))-(INT(B169+(G169/24)))), A169+(B169+(G169/24))), "yyyy-mm-dd")</f>
        <v>2024-09-24</v>
      </c>
      <c r="I169" s="2" t="str">
        <f>TEXT(IF(B169&lt;0, A169+1+((B169+(G169/24))-(INT(B169+(G169/24)))), A169+(B169+(G169/24))), "hh:mm")</f>
        <v>11:00</v>
      </c>
    </row>
    <row r="170" spans="1:9" x14ac:dyDescent="0.25">
      <c r="A170" s="64">
        <v>45559</v>
      </c>
      <c r="B170" s="68">
        <v>0.41666666666666669</v>
      </c>
      <c r="C170" s="65" t="s">
        <v>8</v>
      </c>
      <c r="D170" s="66" t="s">
        <v>158</v>
      </c>
      <c r="E170" s="9" t="s">
        <v>21</v>
      </c>
      <c r="F170" s="8">
        <f>(INT(Table_Latvia[[#This Row],[Date]]) - DATE(1970, 1, 1)) * 86400000</f>
        <v>1727136000000</v>
      </c>
      <c r="G170">
        <f>'GMT Glossary'!$B$5</f>
        <v>3</v>
      </c>
      <c r="H170" s="2" t="str">
        <f>TEXT(IF(B170&lt;0, A170+1+((B170+(G170/24))-(INT(B170+(G170/24)))), A170+(B170+(G170/24))), "yyyy-mm-dd")</f>
        <v>2024-09-24</v>
      </c>
      <c r="I170" s="2" t="str">
        <f>TEXT(IF(B170&lt;0, A170+1+((B170+(G170/24))-(INT(B170+(G170/24)))), A170+(B170+(G170/24))), "hh:mm")</f>
        <v>13:00</v>
      </c>
    </row>
    <row r="171" spans="1:9" ht="15.75" x14ac:dyDescent="0.25">
      <c r="A171" s="42">
        <v>45559</v>
      </c>
      <c r="B171" s="40">
        <v>0.41666666666666669</v>
      </c>
      <c r="C171" s="34" t="s">
        <v>8</v>
      </c>
      <c r="D171" s="37" t="s">
        <v>194</v>
      </c>
      <c r="E171" s="9" t="s">
        <v>72</v>
      </c>
      <c r="F171" s="21">
        <f>(INT(Table_Latvia[[#This Row],[Date]]) - DATE(1970, 1, 1)) * 86400000</f>
        <v>1727136000000</v>
      </c>
      <c r="G171" s="12">
        <f>'GMT Glossary'!$B$5</f>
        <v>3</v>
      </c>
      <c r="H171" s="18" t="str">
        <f>TEXT(IF(B171&lt;0, A171+1+((B171+(G171/24))-(INT(B171+(G171/24)))), A171+(B171+(G171/24))), "yyyy-mm-dd")</f>
        <v>2024-09-24</v>
      </c>
      <c r="I171" s="18" t="str">
        <f>TEXT(IF(B171&lt;0, A171+1+((B171+(G171/24))-(INT(B171+(G171/24)))), A171+(B171+(G171/24))), "hh:mm")</f>
        <v>13:00</v>
      </c>
    </row>
  </sheetData>
  <sortState ref="A2:I171">
    <sortCondition ref="A2:A171"/>
    <sortCondition ref="B2:B171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90BA-28E0-4245-A377-688CA2F62E84}">
  <sheetPr codeName="Sheet5"/>
  <dimension ref="A1:I171"/>
  <sheetViews>
    <sheetView topLeftCell="A161" workbookViewId="0">
      <selection activeCell="D185" sqref="D185"/>
    </sheetView>
  </sheetViews>
  <sheetFormatPr defaultRowHeight="15" x14ac:dyDescent="0.25"/>
  <cols>
    <col min="1" max="1" width="25.85546875" customWidth="1"/>
    <col min="2" max="3" width="27.28515625" customWidth="1"/>
    <col min="4" max="4" width="51.85546875" customWidth="1"/>
    <col min="5" max="5" width="24" customWidth="1"/>
    <col min="6" max="6" width="26.140625" style="8" customWidth="1"/>
    <col min="7" max="7" width="43.85546875" customWidth="1"/>
    <col min="8" max="8" width="45.7109375" customWidth="1"/>
    <col min="9" max="9" width="29.710937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9" x14ac:dyDescent="0.25">
      <c r="A2" s="64">
        <v>45552</v>
      </c>
      <c r="B2" s="68">
        <v>0.5</v>
      </c>
      <c r="C2" s="65" t="s">
        <v>8</v>
      </c>
      <c r="D2" s="66" t="s">
        <v>120</v>
      </c>
      <c r="E2" s="9" t="s">
        <v>21</v>
      </c>
      <c r="F2" s="8">
        <f>(INT(Table_Lithuania[[#This Row],[Date]]) - DATE(1970, 1, 1)) * 86400000</f>
        <v>1726531200000</v>
      </c>
      <c r="G2">
        <f>'GMT Glossary'!$B$6</f>
        <v>3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15:00</v>
      </c>
    </row>
    <row r="3" spans="1:9" ht="15.75" x14ac:dyDescent="0.25">
      <c r="A3" s="60">
        <v>45552</v>
      </c>
      <c r="B3" s="68">
        <v>0.5</v>
      </c>
      <c r="C3" s="33" t="s">
        <v>8</v>
      </c>
      <c r="D3" s="44" t="s">
        <v>159</v>
      </c>
      <c r="E3" s="9" t="s">
        <v>72</v>
      </c>
      <c r="F3" s="8">
        <f>(INT(Table_Lithuania[[#This Row],[Date]]) - DATE(1970, 1, 1)) * 86400000</f>
        <v>1726531200000</v>
      </c>
      <c r="G3" s="10">
        <f>'GMT Glossary'!$B$6</f>
        <v>3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15:00</v>
      </c>
    </row>
    <row r="4" spans="1:9" x14ac:dyDescent="0.25">
      <c r="A4" s="64">
        <v>45552</v>
      </c>
      <c r="B4" s="68">
        <v>0.54166666666666663</v>
      </c>
      <c r="C4" s="65" t="s">
        <v>8</v>
      </c>
      <c r="D4" s="66" t="s">
        <v>121</v>
      </c>
      <c r="E4" s="9" t="s">
        <v>21</v>
      </c>
      <c r="F4" s="8">
        <f>(INT(Table_Lithuania[[#This Row],[Date]]) - DATE(1970, 1, 1)) * 86400000</f>
        <v>1726531200000</v>
      </c>
      <c r="G4" s="10">
        <f>'GMT Glossary'!$B$6</f>
        <v>3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16:00</v>
      </c>
    </row>
    <row r="5" spans="1:9" x14ac:dyDescent="0.25">
      <c r="A5" s="64">
        <v>45552</v>
      </c>
      <c r="B5" s="68">
        <v>0.58333333333333337</v>
      </c>
      <c r="C5" s="65" t="s">
        <v>8</v>
      </c>
      <c r="D5" s="69" t="s">
        <v>48</v>
      </c>
      <c r="E5" s="9" t="s">
        <v>21</v>
      </c>
      <c r="F5" s="8">
        <f>(INT(Table_Lithuania[[#This Row],[Date]]) - DATE(1970, 1, 1)) * 86400000</f>
        <v>1726531200000</v>
      </c>
      <c r="G5">
        <f>'GMT Glossary'!$B$6</f>
        <v>3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17:00</v>
      </c>
    </row>
    <row r="6" spans="1:9" ht="15.75" x14ac:dyDescent="0.25">
      <c r="A6" s="60">
        <v>45552</v>
      </c>
      <c r="B6" s="51">
        <v>0.58333333333333337</v>
      </c>
      <c r="C6" s="33" t="s">
        <v>8</v>
      </c>
      <c r="D6" s="44" t="s">
        <v>160</v>
      </c>
      <c r="E6" s="9" t="s">
        <v>72</v>
      </c>
      <c r="F6" s="8">
        <f>(INT(Table_Lithuania[[#This Row],[Date]]) - DATE(1970, 1, 1)) * 86400000</f>
        <v>1726531200000</v>
      </c>
      <c r="G6" s="10">
        <f>'GMT Glossary'!$B$6</f>
        <v>3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17:00</v>
      </c>
    </row>
    <row r="7" spans="1:9" x14ac:dyDescent="0.25">
      <c r="A7" s="64">
        <v>45552</v>
      </c>
      <c r="B7" s="68">
        <v>0.66666666666666663</v>
      </c>
      <c r="C7" s="65" t="s">
        <v>8</v>
      </c>
      <c r="D7" s="69" t="s">
        <v>44</v>
      </c>
      <c r="E7" s="9" t="s">
        <v>21</v>
      </c>
      <c r="F7" s="8">
        <f>(INT(Table_Lithuania[[#This Row],[Date]]) - DATE(1970, 1, 1)) * 86400000</f>
        <v>1726531200000</v>
      </c>
      <c r="G7">
        <f>'GMT Glossary'!$B$6</f>
        <v>3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19:00</v>
      </c>
    </row>
    <row r="8" spans="1:9" ht="15.75" x14ac:dyDescent="0.25">
      <c r="A8" s="60">
        <v>45552</v>
      </c>
      <c r="B8" s="51">
        <v>0.66666666666666663</v>
      </c>
      <c r="C8" s="33" t="s">
        <v>8</v>
      </c>
      <c r="D8" s="44" t="s">
        <v>47</v>
      </c>
      <c r="E8" s="9" t="s">
        <v>72</v>
      </c>
      <c r="F8" s="8">
        <f>(INT(Table_Lithuania[[#This Row],[Date]]) - DATE(1970, 1, 1)) * 86400000</f>
        <v>1726531200000</v>
      </c>
      <c r="G8" s="10">
        <f>'GMT Glossary'!$B$6</f>
        <v>3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19:00</v>
      </c>
    </row>
    <row r="9" spans="1:9" x14ac:dyDescent="0.25">
      <c r="A9" s="64">
        <v>45552</v>
      </c>
      <c r="B9" s="68">
        <v>0.75</v>
      </c>
      <c r="C9" s="65" t="s">
        <v>8</v>
      </c>
      <c r="D9" s="66" t="s">
        <v>38</v>
      </c>
      <c r="E9" s="9" t="s">
        <v>21</v>
      </c>
      <c r="F9" s="8">
        <f>(INT(Table_Lithuania[[#This Row],[Date]]) - DATE(1970, 1, 1)) * 86400000</f>
        <v>1726531200000</v>
      </c>
      <c r="G9" s="10">
        <f>'GMT Glossary'!$B$6</f>
        <v>3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21:00</v>
      </c>
    </row>
    <row r="10" spans="1:9" ht="15.75" x14ac:dyDescent="0.25">
      <c r="A10" s="60">
        <v>45552</v>
      </c>
      <c r="B10" s="51">
        <v>0.75</v>
      </c>
      <c r="C10" s="33" t="s">
        <v>8</v>
      </c>
      <c r="D10" s="44" t="s">
        <v>129</v>
      </c>
      <c r="E10" s="9" t="s">
        <v>72</v>
      </c>
      <c r="F10" s="8">
        <f>(INT(Table_Lithuania[[#This Row],[Date]]) - DATE(1970, 1, 1)) * 86400000</f>
        <v>1726531200000</v>
      </c>
      <c r="G10" s="10">
        <f>'GMT Glossary'!$B$6</f>
        <v>3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21:00</v>
      </c>
    </row>
    <row r="11" spans="1:9" x14ac:dyDescent="0.25">
      <c r="A11" s="64">
        <v>45552</v>
      </c>
      <c r="B11" s="68">
        <v>0.83333333333333337</v>
      </c>
      <c r="C11" s="65" t="s">
        <v>8</v>
      </c>
      <c r="D11" s="67" t="s">
        <v>122</v>
      </c>
      <c r="E11" s="9" t="s">
        <v>21</v>
      </c>
      <c r="F11" s="8">
        <f>(INT(Table_Lithuania[[#This Row],[Date]]) - DATE(1970, 1, 1)) * 86400000</f>
        <v>1726531200000</v>
      </c>
      <c r="G11">
        <f>'GMT Glossary'!$B$6</f>
        <v>3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23:00</v>
      </c>
    </row>
    <row r="12" spans="1:9" ht="15.75" x14ac:dyDescent="0.25">
      <c r="A12" s="60">
        <v>45552</v>
      </c>
      <c r="B12" s="51">
        <v>0.83333333333333337</v>
      </c>
      <c r="C12" s="33" t="s">
        <v>8</v>
      </c>
      <c r="D12" s="44" t="s">
        <v>67</v>
      </c>
      <c r="E12" s="9" t="s">
        <v>72</v>
      </c>
      <c r="F12" s="8">
        <f>(INT(Table_Lithuania[[#This Row],[Date]]) - DATE(1970, 1, 1)) * 86400000</f>
        <v>1726531200000</v>
      </c>
      <c r="G12" s="10">
        <f>'GMT Glossary'!$B$6</f>
        <v>3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23:00</v>
      </c>
    </row>
    <row r="13" spans="1:9" x14ac:dyDescent="0.25">
      <c r="A13" s="64">
        <v>45552</v>
      </c>
      <c r="B13" s="68">
        <v>0.91666666666666663</v>
      </c>
      <c r="C13" s="65" t="s">
        <v>8</v>
      </c>
      <c r="D13" s="66" t="s">
        <v>39</v>
      </c>
      <c r="E13" s="9" t="s">
        <v>21</v>
      </c>
      <c r="F13" s="8">
        <f>(INT(Table_Lithuania[[#This Row],[Date]]) - DATE(1970, 1, 1)) * 86400000</f>
        <v>1726531200000</v>
      </c>
      <c r="G13" s="10">
        <f>'GMT Glossary'!$B$6</f>
        <v>3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01:00</v>
      </c>
    </row>
    <row r="14" spans="1:9" ht="15.75" x14ac:dyDescent="0.25">
      <c r="A14" s="60">
        <v>45552</v>
      </c>
      <c r="B14" s="51">
        <v>0.91666666666666663</v>
      </c>
      <c r="C14" s="33" t="s">
        <v>8</v>
      </c>
      <c r="D14" s="44" t="s">
        <v>70</v>
      </c>
      <c r="E14" s="9" t="s">
        <v>72</v>
      </c>
      <c r="F14" s="8">
        <f>(INT(Table_Lithuania[[#This Row],[Date]]) - DATE(1970, 1, 1)) * 86400000</f>
        <v>1726531200000</v>
      </c>
      <c r="G14" s="10">
        <f>'GMT Glossary'!$B$6</f>
        <v>3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01:00</v>
      </c>
    </row>
    <row r="15" spans="1:9" x14ac:dyDescent="0.25">
      <c r="A15" s="64">
        <v>45553</v>
      </c>
      <c r="B15" s="68">
        <v>0</v>
      </c>
      <c r="C15" s="65" t="s">
        <v>398</v>
      </c>
      <c r="D15" s="69" t="s">
        <v>123</v>
      </c>
      <c r="E15" s="9" t="s">
        <v>21</v>
      </c>
      <c r="F15" s="8">
        <f>(INT(Table_Lithuania[[#This Row],[Date]]) - DATE(1970, 1, 1)) * 86400000</f>
        <v>1726617600000</v>
      </c>
      <c r="G15">
        <f>'GMT Glossary'!$B$6</f>
        <v>3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03:00</v>
      </c>
    </row>
    <row r="16" spans="1:9" ht="15.75" x14ac:dyDescent="0.25">
      <c r="A16" s="60">
        <v>45553</v>
      </c>
      <c r="B16" s="51">
        <v>0</v>
      </c>
      <c r="C16" s="33" t="s">
        <v>8</v>
      </c>
      <c r="D16" s="44" t="s">
        <v>71</v>
      </c>
      <c r="E16" s="9" t="s">
        <v>72</v>
      </c>
      <c r="F16" s="8">
        <f>(INT(Table_Lithuania[[#This Row],[Date]]) - DATE(1970, 1, 1)) * 86400000</f>
        <v>1726617600000</v>
      </c>
      <c r="G16" s="10">
        <f>'GMT Glossary'!$B$6</f>
        <v>3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03:00</v>
      </c>
    </row>
    <row r="17" spans="1:9" ht="15.75" x14ac:dyDescent="0.25">
      <c r="A17" s="60">
        <v>45553</v>
      </c>
      <c r="B17" s="51">
        <v>8.3333333333333329E-2</v>
      </c>
      <c r="C17" s="33" t="s">
        <v>8</v>
      </c>
      <c r="D17" s="44" t="s">
        <v>43</v>
      </c>
      <c r="E17" s="9" t="s">
        <v>72</v>
      </c>
      <c r="F17" s="8">
        <f>(INT(Table_Lithuania[[#This Row],[Date]]) - DATE(1970, 1, 1)) * 86400000</f>
        <v>1726617600000</v>
      </c>
      <c r="G17" s="10">
        <f>'GMT Glossary'!$B$6</f>
        <v>3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05:00</v>
      </c>
    </row>
    <row r="18" spans="1:9" x14ac:dyDescent="0.25">
      <c r="A18" s="64">
        <v>45553</v>
      </c>
      <c r="B18" s="68">
        <v>0.125</v>
      </c>
      <c r="C18" s="65" t="s">
        <v>8</v>
      </c>
      <c r="D18" s="66" t="s">
        <v>40</v>
      </c>
      <c r="E18" s="9" t="s">
        <v>21</v>
      </c>
      <c r="F18" s="8">
        <f>(INT(Table_Lithuania[[#This Row],[Date]]) - DATE(1970, 1, 1)) * 86400000</f>
        <v>1726617600000</v>
      </c>
      <c r="G18" s="10">
        <f>'GMT Glossary'!$B$6</f>
        <v>3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06:00</v>
      </c>
    </row>
    <row r="19" spans="1:9" ht="15.75" x14ac:dyDescent="0.25">
      <c r="A19" s="60">
        <v>45553</v>
      </c>
      <c r="B19" s="51">
        <v>0.16666666666666666</v>
      </c>
      <c r="C19" s="33" t="s">
        <v>8</v>
      </c>
      <c r="D19" s="44" t="s">
        <v>64</v>
      </c>
      <c r="E19" s="9" t="s">
        <v>72</v>
      </c>
      <c r="F19" s="8">
        <f>(INT(Table_Lithuania[[#This Row],[Date]]) - DATE(1970, 1, 1)) * 86400000</f>
        <v>1726617600000</v>
      </c>
      <c r="G19" s="10">
        <f>'GMT Glossary'!$B$6</f>
        <v>3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07:00</v>
      </c>
    </row>
    <row r="20" spans="1:9" x14ac:dyDescent="0.25">
      <c r="A20" s="64">
        <v>45553</v>
      </c>
      <c r="B20" s="68">
        <v>0.20833333333333334</v>
      </c>
      <c r="C20" s="65" t="s">
        <v>8</v>
      </c>
      <c r="D20" s="66" t="s">
        <v>124</v>
      </c>
      <c r="E20" s="9" t="s">
        <v>21</v>
      </c>
      <c r="F20" s="8">
        <f>(INT(Table_Lithuania[[#This Row],[Date]]) - DATE(1970, 1, 1)) * 86400000</f>
        <v>1726617600000</v>
      </c>
      <c r="G20">
        <f>'GMT Glossary'!$B$6</f>
        <v>3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08:00</v>
      </c>
    </row>
    <row r="21" spans="1:9" ht="15.75" x14ac:dyDescent="0.25">
      <c r="A21" s="60">
        <v>45553</v>
      </c>
      <c r="B21" s="51">
        <v>0.25</v>
      </c>
      <c r="C21" s="33" t="s">
        <v>398</v>
      </c>
      <c r="D21" s="44" t="s">
        <v>161</v>
      </c>
      <c r="E21" s="9" t="s">
        <v>72</v>
      </c>
      <c r="F21" s="8">
        <f>(INT(Table_Lithuania[[#This Row],[Date]]) - DATE(1970, 1, 1)) * 86400000</f>
        <v>1726617600000</v>
      </c>
      <c r="G21" s="10">
        <f>'GMT Glossary'!$B$6</f>
        <v>3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09:00</v>
      </c>
    </row>
    <row r="22" spans="1:9" x14ac:dyDescent="0.25">
      <c r="A22" s="64">
        <v>45553</v>
      </c>
      <c r="B22" s="68">
        <v>0.29166666666666669</v>
      </c>
      <c r="C22" s="65" t="s">
        <v>8</v>
      </c>
      <c r="D22" s="66" t="s">
        <v>66</v>
      </c>
      <c r="E22" s="9" t="s">
        <v>21</v>
      </c>
      <c r="F22" s="8">
        <f>(INT(Table_Lithuania[[#This Row],[Date]]) - DATE(1970, 1, 1)) * 86400000</f>
        <v>1726617600000</v>
      </c>
      <c r="G22" s="10">
        <f>'GMT Glossary'!$B$6</f>
        <v>3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10:00</v>
      </c>
    </row>
    <row r="23" spans="1:9" x14ac:dyDescent="0.25">
      <c r="A23" s="64">
        <v>45553</v>
      </c>
      <c r="B23" s="68">
        <v>0.375</v>
      </c>
      <c r="C23" s="65" t="s">
        <v>8</v>
      </c>
      <c r="D23" s="66" t="s">
        <v>46</v>
      </c>
      <c r="E23" s="9" t="s">
        <v>21</v>
      </c>
      <c r="F23" s="8">
        <f>(INT(Table_Lithuania[[#This Row],[Date]]) - DATE(1970, 1, 1)) * 86400000</f>
        <v>1726617600000</v>
      </c>
      <c r="G23">
        <f>'GMT Glossary'!$B$6</f>
        <v>3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12:00</v>
      </c>
    </row>
    <row r="24" spans="1:9" ht="15.75" x14ac:dyDescent="0.25">
      <c r="A24" s="60">
        <v>45553</v>
      </c>
      <c r="B24" s="51">
        <v>0.375</v>
      </c>
      <c r="C24" s="33" t="s">
        <v>8</v>
      </c>
      <c r="D24" s="44" t="s">
        <v>66</v>
      </c>
      <c r="E24" s="9" t="s">
        <v>72</v>
      </c>
      <c r="F24" s="8">
        <f>(INT(Table_Lithuania[[#This Row],[Date]]) - DATE(1970, 1, 1)) * 86400000</f>
        <v>1726617600000</v>
      </c>
      <c r="G24" s="10">
        <f>'GMT Glossary'!$B$6</f>
        <v>3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12:00</v>
      </c>
    </row>
    <row r="25" spans="1:9" x14ac:dyDescent="0.25">
      <c r="A25" s="64">
        <v>45553</v>
      </c>
      <c r="B25" s="68">
        <v>0.45833333333333331</v>
      </c>
      <c r="C25" s="65" t="s">
        <v>8</v>
      </c>
      <c r="D25" s="66" t="s">
        <v>34</v>
      </c>
      <c r="E25" s="9" t="s">
        <v>21</v>
      </c>
      <c r="F25" s="8">
        <f>(INT(Table_Lithuania[[#This Row],[Date]]) - DATE(1970, 1, 1)) * 86400000</f>
        <v>1726617600000</v>
      </c>
      <c r="G25" s="10">
        <f>'GMT Glossary'!$B$6</f>
        <v>3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14:00</v>
      </c>
    </row>
    <row r="26" spans="1:9" ht="15.75" x14ac:dyDescent="0.25">
      <c r="A26" s="60">
        <v>45553</v>
      </c>
      <c r="B26" s="51">
        <v>0.45833333333333331</v>
      </c>
      <c r="C26" s="33" t="s">
        <v>8</v>
      </c>
      <c r="D26" s="44" t="s">
        <v>162</v>
      </c>
      <c r="E26" s="9" t="s">
        <v>72</v>
      </c>
      <c r="F26" s="8">
        <f>(INT(Table_Lithuania[[#This Row],[Date]]) - DATE(1970, 1, 1)) * 86400000</f>
        <v>1726617600000</v>
      </c>
      <c r="G26" s="10">
        <f>'GMT Glossary'!$B$6</f>
        <v>3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14:00</v>
      </c>
    </row>
    <row r="27" spans="1:9" x14ac:dyDescent="0.25">
      <c r="A27" s="64">
        <v>45553</v>
      </c>
      <c r="B27" s="68">
        <v>0.5</v>
      </c>
      <c r="C27" s="65" t="s">
        <v>8</v>
      </c>
      <c r="D27" s="66" t="s">
        <v>41</v>
      </c>
      <c r="E27" s="9" t="s">
        <v>21</v>
      </c>
      <c r="F27" s="8">
        <f>(INT(Table_Lithuania[[#This Row],[Date]]) - DATE(1970, 1, 1)) * 86400000</f>
        <v>1726617600000</v>
      </c>
      <c r="G27">
        <f>'GMT Glossary'!$B$6</f>
        <v>3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15:00</v>
      </c>
    </row>
    <row r="28" spans="1:9" ht="15.75" x14ac:dyDescent="0.25">
      <c r="A28" s="60">
        <v>45553</v>
      </c>
      <c r="B28" s="51">
        <v>0.5</v>
      </c>
      <c r="C28" s="33" t="s">
        <v>8</v>
      </c>
      <c r="D28" s="44" t="s">
        <v>163</v>
      </c>
      <c r="E28" s="9" t="s">
        <v>72</v>
      </c>
      <c r="F28" s="8">
        <f>(INT(Table_Lithuania[[#This Row],[Date]]) - DATE(1970, 1, 1)) * 86400000</f>
        <v>1726617600000</v>
      </c>
      <c r="G28" s="10">
        <f>'GMT Glossary'!$B$6</f>
        <v>3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15:00</v>
      </c>
    </row>
    <row r="29" spans="1:9" x14ac:dyDescent="0.25">
      <c r="A29" s="64">
        <v>45553</v>
      </c>
      <c r="B29" s="68">
        <v>0.58333333333333337</v>
      </c>
      <c r="C29" s="65" t="s">
        <v>8</v>
      </c>
      <c r="D29" s="66" t="s">
        <v>65</v>
      </c>
      <c r="E29" s="9" t="s">
        <v>21</v>
      </c>
      <c r="F29" s="8">
        <f>(INT(Table_Lithuania[[#This Row],[Date]]) - DATE(1970, 1, 1)) * 86400000</f>
        <v>1726617600000</v>
      </c>
      <c r="G29" s="10">
        <f>'GMT Glossary'!$B$6</f>
        <v>3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17:00</v>
      </c>
    </row>
    <row r="30" spans="1:9" ht="15.75" x14ac:dyDescent="0.25">
      <c r="A30" s="60">
        <v>45553</v>
      </c>
      <c r="B30" s="51">
        <v>0.58333333333333337</v>
      </c>
      <c r="C30" s="33" t="s">
        <v>8</v>
      </c>
      <c r="D30" s="44" t="s">
        <v>68</v>
      </c>
      <c r="E30" s="9" t="s">
        <v>72</v>
      </c>
      <c r="F30" s="8">
        <f>(INT(Table_Lithuania[[#This Row],[Date]]) - DATE(1970, 1, 1)) * 86400000</f>
        <v>1726617600000</v>
      </c>
      <c r="G30" s="10">
        <f>'GMT Glossary'!$B$6</f>
        <v>3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17:00</v>
      </c>
    </row>
    <row r="31" spans="1:9" x14ac:dyDescent="0.25">
      <c r="A31" s="64">
        <v>45553</v>
      </c>
      <c r="B31" s="68">
        <v>0.66666666666666663</v>
      </c>
      <c r="C31" s="65" t="s">
        <v>8</v>
      </c>
      <c r="D31" s="66" t="s">
        <v>125</v>
      </c>
      <c r="E31" s="9" t="s">
        <v>21</v>
      </c>
      <c r="F31" s="8">
        <f>(INT(Table_Lithuania[[#This Row],[Date]]) - DATE(1970, 1, 1)) * 86400000</f>
        <v>1726617600000</v>
      </c>
      <c r="G31" s="10">
        <f>'GMT Glossary'!$B$6</f>
        <v>3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19:00</v>
      </c>
    </row>
    <row r="32" spans="1:9" ht="15.75" x14ac:dyDescent="0.25">
      <c r="A32" s="60">
        <v>45553</v>
      </c>
      <c r="B32" s="51">
        <v>0.66666666666666663</v>
      </c>
      <c r="C32" s="33" t="s">
        <v>8</v>
      </c>
      <c r="D32" s="44" t="s">
        <v>60</v>
      </c>
      <c r="E32" s="9" t="s">
        <v>72</v>
      </c>
      <c r="F32" s="8">
        <f>(INT(Table_Lithuania[[#This Row],[Date]]) - DATE(1970, 1, 1)) * 86400000</f>
        <v>1726617600000</v>
      </c>
      <c r="G32" s="10">
        <f>'GMT Glossary'!$B$6</f>
        <v>3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19:00</v>
      </c>
    </row>
    <row r="33" spans="1:9" x14ac:dyDescent="0.25">
      <c r="A33" s="64">
        <v>45553</v>
      </c>
      <c r="B33" s="68">
        <v>0.75</v>
      </c>
      <c r="C33" s="65" t="s">
        <v>8</v>
      </c>
      <c r="D33" s="66" t="s">
        <v>38</v>
      </c>
      <c r="E33" s="9" t="s">
        <v>21</v>
      </c>
      <c r="F33" s="8">
        <f>(INT(Table_Lithuania[[#This Row],[Date]]) - DATE(1970, 1, 1)) * 86400000</f>
        <v>1726617600000</v>
      </c>
      <c r="G33">
        <f>'GMT Glossary'!$B$6</f>
        <v>3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21:00</v>
      </c>
    </row>
    <row r="34" spans="1:9" ht="15.75" x14ac:dyDescent="0.25">
      <c r="A34" s="60">
        <v>45553</v>
      </c>
      <c r="B34" s="51">
        <v>0.75</v>
      </c>
      <c r="C34" s="33" t="s">
        <v>8</v>
      </c>
      <c r="D34" s="44" t="s">
        <v>65</v>
      </c>
      <c r="E34" s="9" t="s">
        <v>72</v>
      </c>
      <c r="F34" s="8">
        <f>(INT(Table_Lithuania[[#This Row],[Date]]) - DATE(1970, 1, 1)) * 86400000</f>
        <v>1726617600000</v>
      </c>
      <c r="G34" s="10">
        <f>'GMT Glossary'!$B$6</f>
        <v>3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21:00</v>
      </c>
    </row>
    <row r="35" spans="1:9" x14ac:dyDescent="0.25">
      <c r="A35" s="64">
        <v>45553</v>
      </c>
      <c r="B35" s="68">
        <v>0.83333333333333337</v>
      </c>
      <c r="C35" s="65" t="s">
        <v>8</v>
      </c>
      <c r="D35" s="67" t="s">
        <v>126</v>
      </c>
      <c r="E35" s="9" t="s">
        <v>21</v>
      </c>
      <c r="F35" s="8">
        <f>(INT(Table_Lithuania[[#This Row],[Date]]) - DATE(1970, 1, 1)) * 86400000</f>
        <v>1726617600000</v>
      </c>
      <c r="G35" s="10">
        <f>'GMT Glossary'!$B$6</f>
        <v>3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23:00</v>
      </c>
    </row>
    <row r="36" spans="1:9" ht="15.75" x14ac:dyDescent="0.25">
      <c r="A36" s="60">
        <v>45553</v>
      </c>
      <c r="B36" s="51">
        <v>0.83333333333333337</v>
      </c>
      <c r="C36" s="33" t="s">
        <v>8</v>
      </c>
      <c r="D36" s="44" t="s">
        <v>46</v>
      </c>
      <c r="E36" s="9" t="s">
        <v>72</v>
      </c>
      <c r="F36" s="8">
        <f>(INT(Table_Lithuania[[#This Row],[Date]]) - DATE(1970, 1, 1)) * 86400000</f>
        <v>1726617600000</v>
      </c>
      <c r="G36" s="10">
        <f>'GMT Glossary'!$B$6</f>
        <v>3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23:00</v>
      </c>
    </row>
    <row r="37" spans="1:9" x14ac:dyDescent="0.25">
      <c r="A37" s="64">
        <v>45553</v>
      </c>
      <c r="B37" s="68">
        <v>0.91666666666666663</v>
      </c>
      <c r="C37" s="65" t="s">
        <v>8</v>
      </c>
      <c r="D37" s="66" t="s">
        <v>120</v>
      </c>
      <c r="E37" s="9" t="s">
        <v>21</v>
      </c>
      <c r="F37" s="8">
        <f>(INT(Table_Lithuania[[#This Row],[Date]]) - DATE(1970, 1, 1)) * 86400000</f>
        <v>1726617600000</v>
      </c>
      <c r="G37">
        <f>'GMT Glossary'!$B$6</f>
        <v>3</v>
      </c>
      <c r="H37" s="2" t="str">
        <f>TEXT(IF(B37&lt;0, A37+1+((B37+(G37/24))-(INT(B37+(G37/24)))), A37+(B37+(G37/24))), "yyyy-mm-dd")</f>
        <v>2024-09-19</v>
      </c>
      <c r="I37" s="2" t="str">
        <f>TEXT(IF(B37&lt;0, A37+1+((B37+(G37/24))-(INT(B37+(G37/24)))), A37+(B37+(G37/24))), "hh:mm")</f>
        <v>01:00</v>
      </c>
    </row>
    <row r="38" spans="1:9" ht="15.75" x14ac:dyDescent="0.25">
      <c r="A38" s="60">
        <v>45553</v>
      </c>
      <c r="B38" s="51">
        <v>0.91666666666666663</v>
      </c>
      <c r="C38" s="33" t="s">
        <v>8</v>
      </c>
      <c r="D38" s="44" t="s">
        <v>69</v>
      </c>
      <c r="E38" s="9" t="s">
        <v>72</v>
      </c>
      <c r="F38" s="8">
        <f>(INT(Table_Lithuania[[#This Row],[Date]]) - DATE(1970, 1, 1)) * 86400000</f>
        <v>1726617600000</v>
      </c>
      <c r="G38" s="10">
        <f>'GMT Glossary'!$B$6</f>
        <v>3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01:00</v>
      </c>
    </row>
    <row r="39" spans="1:9" x14ac:dyDescent="0.25">
      <c r="A39" s="64">
        <v>45553</v>
      </c>
      <c r="B39" s="68">
        <v>0.95833333333333337</v>
      </c>
      <c r="C39" s="65" t="s">
        <v>8</v>
      </c>
      <c r="D39" s="66" t="s">
        <v>42</v>
      </c>
      <c r="E39" s="9" t="s">
        <v>21</v>
      </c>
      <c r="F39" s="8">
        <f>(INT(Table_Lithuania[[#This Row],[Date]]) - DATE(1970, 1, 1)) * 86400000</f>
        <v>1726617600000</v>
      </c>
      <c r="G39" s="10">
        <f>'GMT Glossary'!$B$6</f>
        <v>3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02:00</v>
      </c>
    </row>
    <row r="40" spans="1:9" ht="15.75" x14ac:dyDescent="0.25">
      <c r="A40" s="60">
        <v>45554</v>
      </c>
      <c r="B40" s="51">
        <v>0</v>
      </c>
      <c r="C40" s="33" t="s">
        <v>8</v>
      </c>
      <c r="D40" s="44" t="s">
        <v>33</v>
      </c>
      <c r="E40" s="9" t="s">
        <v>72</v>
      </c>
      <c r="F40" s="8">
        <f>(INT(Table_Lithuania[[#This Row],[Date]]) - DATE(1970, 1, 1)) * 86400000</f>
        <v>1726704000000</v>
      </c>
      <c r="G40" s="10">
        <f>'GMT Glossary'!$B$6</f>
        <v>3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03:00</v>
      </c>
    </row>
    <row r="41" spans="1:9" x14ac:dyDescent="0.25">
      <c r="A41" s="64">
        <v>45554</v>
      </c>
      <c r="B41" s="68">
        <v>4.1666666666666664E-2</v>
      </c>
      <c r="C41" s="65" t="s">
        <v>8</v>
      </c>
      <c r="D41" s="66" t="s">
        <v>35</v>
      </c>
      <c r="E41" s="9" t="s">
        <v>21</v>
      </c>
      <c r="F41" s="8">
        <f>(INT(Table_Lithuania[[#This Row],[Date]]) - DATE(1970, 1, 1)) * 86400000</f>
        <v>1726704000000</v>
      </c>
      <c r="G41">
        <f>'GMT Glossary'!$B$6</f>
        <v>3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04:00</v>
      </c>
    </row>
    <row r="42" spans="1:9" ht="15.75" x14ac:dyDescent="0.25">
      <c r="A42" s="60">
        <v>45554</v>
      </c>
      <c r="B42" s="51">
        <v>8.3333333333333329E-2</v>
      </c>
      <c r="C42" s="33" t="s">
        <v>8</v>
      </c>
      <c r="D42" s="44" t="s">
        <v>62</v>
      </c>
      <c r="E42" s="9" t="s">
        <v>72</v>
      </c>
      <c r="F42" s="8">
        <f>(INT(Table_Lithuania[[#This Row],[Date]]) - DATE(1970, 1, 1)) * 86400000</f>
        <v>1726704000000</v>
      </c>
      <c r="G42" s="10">
        <f>'GMT Glossary'!$B$6</f>
        <v>3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05:00</v>
      </c>
    </row>
    <row r="43" spans="1:9" x14ac:dyDescent="0.25">
      <c r="A43" s="64">
        <v>45554</v>
      </c>
      <c r="B43" s="68">
        <v>0.125</v>
      </c>
      <c r="C43" s="65" t="s">
        <v>8</v>
      </c>
      <c r="D43" s="66" t="s">
        <v>36</v>
      </c>
      <c r="E43" s="9" t="s">
        <v>21</v>
      </c>
      <c r="F43" s="8">
        <f>(INT(Table_Lithuania[[#This Row],[Date]]) - DATE(1970, 1, 1)) * 86400000</f>
        <v>1726704000000</v>
      </c>
      <c r="G43">
        <f>'GMT Glossary'!$B$6</f>
        <v>3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06:00</v>
      </c>
    </row>
    <row r="44" spans="1:9" ht="15.75" x14ac:dyDescent="0.25">
      <c r="A44" s="60">
        <v>45554</v>
      </c>
      <c r="B44" s="51">
        <v>0.16666666666666666</v>
      </c>
      <c r="C44" s="33" t="s">
        <v>398</v>
      </c>
      <c r="D44" s="44" t="s">
        <v>52</v>
      </c>
      <c r="E44" s="9" t="s">
        <v>72</v>
      </c>
      <c r="F44" s="8">
        <f>(INT(Table_Lithuania[[#This Row],[Date]]) - DATE(1970, 1, 1)) * 86400000</f>
        <v>1726704000000</v>
      </c>
      <c r="G44" s="10">
        <f>'GMT Glossary'!$B$6</f>
        <v>3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07:00</v>
      </c>
    </row>
    <row r="45" spans="1:9" x14ac:dyDescent="0.25">
      <c r="A45" s="64">
        <v>45554</v>
      </c>
      <c r="B45" s="68">
        <v>0.20833333333333334</v>
      </c>
      <c r="C45" s="65" t="s">
        <v>8</v>
      </c>
      <c r="D45" s="66" t="s">
        <v>37</v>
      </c>
      <c r="E45" s="9" t="s">
        <v>21</v>
      </c>
      <c r="F45" s="8">
        <f>(INT(Table_Lithuania[[#This Row],[Date]]) - DATE(1970, 1, 1)) * 86400000</f>
        <v>1726704000000</v>
      </c>
      <c r="G45" s="10">
        <f>'GMT Glossary'!$B$6</f>
        <v>3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08:00</v>
      </c>
    </row>
    <row r="46" spans="1:9" ht="15.75" x14ac:dyDescent="0.25">
      <c r="A46" s="60">
        <v>45554</v>
      </c>
      <c r="B46" s="51">
        <v>0.25</v>
      </c>
      <c r="C46" s="33" t="s">
        <v>8</v>
      </c>
      <c r="D46" s="44" t="s">
        <v>41</v>
      </c>
      <c r="E46" s="9" t="s">
        <v>72</v>
      </c>
      <c r="F46" s="8">
        <f>(INT(Table_Lithuania[[#This Row],[Date]]) - DATE(1970, 1, 1)) * 86400000</f>
        <v>1726704000000</v>
      </c>
      <c r="G46" s="10">
        <f>'GMT Glossary'!$B$6</f>
        <v>3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09:00</v>
      </c>
    </row>
    <row r="47" spans="1:9" x14ac:dyDescent="0.25">
      <c r="A47" s="64">
        <v>45554</v>
      </c>
      <c r="B47" s="68">
        <v>0.29166666666666669</v>
      </c>
      <c r="C47" s="65" t="s">
        <v>8</v>
      </c>
      <c r="D47" s="66" t="s">
        <v>66</v>
      </c>
      <c r="E47" s="9" t="s">
        <v>21</v>
      </c>
      <c r="F47" s="8">
        <f>(INT(Table_Lithuania[[#This Row],[Date]]) - DATE(1970, 1, 1)) * 86400000</f>
        <v>1726704000000</v>
      </c>
      <c r="G47">
        <f>'GMT Glossary'!$B$6</f>
        <v>3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10:00</v>
      </c>
    </row>
    <row r="48" spans="1:9" ht="15.75" x14ac:dyDescent="0.25">
      <c r="A48" s="60">
        <v>45554</v>
      </c>
      <c r="B48" s="51">
        <v>0.33333333333333331</v>
      </c>
      <c r="C48" s="33" t="s">
        <v>8</v>
      </c>
      <c r="D48" s="44" t="s">
        <v>35</v>
      </c>
      <c r="E48" s="9" t="s">
        <v>72</v>
      </c>
      <c r="F48" s="8">
        <f>(INT(Table_Lithuania[[#This Row],[Date]]) - DATE(1970, 1, 1)) * 86400000</f>
        <v>1726704000000</v>
      </c>
      <c r="G48" s="10">
        <f>'GMT Glossary'!$B$6</f>
        <v>3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11:00</v>
      </c>
    </row>
    <row r="49" spans="1:9" x14ac:dyDescent="0.25">
      <c r="A49" s="64">
        <v>45554</v>
      </c>
      <c r="B49" s="68">
        <v>0.375</v>
      </c>
      <c r="C49" s="65" t="s">
        <v>8</v>
      </c>
      <c r="D49" s="66" t="s">
        <v>68</v>
      </c>
      <c r="E49" s="9" t="s">
        <v>21</v>
      </c>
      <c r="F49" s="8">
        <f>(INT(Table_Lithuania[[#This Row],[Date]]) - DATE(1970, 1, 1)) * 86400000</f>
        <v>1726704000000</v>
      </c>
      <c r="G49" s="10">
        <f>'GMT Glossary'!$B$6</f>
        <v>3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12:00</v>
      </c>
    </row>
    <row r="50" spans="1:9" ht="15.75" x14ac:dyDescent="0.25">
      <c r="A50" s="60">
        <v>45554</v>
      </c>
      <c r="B50" s="51">
        <v>0.41666666666666669</v>
      </c>
      <c r="C50" s="33" t="s">
        <v>8</v>
      </c>
      <c r="D50" s="44" t="s">
        <v>59</v>
      </c>
      <c r="E50" s="9" t="s">
        <v>72</v>
      </c>
      <c r="F50" s="8">
        <f>(INT(Table_Lithuania[[#This Row],[Date]]) - DATE(1970, 1, 1)) * 86400000</f>
        <v>1726704000000</v>
      </c>
      <c r="G50" s="10">
        <f>'GMT Glossary'!$B$6</f>
        <v>3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13:00</v>
      </c>
    </row>
    <row r="51" spans="1:9" x14ac:dyDescent="0.25">
      <c r="A51" s="64">
        <v>45554</v>
      </c>
      <c r="B51" s="68">
        <v>0.45833333333333331</v>
      </c>
      <c r="C51" s="65" t="s">
        <v>8</v>
      </c>
      <c r="D51" s="66" t="s">
        <v>120</v>
      </c>
      <c r="E51" s="9" t="s">
        <v>21</v>
      </c>
      <c r="F51" s="8">
        <f>(INT(Table_Lithuania[[#This Row],[Date]]) - DATE(1970, 1, 1)) * 86400000</f>
        <v>1726704000000</v>
      </c>
      <c r="G51">
        <f>'GMT Glossary'!$B$6</f>
        <v>3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14:00</v>
      </c>
    </row>
    <row r="52" spans="1:9" ht="15.75" x14ac:dyDescent="0.25">
      <c r="A52" s="60">
        <v>45554</v>
      </c>
      <c r="B52" s="51">
        <v>0.45833333333333331</v>
      </c>
      <c r="C52" s="33" t="s">
        <v>8</v>
      </c>
      <c r="D52" s="44" t="s">
        <v>164</v>
      </c>
      <c r="E52" s="9" t="s">
        <v>72</v>
      </c>
      <c r="F52" s="8">
        <f>(INT(Table_Lithuania[[#This Row],[Date]]) - DATE(1970, 1, 1)) * 86400000</f>
        <v>1726704000000</v>
      </c>
      <c r="G52" s="10">
        <f>'GMT Glossary'!$B$6</f>
        <v>3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14:00</v>
      </c>
    </row>
    <row r="53" spans="1:9" x14ac:dyDescent="0.25">
      <c r="A53" s="64">
        <v>45554</v>
      </c>
      <c r="B53" s="68">
        <v>0.5</v>
      </c>
      <c r="C53" s="65" t="s">
        <v>8</v>
      </c>
      <c r="D53" s="69" t="s">
        <v>44</v>
      </c>
      <c r="E53" s="9" t="s">
        <v>21</v>
      </c>
      <c r="F53" s="8">
        <f>(INT(Table_Lithuania[[#This Row],[Date]]) - DATE(1970, 1, 1)) * 86400000</f>
        <v>1726704000000</v>
      </c>
      <c r="G53" s="10">
        <f>'GMT Glossary'!$B$6</f>
        <v>3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15:00</v>
      </c>
    </row>
    <row r="54" spans="1:9" ht="15.75" x14ac:dyDescent="0.25">
      <c r="A54" s="60">
        <v>45554</v>
      </c>
      <c r="B54" s="51">
        <v>0.5</v>
      </c>
      <c r="C54" s="33" t="s">
        <v>8</v>
      </c>
      <c r="D54" s="44" t="s">
        <v>48</v>
      </c>
      <c r="E54" s="9" t="s">
        <v>72</v>
      </c>
      <c r="F54" s="8">
        <f>(INT(Table_Lithuania[[#This Row],[Date]]) - DATE(1970, 1, 1)) * 86400000</f>
        <v>1726704000000</v>
      </c>
      <c r="G54" s="10">
        <f>'GMT Glossary'!$B$6</f>
        <v>3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15:00</v>
      </c>
    </row>
    <row r="55" spans="1:9" x14ac:dyDescent="0.25">
      <c r="A55" s="64">
        <v>45554</v>
      </c>
      <c r="B55" s="68">
        <v>0.58333333333333337</v>
      </c>
      <c r="C55" s="65" t="s">
        <v>8</v>
      </c>
      <c r="D55" s="66" t="s">
        <v>49</v>
      </c>
      <c r="E55" s="9" t="s">
        <v>21</v>
      </c>
      <c r="F55" s="8">
        <f>(INT(Table_Lithuania[[#This Row],[Date]]) - DATE(1970, 1, 1)) * 86400000</f>
        <v>1726704000000</v>
      </c>
      <c r="G55">
        <f>'GMT Glossary'!$B$6</f>
        <v>3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17:00</v>
      </c>
    </row>
    <row r="56" spans="1:9" ht="15.75" x14ac:dyDescent="0.25">
      <c r="A56" s="60">
        <v>45554</v>
      </c>
      <c r="B56" s="51">
        <v>0.58333333333333337</v>
      </c>
      <c r="C56" s="33" t="s">
        <v>8</v>
      </c>
      <c r="D56" s="44" t="s">
        <v>51</v>
      </c>
      <c r="E56" s="9" t="s">
        <v>72</v>
      </c>
      <c r="F56" s="8">
        <f>(INT(Table_Lithuania[[#This Row],[Date]]) - DATE(1970, 1, 1)) * 86400000</f>
        <v>1726704000000</v>
      </c>
      <c r="G56" s="10">
        <f>'GMT Glossary'!$B$6</f>
        <v>3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17:00</v>
      </c>
    </row>
    <row r="57" spans="1:9" x14ac:dyDescent="0.25">
      <c r="A57" s="64">
        <v>45554</v>
      </c>
      <c r="B57" s="68">
        <v>0.66666666666666663</v>
      </c>
      <c r="C57" s="65" t="s">
        <v>399</v>
      </c>
      <c r="D57" s="69" t="s">
        <v>32</v>
      </c>
      <c r="E57" s="9" t="s">
        <v>21</v>
      </c>
      <c r="F57" s="8">
        <f>(INT(Table_Lithuania[[#This Row],[Date]]) - DATE(1970, 1, 1)) * 86400000</f>
        <v>1726704000000</v>
      </c>
      <c r="G57" s="10">
        <f>'GMT Glossary'!$B$6</f>
        <v>3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19:00</v>
      </c>
    </row>
    <row r="58" spans="1:9" ht="15.75" x14ac:dyDescent="0.25">
      <c r="A58" s="60">
        <v>45554</v>
      </c>
      <c r="B58" s="51">
        <v>0.66666666666666663</v>
      </c>
      <c r="C58" s="33" t="s">
        <v>8</v>
      </c>
      <c r="D58" s="44" t="s">
        <v>165</v>
      </c>
      <c r="E58" s="9" t="s">
        <v>72</v>
      </c>
      <c r="F58" s="8">
        <f>(INT(Table_Lithuania[[#This Row],[Date]]) - DATE(1970, 1, 1)) * 86400000</f>
        <v>1726704000000</v>
      </c>
      <c r="G58" s="10">
        <f>'GMT Glossary'!$B$6</f>
        <v>3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19:00</v>
      </c>
    </row>
    <row r="59" spans="1:9" ht="15.75" x14ac:dyDescent="0.25">
      <c r="A59" s="60">
        <v>45554</v>
      </c>
      <c r="B59" s="51">
        <v>0.75</v>
      </c>
      <c r="C59" s="33" t="s">
        <v>400</v>
      </c>
      <c r="D59" s="44" t="s">
        <v>54</v>
      </c>
      <c r="E59" s="9" t="s">
        <v>72</v>
      </c>
      <c r="F59" s="8">
        <f>(INT(Table_Lithuania[[#This Row],[Date]]) - DATE(1970, 1, 1)) * 86400000</f>
        <v>1726704000000</v>
      </c>
      <c r="G59" s="10">
        <f>'GMT Glossary'!$B$6</f>
        <v>3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21:00</v>
      </c>
    </row>
    <row r="60" spans="1:9" x14ac:dyDescent="0.25">
      <c r="A60" s="64">
        <v>45554</v>
      </c>
      <c r="B60" s="68">
        <v>0.79166666666666663</v>
      </c>
      <c r="C60" s="65" t="s">
        <v>8</v>
      </c>
      <c r="D60" s="66" t="s">
        <v>34</v>
      </c>
      <c r="E60" s="9" t="s">
        <v>21</v>
      </c>
      <c r="F60" s="8">
        <f>(INT(Table_Lithuania[[#This Row],[Date]]) - DATE(1970, 1, 1)) * 86400000</f>
        <v>1726704000000</v>
      </c>
      <c r="G60">
        <f>'GMT Glossary'!$B$6</f>
        <v>3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22:00</v>
      </c>
    </row>
    <row r="61" spans="1:9" x14ac:dyDescent="0.25">
      <c r="A61" s="64">
        <v>45554</v>
      </c>
      <c r="B61" s="68">
        <v>0.83333333333333337</v>
      </c>
      <c r="C61" s="65" t="s">
        <v>8</v>
      </c>
      <c r="D61" s="67" t="s">
        <v>127</v>
      </c>
      <c r="E61" s="9" t="s">
        <v>21</v>
      </c>
      <c r="F61" s="8">
        <f>(INT(Table_Lithuania[[#This Row],[Date]]) - DATE(1970, 1, 1)) * 86400000</f>
        <v>1726704000000</v>
      </c>
      <c r="G61" s="10">
        <f>'GMT Glossary'!$B$6</f>
        <v>3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23:00</v>
      </c>
    </row>
    <row r="62" spans="1:9" ht="15.75" x14ac:dyDescent="0.25">
      <c r="A62" s="60">
        <v>45554</v>
      </c>
      <c r="B62" s="51">
        <v>0.875</v>
      </c>
      <c r="C62" s="33" t="s">
        <v>8</v>
      </c>
      <c r="D62" s="44" t="s">
        <v>166</v>
      </c>
      <c r="E62" s="9" t="s">
        <v>72</v>
      </c>
      <c r="F62" s="8">
        <f>(INT(Table_Lithuania[[#This Row],[Date]]) - DATE(1970, 1, 1)) * 86400000</f>
        <v>1726704000000</v>
      </c>
      <c r="G62" s="10">
        <f>'GMT Glossary'!$B$6</f>
        <v>3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00:00</v>
      </c>
    </row>
    <row r="63" spans="1:9" x14ac:dyDescent="0.25">
      <c r="A63" s="64">
        <v>45554</v>
      </c>
      <c r="B63" s="68">
        <v>0.91666666666666663</v>
      </c>
      <c r="C63" s="65" t="s">
        <v>398</v>
      </c>
      <c r="D63" s="69" t="s">
        <v>123</v>
      </c>
      <c r="E63" s="9" t="s">
        <v>21</v>
      </c>
      <c r="F63" s="8">
        <f>(INT(Table_Lithuania[[#This Row],[Date]]) - DATE(1970, 1, 1)) * 86400000</f>
        <v>1726704000000</v>
      </c>
      <c r="G63">
        <f>'GMT Glossary'!$B$6</f>
        <v>3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01:00</v>
      </c>
    </row>
    <row r="64" spans="1:9" ht="15.75" x14ac:dyDescent="0.25">
      <c r="A64" s="60">
        <v>45554</v>
      </c>
      <c r="B64" s="51">
        <v>0.95833333333333337</v>
      </c>
      <c r="C64" s="33" t="s">
        <v>8</v>
      </c>
      <c r="D64" s="44" t="s">
        <v>125</v>
      </c>
      <c r="E64" s="9" t="s">
        <v>72</v>
      </c>
      <c r="F64" s="8">
        <f>(INT(Table_Lithuania[[#This Row],[Date]]) - DATE(1970, 1, 1)) * 86400000</f>
        <v>1726704000000</v>
      </c>
      <c r="G64" s="10">
        <f>'GMT Glossary'!$B$6</f>
        <v>3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02:00</v>
      </c>
    </row>
    <row r="65" spans="1:9" x14ac:dyDescent="0.25">
      <c r="A65" s="64">
        <v>45555</v>
      </c>
      <c r="B65" s="68">
        <v>4.1666666666666664E-2</v>
      </c>
      <c r="C65" s="65" t="s">
        <v>8</v>
      </c>
      <c r="D65" s="66" t="s">
        <v>128</v>
      </c>
      <c r="E65" s="9" t="s">
        <v>21</v>
      </c>
      <c r="F65" s="8">
        <f>(INT(Table_Lithuania[[#This Row],[Date]]) - DATE(1970, 1, 1)) * 86400000</f>
        <v>1726790400000</v>
      </c>
      <c r="G65" s="10">
        <f>'GMT Glossary'!$B$6</f>
        <v>3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04:00</v>
      </c>
    </row>
    <row r="66" spans="1:9" ht="15.75" x14ac:dyDescent="0.25">
      <c r="A66" s="60">
        <v>45555</v>
      </c>
      <c r="B66" s="51">
        <v>4.1666666666666664E-2</v>
      </c>
      <c r="C66" s="33" t="s">
        <v>8</v>
      </c>
      <c r="D66" s="44" t="s">
        <v>55</v>
      </c>
      <c r="E66" s="9" t="s">
        <v>72</v>
      </c>
      <c r="F66" s="8">
        <f>(INT(Table_Lithuania[[#This Row],[Date]]) - DATE(1970, 1, 1)) * 86400000</f>
        <v>1726790400000</v>
      </c>
      <c r="G66" s="10">
        <f>'GMT Glossary'!$B$6</f>
        <v>3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04:00</v>
      </c>
    </row>
    <row r="67" spans="1:9" ht="15.75" x14ac:dyDescent="0.25">
      <c r="A67" s="60">
        <v>45555</v>
      </c>
      <c r="B67" s="51">
        <v>8.3333333333333329E-2</v>
      </c>
      <c r="C67" s="33" t="s">
        <v>8</v>
      </c>
      <c r="D67" s="44" t="s">
        <v>160</v>
      </c>
      <c r="E67" s="9" t="s">
        <v>72</v>
      </c>
      <c r="F67" s="8">
        <f>(INT(Table_Lithuania[[#This Row],[Date]]) - DATE(1970, 1, 1)) * 86400000</f>
        <v>1726790400000</v>
      </c>
      <c r="G67" s="10">
        <f>'GMT Glossary'!$B$6</f>
        <v>3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05:00</v>
      </c>
    </row>
    <row r="68" spans="1:9" x14ac:dyDescent="0.25">
      <c r="A68" s="64">
        <v>45555</v>
      </c>
      <c r="B68" s="68">
        <v>0.125</v>
      </c>
      <c r="C68" s="65" t="s">
        <v>8</v>
      </c>
      <c r="D68" s="66" t="s">
        <v>129</v>
      </c>
      <c r="E68" s="9" t="s">
        <v>21</v>
      </c>
      <c r="F68" s="8">
        <f>(INT(Table_Lithuania[[#This Row],[Date]]) - DATE(1970, 1, 1)) * 86400000</f>
        <v>1726790400000</v>
      </c>
      <c r="G68">
        <f>'GMT Glossary'!$B$6</f>
        <v>3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06:00</v>
      </c>
    </row>
    <row r="69" spans="1:9" ht="15.75" x14ac:dyDescent="0.25">
      <c r="A69" s="60">
        <v>45555</v>
      </c>
      <c r="B69" s="51">
        <v>0.16666666666666666</v>
      </c>
      <c r="C69" s="33" t="s">
        <v>398</v>
      </c>
      <c r="D69" s="44" t="s">
        <v>57</v>
      </c>
      <c r="E69" s="9" t="s">
        <v>72</v>
      </c>
      <c r="F69" s="8">
        <f>(INT(Table_Lithuania[[#This Row],[Date]]) - DATE(1970, 1, 1)) * 86400000</f>
        <v>1726790400000</v>
      </c>
      <c r="G69" s="10">
        <f>'GMT Glossary'!$B$6</f>
        <v>3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07:00</v>
      </c>
    </row>
    <row r="70" spans="1:9" x14ac:dyDescent="0.25">
      <c r="A70" s="64">
        <v>45555</v>
      </c>
      <c r="B70" s="68">
        <v>0.20833333333333334</v>
      </c>
      <c r="C70" s="65" t="s">
        <v>8</v>
      </c>
      <c r="D70" s="66" t="s">
        <v>70</v>
      </c>
      <c r="E70" s="9" t="s">
        <v>21</v>
      </c>
      <c r="F70" s="8">
        <f>(INT(Table_Lithuania[[#This Row],[Date]]) - DATE(1970, 1, 1)) * 86400000</f>
        <v>1726790400000</v>
      </c>
      <c r="G70" s="10">
        <f>'GMT Glossary'!$B$6</f>
        <v>3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08:00</v>
      </c>
    </row>
    <row r="71" spans="1:9" x14ac:dyDescent="0.25">
      <c r="A71" s="64">
        <v>45555</v>
      </c>
      <c r="B71" s="68">
        <v>0.29166666666666669</v>
      </c>
      <c r="C71" s="65" t="s">
        <v>8</v>
      </c>
      <c r="D71" s="66" t="s">
        <v>35</v>
      </c>
      <c r="E71" s="9" t="s">
        <v>21</v>
      </c>
      <c r="F71" s="8">
        <f>(INT(Table_Lithuania[[#This Row],[Date]]) - DATE(1970, 1, 1)) * 86400000</f>
        <v>1726790400000</v>
      </c>
      <c r="G71">
        <f>'GMT Glossary'!$B$6</f>
        <v>3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10:00</v>
      </c>
    </row>
    <row r="72" spans="1:9" ht="15.75" x14ac:dyDescent="0.25">
      <c r="A72" s="60">
        <v>45555</v>
      </c>
      <c r="B72" s="51">
        <v>0.29166666666666669</v>
      </c>
      <c r="C72" s="33" t="s">
        <v>8</v>
      </c>
      <c r="D72" s="44" t="s">
        <v>30</v>
      </c>
      <c r="E72" s="9" t="s">
        <v>72</v>
      </c>
      <c r="F72" s="8">
        <f>(INT(Table_Lithuania[[#This Row],[Date]]) - DATE(1970, 1, 1)) * 86400000</f>
        <v>1726790400000</v>
      </c>
      <c r="G72" s="10">
        <f>'GMT Glossary'!$B$6</f>
        <v>3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10:00</v>
      </c>
    </row>
    <row r="73" spans="1:9" x14ac:dyDescent="0.25">
      <c r="A73" s="64">
        <v>45555</v>
      </c>
      <c r="B73" s="68">
        <v>0.375</v>
      </c>
      <c r="C73" s="65" t="s">
        <v>398</v>
      </c>
      <c r="D73" s="67" t="s">
        <v>130</v>
      </c>
      <c r="E73" s="9" t="s">
        <v>21</v>
      </c>
      <c r="F73" s="8">
        <f>(INT(Table_Lithuania[[#This Row],[Date]]) - DATE(1970, 1, 1)) * 86400000</f>
        <v>1726790400000</v>
      </c>
      <c r="G73" s="10">
        <f>'GMT Glossary'!$B$6</f>
        <v>3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12:00</v>
      </c>
    </row>
    <row r="74" spans="1:9" ht="15.75" x14ac:dyDescent="0.25">
      <c r="A74" s="60">
        <v>45555</v>
      </c>
      <c r="B74" s="51">
        <v>0.375</v>
      </c>
      <c r="C74" s="33" t="s">
        <v>8</v>
      </c>
      <c r="D74" s="44" t="s">
        <v>50</v>
      </c>
      <c r="E74" s="9" t="s">
        <v>72</v>
      </c>
      <c r="F74" s="8">
        <f>(INT(Table_Lithuania[[#This Row],[Date]]) - DATE(1970, 1, 1)) * 86400000</f>
        <v>1726790400000</v>
      </c>
      <c r="G74" s="10">
        <f>'GMT Glossary'!$B$6</f>
        <v>3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12:00</v>
      </c>
    </row>
    <row r="75" spans="1:9" x14ac:dyDescent="0.25">
      <c r="A75" s="64">
        <v>45555</v>
      </c>
      <c r="B75" s="68">
        <v>0.4375</v>
      </c>
      <c r="C75" s="65" t="s">
        <v>398</v>
      </c>
      <c r="D75" s="67" t="s">
        <v>130</v>
      </c>
      <c r="E75" s="9" t="s">
        <v>21</v>
      </c>
      <c r="F75" s="8">
        <f>(INT(Table_Lithuania[[#This Row],[Date]]) - DATE(1970, 1, 1)) * 86400000</f>
        <v>1726790400000</v>
      </c>
      <c r="G75">
        <f>'GMT Glossary'!$B$6</f>
        <v>3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13:30</v>
      </c>
    </row>
    <row r="76" spans="1:9" ht="15.75" x14ac:dyDescent="0.25">
      <c r="A76" s="60">
        <v>45555</v>
      </c>
      <c r="B76" s="51">
        <v>0.45833333333333331</v>
      </c>
      <c r="C76" s="33" t="s">
        <v>8</v>
      </c>
      <c r="D76" s="44" t="s">
        <v>167</v>
      </c>
      <c r="E76" s="9" t="s">
        <v>72</v>
      </c>
      <c r="F76" s="8">
        <f>(INT(Table_Lithuania[[#This Row],[Date]]) - DATE(1970, 1, 1)) * 86400000</f>
        <v>1726790400000</v>
      </c>
      <c r="G76" s="10">
        <f>'GMT Glossary'!$B$6</f>
        <v>3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14:00</v>
      </c>
    </row>
    <row r="77" spans="1:9" x14ac:dyDescent="0.25">
      <c r="A77" s="64">
        <v>45555</v>
      </c>
      <c r="B77" s="68">
        <v>0.5</v>
      </c>
      <c r="C77" s="65" t="s">
        <v>398</v>
      </c>
      <c r="D77" s="67" t="s">
        <v>130</v>
      </c>
      <c r="E77" s="9" t="s">
        <v>21</v>
      </c>
      <c r="F77" s="8">
        <f>(INT(Table_Lithuania[[#This Row],[Date]]) - DATE(1970, 1, 1)) * 86400000</f>
        <v>1726790400000</v>
      </c>
      <c r="G77" s="10">
        <f>'GMT Glossary'!$B$6</f>
        <v>3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15:00</v>
      </c>
    </row>
    <row r="78" spans="1:9" ht="15.75" x14ac:dyDescent="0.25">
      <c r="A78" s="60">
        <v>45555</v>
      </c>
      <c r="B78" s="51">
        <v>0.5</v>
      </c>
      <c r="C78" s="33" t="s">
        <v>8</v>
      </c>
      <c r="D78" s="44" t="s">
        <v>168</v>
      </c>
      <c r="E78" s="9" t="s">
        <v>72</v>
      </c>
      <c r="F78" s="8">
        <f>(INT(Table_Lithuania[[#This Row],[Date]]) - DATE(1970, 1, 1)) * 86400000</f>
        <v>1726790400000</v>
      </c>
      <c r="G78" s="10">
        <f>'GMT Glossary'!$B$6</f>
        <v>3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15:00</v>
      </c>
    </row>
    <row r="79" spans="1:9" x14ac:dyDescent="0.25">
      <c r="A79" s="64">
        <v>45555</v>
      </c>
      <c r="B79" s="68">
        <v>0.58333333333333337</v>
      </c>
      <c r="C79" s="65" t="s">
        <v>398</v>
      </c>
      <c r="D79" s="67" t="s">
        <v>130</v>
      </c>
      <c r="E79" s="9" t="s">
        <v>21</v>
      </c>
      <c r="F79" s="8">
        <f>(INT(Table_Lithuania[[#This Row],[Date]]) - DATE(1970, 1, 1)) * 86400000</f>
        <v>1726790400000</v>
      </c>
      <c r="G79">
        <f>'GMT Glossary'!$B$6</f>
        <v>3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17:00</v>
      </c>
    </row>
    <row r="80" spans="1:9" ht="15.75" x14ac:dyDescent="0.25">
      <c r="A80" s="60">
        <v>45555</v>
      </c>
      <c r="B80" s="51">
        <v>0.58333333333333337</v>
      </c>
      <c r="C80" s="33" t="s">
        <v>8</v>
      </c>
      <c r="D80" s="44" t="s">
        <v>70</v>
      </c>
      <c r="E80" s="9" t="s">
        <v>72</v>
      </c>
      <c r="F80" s="8">
        <f>(INT(Table_Lithuania[[#This Row],[Date]]) - DATE(1970, 1, 1)) * 86400000</f>
        <v>1726790400000</v>
      </c>
      <c r="G80" s="10">
        <f>'GMT Glossary'!$B$6</f>
        <v>3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17:00</v>
      </c>
    </row>
    <row r="81" spans="1:9" x14ac:dyDescent="0.25">
      <c r="A81" s="64">
        <v>45555</v>
      </c>
      <c r="B81" s="68">
        <v>0.66666666666666663</v>
      </c>
      <c r="C81" s="65" t="s">
        <v>8</v>
      </c>
      <c r="D81" s="70" t="s">
        <v>23</v>
      </c>
      <c r="E81" s="9" t="s">
        <v>21</v>
      </c>
      <c r="F81" s="8">
        <f>(INT(Table_Lithuania[[#This Row],[Date]]) - DATE(1970, 1, 1)) * 86400000</f>
        <v>1726790400000</v>
      </c>
      <c r="G81" s="10">
        <f>'GMT Glossary'!$B$6</f>
        <v>3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19:00</v>
      </c>
    </row>
    <row r="82" spans="1:9" ht="15.75" x14ac:dyDescent="0.25">
      <c r="A82" s="60">
        <v>45555</v>
      </c>
      <c r="B82" s="51">
        <v>0.66666666666666663</v>
      </c>
      <c r="C82" s="33" t="s">
        <v>8</v>
      </c>
      <c r="D82" s="44" t="s">
        <v>47</v>
      </c>
      <c r="E82" s="9" t="s">
        <v>72</v>
      </c>
      <c r="F82" s="8">
        <f>(INT(Table_Lithuania[[#This Row],[Date]]) - DATE(1970, 1, 1)) * 86400000</f>
        <v>1726790400000</v>
      </c>
      <c r="G82" s="10">
        <f>'GMT Glossary'!$B$6</f>
        <v>3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19:00</v>
      </c>
    </row>
    <row r="83" spans="1:9" x14ac:dyDescent="0.25">
      <c r="A83" s="64">
        <v>45555</v>
      </c>
      <c r="B83" s="68">
        <v>0.70833333333333337</v>
      </c>
      <c r="C83" s="65" t="s">
        <v>8</v>
      </c>
      <c r="D83" s="66" t="s">
        <v>34</v>
      </c>
      <c r="E83" s="9" t="s">
        <v>21</v>
      </c>
      <c r="F83" s="8">
        <f>(INT(Table_Lithuania[[#This Row],[Date]]) - DATE(1970, 1, 1)) * 86400000</f>
        <v>1726790400000</v>
      </c>
      <c r="G83">
        <f>'GMT Glossary'!$B$6</f>
        <v>3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20:00</v>
      </c>
    </row>
    <row r="84" spans="1:9" ht="15.75" x14ac:dyDescent="0.25">
      <c r="A84" s="60">
        <v>45555</v>
      </c>
      <c r="B84" s="51">
        <v>0.75</v>
      </c>
      <c r="C84" s="33" t="s">
        <v>8</v>
      </c>
      <c r="D84" s="44" t="s">
        <v>53</v>
      </c>
      <c r="E84" s="9" t="s">
        <v>72</v>
      </c>
      <c r="F84" s="8">
        <f>(INT(Table_Lithuania[[#This Row],[Date]]) - DATE(1970, 1, 1)) * 86400000</f>
        <v>1726790400000</v>
      </c>
      <c r="G84" s="10">
        <f>'GMT Glossary'!$B$6</f>
        <v>3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21:00</v>
      </c>
    </row>
    <row r="85" spans="1:9" x14ac:dyDescent="0.25">
      <c r="A85" s="64">
        <v>45555</v>
      </c>
      <c r="B85" s="68">
        <v>0.77083333333333337</v>
      </c>
      <c r="C85" s="65" t="s">
        <v>399</v>
      </c>
      <c r="D85" s="67" t="s">
        <v>131</v>
      </c>
      <c r="E85" s="9" t="s">
        <v>21</v>
      </c>
      <c r="F85" s="8">
        <f>(INT(Table_Lithuania[[#This Row],[Date]]) - DATE(1970, 1, 1)) * 86400000</f>
        <v>1726790400000</v>
      </c>
      <c r="G85" s="10">
        <f>'GMT Glossary'!$B$6</f>
        <v>3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21:30</v>
      </c>
    </row>
    <row r="86" spans="1:9" ht="15.75" x14ac:dyDescent="0.25">
      <c r="A86" s="60">
        <v>45555</v>
      </c>
      <c r="B86" s="51">
        <v>0.8125</v>
      </c>
      <c r="C86" s="33" t="s">
        <v>8</v>
      </c>
      <c r="D86" s="44" t="s">
        <v>169</v>
      </c>
      <c r="E86" s="9" t="s">
        <v>72</v>
      </c>
      <c r="F86" s="8">
        <f>(INT(Table_Lithuania[[#This Row],[Date]]) - DATE(1970, 1, 1)) * 86400000</f>
        <v>1726790400000</v>
      </c>
      <c r="G86" s="10">
        <f>'GMT Glossary'!$B$6</f>
        <v>3</v>
      </c>
      <c r="H86" s="2" t="str">
        <f>TEXT(IF(B86&lt;0, A86+1+((B86+(G86/24))-(INT(B86+(G86/24)))), A86+(B86+(G86/24))), "yyyy-mm-dd")</f>
        <v>2024-09-20</v>
      </c>
      <c r="I86" s="2" t="str">
        <f>TEXT(IF(B86&lt;0, A86+1+((B86+(G86/24))-(INT(B86+(G86/24)))), A86+(B86+(G86/24))), "hh:mm")</f>
        <v>22:30</v>
      </c>
    </row>
    <row r="87" spans="1:9" x14ac:dyDescent="0.25">
      <c r="A87" s="64">
        <v>45555</v>
      </c>
      <c r="B87" s="68">
        <v>0.89583333333333337</v>
      </c>
      <c r="C87" s="65" t="s">
        <v>8</v>
      </c>
      <c r="D87" s="66" t="s">
        <v>39</v>
      </c>
      <c r="E87" s="9" t="s">
        <v>21</v>
      </c>
      <c r="F87" s="8">
        <f>(INT(Table_Lithuania[[#This Row],[Date]]) - DATE(1970, 1, 1)) * 86400000</f>
        <v>1726790400000</v>
      </c>
      <c r="G87">
        <f>'GMT Glossary'!$B$6</f>
        <v>3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00:30</v>
      </c>
    </row>
    <row r="88" spans="1:9" ht="15.75" x14ac:dyDescent="0.25">
      <c r="A88" s="60">
        <v>45555</v>
      </c>
      <c r="B88" s="51">
        <v>0.91666666666666663</v>
      </c>
      <c r="C88" s="33" t="s">
        <v>8</v>
      </c>
      <c r="D88" s="44" t="s">
        <v>170</v>
      </c>
      <c r="E88" s="9" t="s">
        <v>72</v>
      </c>
      <c r="F88" s="8">
        <f>(INT(Table_Lithuania[[#This Row],[Date]]) - DATE(1970, 1, 1)) * 86400000</f>
        <v>1726790400000</v>
      </c>
      <c r="G88" s="10">
        <f>'GMT Glossary'!$B$6</f>
        <v>3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01:00</v>
      </c>
    </row>
    <row r="89" spans="1:9" x14ac:dyDescent="0.25">
      <c r="A89" s="64">
        <v>45555</v>
      </c>
      <c r="B89" s="68">
        <v>0.97916666666666663</v>
      </c>
      <c r="C89" s="65" t="s">
        <v>8</v>
      </c>
      <c r="D89" s="66" t="s">
        <v>68</v>
      </c>
      <c r="E89" s="9" t="s">
        <v>21</v>
      </c>
      <c r="F89" s="8">
        <f>(INT(Table_Lithuania[[#This Row],[Date]]) - DATE(1970, 1, 1)) * 86400000</f>
        <v>1726790400000</v>
      </c>
      <c r="G89" s="10">
        <f>'GMT Glossary'!$B$6</f>
        <v>3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02:30</v>
      </c>
    </row>
    <row r="90" spans="1:9" ht="15.75" x14ac:dyDescent="0.25">
      <c r="A90" s="60">
        <v>45556</v>
      </c>
      <c r="B90" s="51">
        <v>0</v>
      </c>
      <c r="C90" s="33" t="s">
        <v>8</v>
      </c>
      <c r="D90" s="44" t="s">
        <v>28</v>
      </c>
      <c r="E90" s="9" t="s">
        <v>72</v>
      </c>
      <c r="F90" s="8">
        <f>(INT(Table_Lithuania[[#This Row],[Date]]) - DATE(1970, 1, 1)) * 86400000</f>
        <v>1726876800000</v>
      </c>
      <c r="G90" s="10">
        <f>'GMT Glossary'!$B$6</f>
        <v>3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03:00</v>
      </c>
    </row>
    <row r="91" spans="1:9" x14ac:dyDescent="0.25">
      <c r="A91" s="64">
        <v>45556</v>
      </c>
      <c r="B91" s="68">
        <v>6.25E-2</v>
      </c>
      <c r="C91" s="65" t="s">
        <v>8</v>
      </c>
      <c r="D91" s="66" t="s">
        <v>48</v>
      </c>
      <c r="E91" s="9" t="s">
        <v>21</v>
      </c>
      <c r="F91" s="8">
        <f>(INT(Table_Lithuania[[#This Row],[Date]]) - DATE(1970, 1, 1)) * 86400000</f>
        <v>1726876800000</v>
      </c>
      <c r="G91">
        <f>'GMT Glossary'!$B$6</f>
        <v>3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04:30</v>
      </c>
    </row>
    <row r="92" spans="1:9" ht="15.75" x14ac:dyDescent="0.25">
      <c r="A92" s="60">
        <v>45556</v>
      </c>
      <c r="B92" s="51">
        <v>8.3333333333333329E-2</v>
      </c>
      <c r="C92" s="33" t="s">
        <v>8</v>
      </c>
      <c r="D92" s="44" t="s">
        <v>163</v>
      </c>
      <c r="E92" s="9" t="s">
        <v>72</v>
      </c>
      <c r="F92" s="8">
        <f>(INT(Table_Lithuania[[#This Row],[Date]]) - DATE(1970, 1, 1)) * 86400000</f>
        <v>1726876800000</v>
      </c>
      <c r="G92" s="10">
        <f>'GMT Glossary'!$B$6</f>
        <v>3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05:00</v>
      </c>
    </row>
    <row r="93" spans="1:9" x14ac:dyDescent="0.25">
      <c r="A93" s="64">
        <v>45556</v>
      </c>
      <c r="B93" s="68">
        <v>0.14583333333333334</v>
      </c>
      <c r="C93" s="65" t="s">
        <v>8</v>
      </c>
      <c r="D93" s="66" t="s">
        <v>132</v>
      </c>
      <c r="E93" s="9" t="s">
        <v>21</v>
      </c>
      <c r="F93" s="8">
        <f>(INT(Table_Lithuania[[#This Row],[Date]]) - DATE(1970, 1, 1)) * 86400000</f>
        <v>1726876800000</v>
      </c>
      <c r="G93" s="10">
        <f>'GMT Glossary'!$B$6</f>
        <v>3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06:30</v>
      </c>
    </row>
    <row r="94" spans="1:9" ht="15.75" x14ac:dyDescent="0.25">
      <c r="A94" s="60">
        <v>45556</v>
      </c>
      <c r="B94" s="51">
        <v>0.16666666666666666</v>
      </c>
      <c r="C94" s="33" t="s">
        <v>8</v>
      </c>
      <c r="D94" s="44" t="s">
        <v>29</v>
      </c>
      <c r="E94" s="9" t="s">
        <v>72</v>
      </c>
      <c r="F94" s="8">
        <f>(INT(Table_Lithuania[[#This Row],[Date]]) - DATE(1970, 1, 1)) * 86400000</f>
        <v>1726876800000</v>
      </c>
      <c r="G94" s="10">
        <f>'GMT Glossary'!$B$6</f>
        <v>3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07:00</v>
      </c>
    </row>
    <row r="95" spans="1:9" x14ac:dyDescent="0.25">
      <c r="A95" s="64">
        <v>45556</v>
      </c>
      <c r="B95" s="68">
        <v>0.22916666666666666</v>
      </c>
      <c r="C95" s="65" t="s">
        <v>8</v>
      </c>
      <c r="D95" s="66" t="s">
        <v>125</v>
      </c>
      <c r="E95" s="9" t="s">
        <v>21</v>
      </c>
      <c r="F95" s="8">
        <f>(INT(Table_Lithuania[[#This Row],[Date]]) - DATE(1970, 1, 1)) * 86400000</f>
        <v>1726876800000</v>
      </c>
      <c r="G95">
        <f>'GMT Glossary'!$B$6</f>
        <v>3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08:30</v>
      </c>
    </row>
    <row r="96" spans="1:9" ht="15.75" x14ac:dyDescent="0.25">
      <c r="A96" s="60">
        <v>45556</v>
      </c>
      <c r="B96" s="51">
        <v>0.25</v>
      </c>
      <c r="C96" s="33" t="s">
        <v>8</v>
      </c>
      <c r="D96" s="44" t="s">
        <v>25</v>
      </c>
      <c r="E96" s="9" t="s">
        <v>72</v>
      </c>
      <c r="F96" s="8">
        <f>(INT(Table_Lithuania[[#This Row],[Date]]) - DATE(1970, 1, 1)) * 86400000</f>
        <v>1726876800000</v>
      </c>
      <c r="G96" s="10">
        <f>'GMT Glossary'!$B$6</f>
        <v>3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09:00</v>
      </c>
    </row>
    <row r="97" spans="1:9" x14ac:dyDescent="0.25">
      <c r="A97" s="64">
        <v>45556</v>
      </c>
      <c r="B97" s="68">
        <v>0.3125</v>
      </c>
      <c r="C97" s="65" t="s">
        <v>8</v>
      </c>
      <c r="D97" s="66" t="s">
        <v>66</v>
      </c>
      <c r="E97" s="9" t="s">
        <v>21</v>
      </c>
      <c r="F97" s="8">
        <f>(INT(Table_Lithuania[[#This Row],[Date]]) - DATE(1970, 1, 1)) * 86400000</f>
        <v>1726876800000</v>
      </c>
      <c r="G97" s="10">
        <f>'GMT Glossary'!$B$6</f>
        <v>3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10:30</v>
      </c>
    </row>
    <row r="98" spans="1:9" ht="15.75" x14ac:dyDescent="0.25">
      <c r="A98" s="60">
        <v>45556</v>
      </c>
      <c r="B98" s="51">
        <v>0.33333333333333331</v>
      </c>
      <c r="C98" s="33" t="s">
        <v>8</v>
      </c>
      <c r="D98" s="44" t="s">
        <v>26</v>
      </c>
      <c r="E98" s="9" t="s">
        <v>72</v>
      </c>
      <c r="F98" s="8">
        <f>(INT(Table_Lithuania[[#This Row],[Date]]) - DATE(1970, 1, 1)) * 86400000</f>
        <v>1726876800000</v>
      </c>
      <c r="G98" s="10">
        <f>'GMT Glossary'!$B$6</f>
        <v>3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11:00</v>
      </c>
    </row>
    <row r="99" spans="1:9" x14ac:dyDescent="0.25">
      <c r="A99" s="64">
        <v>45556</v>
      </c>
      <c r="B99" s="68">
        <v>0.41666666666666669</v>
      </c>
      <c r="C99" s="65" t="s">
        <v>398</v>
      </c>
      <c r="D99" s="67" t="s">
        <v>133</v>
      </c>
      <c r="E99" s="9" t="s">
        <v>21</v>
      </c>
      <c r="F99" s="8">
        <f>(INT(Table_Lithuania[[#This Row],[Date]]) - DATE(1970, 1, 1)) * 86400000</f>
        <v>1726876800000</v>
      </c>
      <c r="G99">
        <f>'GMT Glossary'!$B$6</f>
        <v>3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13:00</v>
      </c>
    </row>
    <row r="100" spans="1:9" ht="15.75" x14ac:dyDescent="0.25">
      <c r="A100" s="60">
        <v>45556</v>
      </c>
      <c r="B100" s="51">
        <v>0.41666666666666669</v>
      </c>
      <c r="C100" s="33" t="s">
        <v>8</v>
      </c>
      <c r="D100" s="44" t="s">
        <v>165</v>
      </c>
      <c r="E100" s="9" t="s">
        <v>72</v>
      </c>
      <c r="F100" s="8">
        <f>(INT(Table_Lithuania[[#This Row],[Date]]) - DATE(1970, 1, 1)) * 86400000</f>
        <v>1726876800000</v>
      </c>
      <c r="G100" s="10">
        <f>'GMT Glossary'!$B$6</f>
        <v>3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13:00</v>
      </c>
    </row>
    <row r="101" spans="1:9" x14ac:dyDescent="0.25">
      <c r="A101" s="64">
        <v>45556</v>
      </c>
      <c r="B101" s="68">
        <v>0.47916666666666669</v>
      </c>
      <c r="C101" s="65" t="s">
        <v>398</v>
      </c>
      <c r="D101" s="67" t="s">
        <v>133</v>
      </c>
      <c r="E101" s="9" t="s">
        <v>21</v>
      </c>
      <c r="F101" s="8">
        <f>(INT(Table_Lithuania[[#This Row],[Date]]) - DATE(1970, 1, 1)) * 86400000</f>
        <v>1726876800000</v>
      </c>
      <c r="G101" s="10">
        <f>'GMT Glossary'!$B$6</f>
        <v>3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14:30</v>
      </c>
    </row>
    <row r="102" spans="1:9" ht="15.75" x14ac:dyDescent="0.25">
      <c r="A102" s="60">
        <v>45556</v>
      </c>
      <c r="B102" s="51">
        <v>0.5</v>
      </c>
      <c r="C102" s="33" t="s">
        <v>8</v>
      </c>
      <c r="D102" s="44" t="s">
        <v>135</v>
      </c>
      <c r="E102" s="9" t="s">
        <v>72</v>
      </c>
      <c r="F102" s="8">
        <f>(INT(Table_Lithuania[[#This Row],[Date]]) - DATE(1970, 1, 1)) * 86400000</f>
        <v>1726876800000</v>
      </c>
      <c r="G102" s="10">
        <f>'GMT Glossary'!$B$6</f>
        <v>3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15:00</v>
      </c>
    </row>
    <row r="103" spans="1:9" x14ac:dyDescent="0.25">
      <c r="A103" s="64">
        <v>45556</v>
      </c>
      <c r="B103" s="68">
        <v>0.54166666666666663</v>
      </c>
      <c r="C103" s="65" t="s">
        <v>8</v>
      </c>
      <c r="D103" s="66" t="s">
        <v>24</v>
      </c>
      <c r="E103" s="9" t="s">
        <v>21</v>
      </c>
      <c r="F103" s="8">
        <f>(INT(Table_Lithuania[[#This Row],[Date]]) - DATE(1970, 1, 1)) * 86400000</f>
        <v>1726876800000</v>
      </c>
      <c r="G103">
        <f>'GMT Glossary'!$B$6</f>
        <v>3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16:00</v>
      </c>
    </row>
    <row r="104" spans="1:9" x14ac:dyDescent="0.25">
      <c r="A104" s="64">
        <v>45556</v>
      </c>
      <c r="B104" s="68">
        <v>0.58333333333333337</v>
      </c>
      <c r="C104" s="65" t="s">
        <v>8</v>
      </c>
      <c r="D104" s="70" t="s">
        <v>34</v>
      </c>
      <c r="E104" s="9" t="s">
        <v>21</v>
      </c>
      <c r="F104" s="8">
        <f>(INT(Table_Lithuania[[#This Row],[Date]]) - DATE(1970, 1, 1)) * 86400000</f>
        <v>1726876800000</v>
      </c>
      <c r="G104" s="10">
        <f>'GMT Glossary'!$B$6</f>
        <v>3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17:00</v>
      </c>
    </row>
    <row r="105" spans="1:9" ht="15.75" x14ac:dyDescent="0.25">
      <c r="A105" s="60">
        <v>45556</v>
      </c>
      <c r="B105" s="51">
        <v>0.58333333333333337</v>
      </c>
      <c r="C105" s="33" t="s">
        <v>8</v>
      </c>
      <c r="D105" s="44" t="s">
        <v>171</v>
      </c>
      <c r="E105" s="9" t="s">
        <v>72</v>
      </c>
      <c r="F105" s="8">
        <f>(INT(Table_Lithuania[[#This Row],[Date]]) - DATE(1970, 1, 1)) * 86400000</f>
        <v>1726876800000</v>
      </c>
      <c r="G105" s="10">
        <f>'GMT Glossary'!$B$6</f>
        <v>3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17:00</v>
      </c>
    </row>
    <row r="106" spans="1:9" x14ac:dyDescent="0.25">
      <c r="A106" s="64">
        <v>45556</v>
      </c>
      <c r="B106" s="68">
        <v>0.625</v>
      </c>
      <c r="C106" s="65" t="s">
        <v>8</v>
      </c>
      <c r="D106" s="67" t="s">
        <v>134</v>
      </c>
      <c r="E106" s="9" t="s">
        <v>21</v>
      </c>
      <c r="F106" s="8">
        <f>(INT(Table_Lithuania[[#This Row],[Date]]) - DATE(1970, 1, 1)) * 86400000</f>
        <v>1726876800000</v>
      </c>
      <c r="G106">
        <f>'GMT Glossary'!$B$6</f>
        <v>3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18:00</v>
      </c>
    </row>
    <row r="107" spans="1:9" ht="15.75" x14ac:dyDescent="0.25">
      <c r="A107" s="60">
        <v>45556</v>
      </c>
      <c r="B107" s="51">
        <v>0.6875</v>
      </c>
      <c r="C107" s="33" t="s">
        <v>8</v>
      </c>
      <c r="D107" s="44" t="s">
        <v>172</v>
      </c>
      <c r="E107" s="9" t="s">
        <v>72</v>
      </c>
      <c r="F107" s="8">
        <f>(INT(Table_Lithuania[[#This Row],[Date]]) - DATE(1970, 1, 1)) * 86400000</f>
        <v>1726876800000</v>
      </c>
      <c r="G107" s="10">
        <f>'GMT Glossary'!$B$6</f>
        <v>3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19:30</v>
      </c>
    </row>
    <row r="108" spans="1:9" x14ac:dyDescent="0.25">
      <c r="A108" s="64">
        <v>45556</v>
      </c>
      <c r="B108" s="68">
        <v>0.70833333333333337</v>
      </c>
      <c r="C108" s="65" t="s">
        <v>8</v>
      </c>
      <c r="D108" s="66" t="s">
        <v>135</v>
      </c>
      <c r="E108" s="9" t="s">
        <v>21</v>
      </c>
      <c r="F108" s="8">
        <f>(INT(Table_Lithuania[[#This Row],[Date]]) - DATE(1970, 1, 1)) * 86400000</f>
        <v>1726876800000</v>
      </c>
      <c r="G108" s="10">
        <f>'GMT Glossary'!$B$6</f>
        <v>3</v>
      </c>
      <c r="H108" s="2" t="str">
        <f>TEXT(IF(B108&lt;0, A108+1+((B108+(G108/24))-(INT(B108+(G108/24)))), A108+(B108+(G108/24))), "yyyy-mm-dd")</f>
        <v>2024-09-21</v>
      </c>
      <c r="I108" s="2" t="str">
        <f>TEXT(IF(B108&lt;0, A108+1+((B108+(G108/24))-(INT(B108+(G108/24)))), A108+(B108+(G108/24))), "hh:mm")</f>
        <v>20:00</v>
      </c>
    </row>
    <row r="109" spans="1:9" ht="15.75" x14ac:dyDescent="0.25">
      <c r="A109" s="60">
        <v>45556</v>
      </c>
      <c r="B109" s="51">
        <v>0.77083333333333337</v>
      </c>
      <c r="C109" s="33" t="s">
        <v>8</v>
      </c>
      <c r="D109" s="44" t="s">
        <v>55</v>
      </c>
      <c r="E109" s="9" t="s">
        <v>72</v>
      </c>
      <c r="F109" s="8">
        <f>(INT(Table_Lithuania[[#This Row],[Date]]) - DATE(1970, 1, 1)) * 86400000</f>
        <v>1726876800000</v>
      </c>
      <c r="G109" s="10">
        <f>'GMT Glossary'!$B$6</f>
        <v>3</v>
      </c>
      <c r="H109" s="2" t="str">
        <f>TEXT(IF(B109&lt;0, A109+1+((B109+(G109/24))-(INT(B109+(G109/24)))), A109+(B109+(G109/24))), "yyyy-mm-dd")</f>
        <v>2024-09-21</v>
      </c>
      <c r="I109" s="2" t="str">
        <f>TEXT(IF(B109&lt;0, A109+1+((B109+(G109/24))-(INT(B109+(G109/24)))), A109+(B109+(G109/24))), "hh:mm")</f>
        <v>21:30</v>
      </c>
    </row>
    <row r="110" spans="1:9" x14ac:dyDescent="0.25">
      <c r="A110" s="64">
        <v>45556</v>
      </c>
      <c r="B110" s="68">
        <v>0.79166666666666663</v>
      </c>
      <c r="C110" s="65" t="s">
        <v>8</v>
      </c>
      <c r="D110" s="67" t="s">
        <v>136</v>
      </c>
      <c r="E110" s="9" t="s">
        <v>21</v>
      </c>
      <c r="F110" s="8">
        <f>(INT(Table_Lithuania[[#This Row],[Date]]) - DATE(1970, 1, 1)) * 86400000</f>
        <v>1726876800000</v>
      </c>
      <c r="G110">
        <f>'GMT Glossary'!$B$6</f>
        <v>3</v>
      </c>
      <c r="H110" s="2" t="str">
        <f>TEXT(IF(B110&lt;0, A110+1+((B110+(G110/24))-(INT(B110+(G110/24)))), A110+(B110+(G110/24))), "yyyy-mm-dd")</f>
        <v>2024-09-21</v>
      </c>
      <c r="I110" s="2" t="str">
        <f>TEXT(IF(B110&lt;0, A110+1+((B110+(G110/24))-(INT(B110+(G110/24)))), A110+(B110+(G110/24))), "hh:mm")</f>
        <v>22:00</v>
      </c>
    </row>
    <row r="111" spans="1:9" ht="15.75" x14ac:dyDescent="0.25">
      <c r="A111" s="60">
        <v>45556</v>
      </c>
      <c r="B111" s="51">
        <v>0.79166666666666663</v>
      </c>
      <c r="C111" s="33" t="s">
        <v>8</v>
      </c>
      <c r="D111" s="44" t="s">
        <v>173</v>
      </c>
      <c r="E111" s="9" t="s">
        <v>72</v>
      </c>
      <c r="F111" s="8">
        <f>(INT(Table_Lithuania[[#This Row],[Date]]) - DATE(1970, 1, 1)) * 86400000</f>
        <v>1726876800000</v>
      </c>
      <c r="G111" s="10">
        <f>'GMT Glossary'!$B$6</f>
        <v>3</v>
      </c>
      <c r="H111" s="2" t="str">
        <f>TEXT(IF(B111&lt;0, A111+1+((B111+(G111/24))-(INT(B111+(G111/24)))), A111+(B111+(G111/24))), "yyyy-mm-dd")</f>
        <v>2024-09-21</v>
      </c>
      <c r="I111" s="2" t="str">
        <f>TEXT(IF(B111&lt;0, A111+1+((B111+(G111/24))-(INT(B111+(G111/24)))), A111+(B111+(G111/24))), "hh:mm")</f>
        <v>22:00</v>
      </c>
    </row>
    <row r="112" spans="1:9" x14ac:dyDescent="0.25">
      <c r="A112" s="64">
        <v>45556</v>
      </c>
      <c r="B112" s="68">
        <v>0.875</v>
      </c>
      <c r="C112" s="65" t="s">
        <v>8</v>
      </c>
      <c r="D112" s="66" t="s">
        <v>23</v>
      </c>
      <c r="E112" s="9" t="s">
        <v>21</v>
      </c>
      <c r="F112" s="8">
        <f>(INT(Table_Lithuania[[#This Row],[Date]]) - DATE(1970, 1, 1)) * 86400000</f>
        <v>1726876800000</v>
      </c>
      <c r="G112" s="10">
        <f>'GMT Glossary'!$B$6</f>
        <v>3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00:00</v>
      </c>
    </row>
    <row r="113" spans="1:9" ht="15.75" x14ac:dyDescent="0.25">
      <c r="A113" s="60">
        <v>45556</v>
      </c>
      <c r="B113" s="51">
        <v>0.90625</v>
      </c>
      <c r="C113" s="33" t="s">
        <v>8</v>
      </c>
      <c r="D113" s="44" t="s">
        <v>174</v>
      </c>
      <c r="E113" s="9" t="s">
        <v>72</v>
      </c>
      <c r="F113" s="8">
        <f>(INT(Table_Lithuania[[#This Row],[Date]]) - DATE(1970, 1, 1)) * 86400000</f>
        <v>1726876800000</v>
      </c>
      <c r="G113" s="10">
        <f>'GMT Glossary'!$B$6</f>
        <v>3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00:45</v>
      </c>
    </row>
    <row r="114" spans="1:9" x14ac:dyDescent="0.25">
      <c r="A114" s="64">
        <v>45556</v>
      </c>
      <c r="B114" s="68">
        <v>0.91666666666666663</v>
      </c>
      <c r="C114" s="65" t="s">
        <v>8</v>
      </c>
      <c r="D114" s="67" t="s">
        <v>137</v>
      </c>
      <c r="E114" s="9" t="s">
        <v>21</v>
      </c>
      <c r="F114" s="8">
        <f>(INT(Table_Lithuania[[#This Row],[Date]]) - DATE(1970, 1, 1)) * 86400000</f>
        <v>1726876800000</v>
      </c>
      <c r="G114" s="10">
        <f>'GMT Glossary'!$B$6</f>
        <v>3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01:00</v>
      </c>
    </row>
    <row r="115" spans="1:9" x14ac:dyDescent="0.25">
      <c r="A115" s="64">
        <v>45557</v>
      </c>
      <c r="B115" s="68">
        <v>0</v>
      </c>
      <c r="C115" s="65" t="s">
        <v>8</v>
      </c>
      <c r="D115" s="66" t="s">
        <v>138</v>
      </c>
      <c r="E115" s="9" t="s">
        <v>21</v>
      </c>
      <c r="F115" s="8">
        <f>(INT(Table_Lithuania[[#This Row],[Date]]) - DATE(1970, 1, 1)) * 86400000</f>
        <v>1726963200000</v>
      </c>
      <c r="G115">
        <f>'GMT Glossary'!$B$6</f>
        <v>3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03:00</v>
      </c>
    </row>
    <row r="116" spans="1:9" ht="15.75" x14ac:dyDescent="0.25">
      <c r="A116" s="60">
        <v>45557</v>
      </c>
      <c r="B116" s="51">
        <v>0</v>
      </c>
      <c r="C116" s="33" t="s">
        <v>8</v>
      </c>
      <c r="D116" s="44" t="s">
        <v>175</v>
      </c>
      <c r="E116" s="9" t="s">
        <v>72</v>
      </c>
      <c r="F116" s="8">
        <f>(INT(Table_Lithuania[[#This Row],[Date]]) - DATE(1970, 1, 1)) * 86400000</f>
        <v>1726963200000</v>
      </c>
      <c r="G116" s="10">
        <f>'GMT Glossary'!$B$6</f>
        <v>3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03:00</v>
      </c>
    </row>
    <row r="117" spans="1:9" x14ac:dyDescent="0.25">
      <c r="A117" s="64">
        <v>45557</v>
      </c>
      <c r="B117" s="68">
        <v>8.3333333333333329E-2</v>
      </c>
      <c r="C117" s="65" t="s">
        <v>8</v>
      </c>
      <c r="D117" s="66" t="s">
        <v>139</v>
      </c>
      <c r="E117" s="9" t="s">
        <v>21</v>
      </c>
      <c r="F117" s="8">
        <f>(INT(Table_Lithuania[[#This Row],[Date]]) - DATE(1970, 1, 1)) * 86400000</f>
        <v>1726963200000</v>
      </c>
      <c r="G117">
        <f>'GMT Glossary'!$B$6</f>
        <v>3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05:00</v>
      </c>
    </row>
    <row r="118" spans="1:9" ht="15.75" x14ac:dyDescent="0.25">
      <c r="A118" s="60">
        <v>45557</v>
      </c>
      <c r="B118" s="51">
        <v>8.3333333333333329E-2</v>
      </c>
      <c r="C118" s="33" t="s">
        <v>398</v>
      </c>
      <c r="D118" s="44" t="s">
        <v>61</v>
      </c>
      <c r="E118" s="9" t="s">
        <v>72</v>
      </c>
      <c r="F118" s="8">
        <f>(INT(Table_Lithuania[[#This Row],[Date]]) - DATE(1970, 1, 1)) * 86400000</f>
        <v>1726963200000</v>
      </c>
      <c r="G118" s="10">
        <f>'GMT Glossary'!$B$6</f>
        <v>3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05:00</v>
      </c>
    </row>
    <row r="119" spans="1:9" x14ac:dyDescent="0.25">
      <c r="A119" s="64">
        <v>45557</v>
      </c>
      <c r="B119" s="68">
        <v>0.16666666666666666</v>
      </c>
      <c r="C119" s="65" t="s">
        <v>399</v>
      </c>
      <c r="D119" s="66" t="s">
        <v>27</v>
      </c>
      <c r="E119" s="9" t="s">
        <v>21</v>
      </c>
      <c r="F119" s="8">
        <f>(INT(Table_Lithuania[[#This Row],[Date]]) - DATE(1970, 1, 1)) * 86400000</f>
        <v>1726963200000</v>
      </c>
      <c r="G119" s="10">
        <f>'GMT Glossary'!$B$6</f>
        <v>3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07:00</v>
      </c>
    </row>
    <row r="120" spans="1:9" ht="15.75" x14ac:dyDescent="0.25">
      <c r="A120" s="60">
        <v>45557</v>
      </c>
      <c r="B120" s="51">
        <v>0.16666666666666666</v>
      </c>
      <c r="C120" s="33" t="s">
        <v>8</v>
      </c>
      <c r="D120" s="44" t="s">
        <v>176</v>
      </c>
      <c r="E120" s="9" t="s">
        <v>72</v>
      </c>
      <c r="F120" s="8">
        <f>(INT(Table_Lithuania[[#This Row],[Date]]) - DATE(1970, 1, 1)) * 86400000</f>
        <v>1726963200000</v>
      </c>
      <c r="G120" s="10">
        <f>'GMT Glossary'!$B$6</f>
        <v>3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07:00</v>
      </c>
    </row>
    <row r="121" spans="1:9" ht="15.75" x14ac:dyDescent="0.25">
      <c r="A121" s="60">
        <v>45557</v>
      </c>
      <c r="B121" s="51">
        <v>0.25</v>
      </c>
      <c r="C121" s="33" t="s">
        <v>8</v>
      </c>
      <c r="D121" s="44" t="s">
        <v>63</v>
      </c>
      <c r="E121" s="9" t="s">
        <v>72</v>
      </c>
      <c r="F121" s="8">
        <f>(INT(Table_Lithuania[[#This Row],[Date]]) - DATE(1970, 1, 1)) * 86400000</f>
        <v>1726963200000</v>
      </c>
      <c r="G121" s="10">
        <f>'GMT Glossary'!$B$6</f>
        <v>3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09:00</v>
      </c>
    </row>
    <row r="122" spans="1:9" x14ac:dyDescent="0.25">
      <c r="A122" s="64">
        <v>45557</v>
      </c>
      <c r="B122" s="68">
        <v>0.29166666666666669</v>
      </c>
      <c r="C122" s="65" t="s">
        <v>398</v>
      </c>
      <c r="D122" s="66" t="s">
        <v>31</v>
      </c>
      <c r="E122" s="9" t="s">
        <v>21</v>
      </c>
      <c r="F122" s="8">
        <f>(INT(Table_Lithuania[[#This Row],[Date]]) - DATE(1970, 1, 1)) * 86400000</f>
        <v>1726963200000</v>
      </c>
      <c r="G122">
        <f>'GMT Glossary'!$B$6</f>
        <v>3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10:00</v>
      </c>
    </row>
    <row r="123" spans="1:9" ht="15.75" x14ac:dyDescent="0.25">
      <c r="A123" s="60">
        <v>45557</v>
      </c>
      <c r="B123" s="51">
        <v>0.33333333333333331</v>
      </c>
      <c r="C123" s="33" t="s">
        <v>8</v>
      </c>
      <c r="D123" s="44" t="s">
        <v>58</v>
      </c>
      <c r="E123" s="9" t="s">
        <v>72</v>
      </c>
      <c r="F123" s="8">
        <f>(INT(Table_Lithuania[[#This Row],[Date]]) - DATE(1970, 1, 1)) * 86400000</f>
        <v>1726963200000</v>
      </c>
      <c r="G123" s="10">
        <f>'GMT Glossary'!$B$6</f>
        <v>3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11:00</v>
      </c>
    </row>
    <row r="124" spans="1:9" x14ac:dyDescent="0.25">
      <c r="A124" s="64">
        <v>45557</v>
      </c>
      <c r="B124" s="68">
        <v>0.41666666666666669</v>
      </c>
      <c r="C124" s="65" t="s">
        <v>398</v>
      </c>
      <c r="D124" s="67" t="s">
        <v>140</v>
      </c>
      <c r="E124" s="9" t="s">
        <v>21</v>
      </c>
      <c r="F124" s="8">
        <f>(INT(Table_Lithuania[[#This Row],[Date]]) - DATE(1970, 1, 1)) * 86400000</f>
        <v>1726963200000</v>
      </c>
      <c r="G124" s="10">
        <f>'GMT Glossary'!$B$6</f>
        <v>3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13:00</v>
      </c>
    </row>
    <row r="125" spans="1:9" ht="15.75" x14ac:dyDescent="0.25">
      <c r="A125" s="60">
        <v>45557</v>
      </c>
      <c r="B125" s="51">
        <v>0.41666666666666669</v>
      </c>
      <c r="C125" s="33" t="s">
        <v>8</v>
      </c>
      <c r="D125" s="44" t="s">
        <v>56</v>
      </c>
      <c r="E125" s="9" t="s">
        <v>72</v>
      </c>
      <c r="F125" s="8">
        <f>(INT(Table_Lithuania[[#This Row],[Date]]) - DATE(1970, 1, 1)) * 86400000</f>
        <v>1726963200000</v>
      </c>
      <c r="G125" s="10">
        <f>'GMT Glossary'!$B$6</f>
        <v>3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13:00</v>
      </c>
    </row>
    <row r="126" spans="1:9" ht="15.75" x14ac:dyDescent="0.25">
      <c r="A126" s="60">
        <v>45557</v>
      </c>
      <c r="B126" s="51">
        <v>0.5</v>
      </c>
      <c r="C126" s="33" t="s">
        <v>8</v>
      </c>
      <c r="D126" s="44" t="s">
        <v>177</v>
      </c>
      <c r="E126" s="9" t="s">
        <v>72</v>
      </c>
      <c r="F126" s="8">
        <f>(INT(Table_Lithuania[[#This Row],[Date]]) - DATE(1970, 1, 1)) * 86400000</f>
        <v>1726963200000</v>
      </c>
      <c r="G126" s="10">
        <f>'GMT Glossary'!$B$6</f>
        <v>3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15:00</v>
      </c>
    </row>
    <row r="127" spans="1:9" x14ac:dyDescent="0.25">
      <c r="A127" s="64">
        <v>45557</v>
      </c>
      <c r="B127" s="68">
        <v>0.54166666666666663</v>
      </c>
      <c r="C127" s="65" t="s">
        <v>8</v>
      </c>
      <c r="D127" s="66" t="s">
        <v>141</v>
      </c>
      <c r="E127" s="9" t="s">
        <v>21</v>
      </c>
      <c r="F127" s="8">
        <f>(INT(Table_Lithuania[[#This Row],[Date]]) - DATE(1970, 1, 1)) * 86400000</f>
        <v>1726963200000</v>
      </c>
      <c r="G127">
        <f>'GMT Glossary'!$B$6</f>
        <v>3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16:00</v>
      </c>
    </row>
    <row r="128" spans="1:9" ht="15.75" x14ac:dyDescent="0.25">
      <c r="A128" s="60">
        <v>45557</v>
      </c>
      <c r="B128" s="51">
        <v>0.5625</v>
      </c>
      <c r="C128" s="33" t="s">
        <v>8</v>
      </c>
      <c r="D128" s="44" t="s">
        <v>178</v>
      </c>
      <c r="E128" s="9" t="s">
        <v>72</v>
      </c>
      <c r="F128" s="8">
        <f>(INT(Table_Lithuania[[#This Row],[Date]]) - DATE(1970, 1, 1)) * 86400000</f>
        <v>1726963200000</v>
      </c>
      <c r="G128" s="10">
        <f>'GMT Glossary'!$B$6</f>
        <v>3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16:30</v>
      </c>
    </row>
    <row r="129" spans="1:9" x14ac:dyDescent="0.25">
      <c r="A129" s="64">
        <v>45557</v>
      </c>
      <c r="B129" s="68">
        <v>0.625</v>
      </c>
      <c r="C129" s="65" t="s">
        <v>8</v>
      </c>
      <c r="D129" s="66" t="s">
        <v>23</v>
      </c>
      <c r="E129" s="9" t="s">
        <v>21</v>
      </c>
      <c r="F129" s="8">
        <f>(INT(Table_Lithuania[[#This Row],[Date]]) - DATE(1970, 1, 1)) * 86400000</f>
        <v>1726963200000</v>
      </c>
      <c r="G129" s="10">
        <f>'GMT Glossary'!$B$6</f>
        <v>3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18:00</v>
      </c>
    </row>
    <row r="130" spans="1:9" x14ac:dyDescent="0.25">
      <c r="A130" s="64">
        <v>45557</v>
      </c>
      <c r="B130" s="68">
        <v>0.66666666666666663</v>
      </c>
      <c r="C130" s="65" t="s">
        <v>8</v>
      </c>
      <c r="D130" s="67" t="s">
        <v>142</v>
      </c>
      <c r="E130" s="9" t="s">
        <v>21</v>
      </c>
      <c r="F130" s="8">
        <f>(INT(Table_Lithuania[[#This Row],[Date]]) - DATE(1970, 1, 1)) * 86400000</f>
        <v>1726963200000</v>
      </c>
      <c r="G130" s="10">
        <f>'GMT Glossary'!$B$6</f>
        <v>3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19:00</v>
      </c>
    </row>
    <row r="131" spans="1:9" ht="15.75" x14ac:dyDescent="0.25">
      <c r="A131" s="60">
        <v>45557</v>
      </c>
      <c r="B131" s="51">
        <v>0.6875</v>
      </c>
      <c r="C131" s="33" t="s">
        <v>8</v>
      </c>
      <c r="D131" s="44" t="s">
        <v>179</v>
      </c>
      <c r="E131" s="9" t="s">
        <v>72</v>
      </c>
      <c r="F131" s="8">
        <f>(INT(Table_Lithuania[[#This Row],[Date]]) - DATE(1970, 1, 1)) * 86400000</f>
        <v>1726963200000</v>
      </c>
      <c r="G131" s="10">
        <f>'GMT Glossary'!$B$6</f>
        <v>3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19:30</v>
      </c>
    </row>
    <row r="132" spans="1:9" x14ac:dyDescent="0.25">
      <c r="A132" s="64">
        <v>45557</v>
      </c>
      <c r="B132" s="68">
        <v>0.75</v>
      </c>
      <c r="C132" s="65" t="s">
        <v>8</v>
      </c>
      <c r="D132" s="66" t="s">
        <v>24</v>
      </c>
      <c r="E132" s="9" t="s">
        <v>21</v>
      </c>
      <c r="F132" s="8">
        <f>(INT(Table_Lithuania[[#This Row],[Date]]) - DATE(1970, 1, 1)) * 86400000</f>
        <v>1726963200000</v>
      </c>
      <c r="G132">
        <f>'GMT Glossary'!$B$6</f>
        <v>3</v>
      </c>
      <c r="H132" s="2" t="str">
        <f>TEXT(IF(B132&lt;0, A132+1+((B132+(G132/24))-(INT(B132+(G132/24)))), A132+(B132+(G132/24))), "yyyy-mm-dd")</f>
        <v>2024-09-22</v>
      </c>
      <c r="I132" s="2" t="str">
        <f>TEXT(IF(B132&lt;0, A132+1+((B132+(G132/24))-(INT(B132+(G132/24)))), A132+(B132+(G132/24))), "hh:mm")</f>
        <v>21:00</v>
      </c>
    </row>
    <row r="133" spans="1:9" ht="15.75" x14ac:dyDescent="0.25">
      <c r="A133" s="60">
        <v>45557</v>
      </c>
      <c r="B133" s="51">
        <v>0.79166666666666663</v>
      </c>
      <c r="C133" s="33" t="s">
        <v>8</v>
      </c>
      <c r="D133" s="44" t="s">
        <v>180</v>
      </c>
      <c r="E133" s="9" t="s">
        <v>72</v>
      </c>
      <c r="F133" s="8">
        <f>(INT(Table_Lithuania[[#This Row],[Date]]) - DATE(1970, 1, 1)) * 86400000</f>
        <v>1726963200000</v>
      </c>
      <c r="G133" s="10">
        <f>'GMT Glossary'!$B$6</f>
        <v>3</v>
      </c>
      <c r="H133" s="2" t="str">
        <f>TEXT(IF(B133&lt;0, A133+1+((B133+(G133/24))-(INT(B133+(G133/24)))), A133+(B133+(G133/24))), "yyyy-mm-dd")</f>
        <v>2024-09-22</v>
      </c>
      <c r="I133" s="2" t="str">
        <f>TEXT(IF(B133&lt;0, A133+1+((B133+(G133/24))-(INT(B133+(G133/24)))), A133+(B133+(G133/24))), "hh:mm")</f>
        <v>22:00</v>
      </c>
    </row>
    <row r="134" spans="1:9" x14ac:dyDescent="0.25">
      <c r="A134" s="64">
        <v>45557</v>
      </c>
      <c r="B134" s="68">
        <v>0.8125</v>
      </c>
      <c r="C134" s="65" t="s">
        <v>8</v>
      </c>
      <c r="D134" s="67" t="s">
        <v>143</v>
      </c>
      <c r="E134" s="9" t="s">
        <v>21</v>
      </c>
      <c r="F134" s="8">
        <f>(INT(Table_Lithuania[[#This Row],[Date]]) - DATE(1970, 1, 1)) * 86400000</f>
        <v>1726963200000</v>
      </c>
      <c r="G134" s="10">
        <f>'GMT Glossary'!$B$6</f>
        <v>3</v>
      </c>
      <c r="H134" s="2" t="str">
        <f>TEXT(IF(B134&lt;0, A134+1+((B134+(G134/24))-(INT(B134+(G134/24)))), A134+(B134+(G134/24))), "yyyy-mm-dd")</f>
        <v>2024-09-22</v>
      </c>
      <c r="I134" s="2" t="str">
        <f>TEXT(IF(B134&lt;0, A134+1+((B134+(G134/24))-(INT(B134+(G134/24)))), A134+(B134+(G134/24))), "hh:mm")</f>
        <v>22:30</v>
      </c>
    </row>
    <row r="135" spans="1:9" x14ac:dyDescent="0.25">
      <c r="A135" s="64">
        <v>45557</v>
      </c>
      <c r="B135" s="68">
        <v>0.90625</v>
      </c>
      <c r="C135" s="65" t="s">
        <v>8</v>
      </c>
      <c r="D135" s="67" t="s">
        <v>144</v>
      </c>
      <c r="E135" s="9" t="s">
        <v>21</v>
      </c>
      <c r="F135" s="8">
        <f>(INT(Table_Lithuania[[#This Row],[Date]]) - DATE(1970, 1, 1)) * 86400000</f>
        <v>1726963200000</v>
      </c>
      <c r="G135">
        <f>'GMT Glossary'!$B$6</f>
        <v>3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00:45</v>
      </c>
    </row>
    <row r="136" spans="1:9" ht="15.75" x14ac:dyDescent="0.25">
      <c r="A136" s="60">
        <v>45557</v>
      </c>
      <c r="B136" s="51">
        <v>0.90625</v>
      </c>
      <c r="C136" s="33" t="s">
        <v>8</v>
      </c>
      <c r="D136" s="44" t="s">
        <v>181</v>
      </c>
      <c r="E136" s="9" t="s">
        <v>72</v>
      </c>
      <c r="F136" s="8">
        <f>(INT(Table_Lithuania[[#This Row],[Date]]) - DATE(1970, 1, 1)) * 86400000</f>
        <v>1726963200000</v>
      </c>
      <c r="G136" s="10">
        <f>'GMT Glossary'!$B$6</f>
        <v>3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00:45</v>
      </c>
    </row>
    <row r="137" spans="1:9" x14ac:dyDescent="0.25">
      <c r="A137" s="64">
        <v>45558</v>
      </c>
      <c r="B137" s="68">
        <v>0</v>
      </c>
      <c r="C137" s="65" t="s">
        <v>8</v>
      </c>
      <c r="D137" s="66" t="s">
        <v>145</v>
      </c>
      <c r="E137" s="9" t="s">
        <v>21</v>
      </c>
      <c r="F137" s="8">
        <f>(INT(Table_Lithuania[[#This Row],[Date]]) - DATE(1970, 1, 1)) * 86400000</f>
        <v>1727049600000</v>
      </c>
      <c r="G137">
        <f>'GMT Glossary'!$B$6</f>
        <v>3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03:00</v>
      </c>
    </row>
    <row r="138" spans="1:9" ht="15.75" x14ac:dyDescent="0.25">
      <c r="A138" s="60">
        <v>45558</v>
      </c>
      <c r="B138" s="51">
        <v>0</v>
      </c>
      <c r="C138" s="33" t="s">
        <v>8</v>
      </c>
      <c r="D138" s="44" t="s">
        <v>151</v>
      </c>
      <c r="E138" s="9" t="s">
        <v>72</v>
      </c>
      <c r="F138" s="8">
        <f>(INT(Table_Lithuania[[#This Row],[Date]]) - DATE(1970, 1, 1)) * 86400000</f>
        <v>1727049600000</v>
      </c>
      <c r="G138" s="10">
        <f>'GMT Glossary'!$B$6</f>
        <v>3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03:00</v>
      </c>
    </row>
    <row r="139" spans="1:9" x14ac:dyDescent="0.25">
      <c r="A139" s="64">
        <v>45558</v>
      </c>
      <c r="B139" s="68">
        <v>8.3333333333333329E-2</v>
      </c>
      <c r="C139" s="65" t="s">
        <v>8</v>
      </c>
      <c r="D139" s="66" t="s">
        <v>146</v>
      </c>
      <c r="E139" s="9" t="s">
        <v>21</v>
      </c>
      <c r="F139" s="8">
        <f>(INT(Table_Lithuania[[#This Row],[Date]]) - DATE(1970, 1, 1)) * 86400000</f>
        <v>1727049600000</v>
      </c>
      <c r="G139" s="10">
        <f>'GMT Glossary'!$B$6</f>
        <v>3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05:00</v>
      </c>
    </row>
    <row r="140" spans="1:9" ht="15.75" x14ac:dyDescent="0.25">
      <c r="A140" s="60">
        <v>45558</v>
      </c>
      <c r="B140" s="51">
        <v>8.3333333333333329E-2</v>
      </c>
      <c r="C140" s="33" t="s">
        <v>398</v>
      </c>
      <c r="D140" s="44" t="s">
        <v>182</v>
      </c>
      <c r="E140" s="9" t="s">
        <v>72</v>
      </c>
      <c r="F140" s="8">
        <f>(INT(Table_Lithuania[[#This Row],[Date]]) - DATE(1970, 1, 1)) * 86400000</f>
        <v>1727049600000</v>
      </c>
      <c r="G140" s="10">
        <f>'GMT Glossary'!$B$6</f>
        <v>3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05:00</v>
      </c>
    </row>
    <row r="141" spans="1:9" x14ac:dyDescent="0.25">
      <c r="A141" s="64">
        <v>45558</v>
      </c>
      <c r="B141" s="68">
        <v>0.16666666666666666</v>
      </c>
      <c r="C141" s="65" t="s">
        <v>8</v>
      </c>
      <c r="D141" s="66" t="s">
        <v>147</v>
      </c>
      <c r="E141" s="9" t="s">
        <v>21</v>
      </c>
      <c r="F141" s="8">
        <f>(INT(Table_Lithuania[[#This Row],[Date]]) - DATE(1970, 1, 1)) * 86400000</f>
        <v>1727049600000</v>
      </c>
      <c r="G141">
        <f>'GMT Glossary'!$B$6</f>
        <v>3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07:00</v>
      </c>
    </row>
    <row r="142" spans="1:9" ht="15.75" x14ac:dyDescent="0.25">
      <c r="A142" s="60">
        <v>45558</v>
      </c>
      <c r="B142" s="51">
        <v>0.16666666666666666</v>
      </c>
      <c r="C142" s="33" t="s">
        <v>8</v>
      </c>
      <c r="D142" s="44" t="s">
        <v>145</v>
      </c>
      <c r="E142" s="9" t="s">
        <v>72</v>
      </c>
      <c r="F142" s="8">
        <f>(INT(Table_Lithuania[[#This Row],[Date]]) - DATE(1970, 1, 1)) * 86400000</f>
        <v>1727049600000</v>
      </c>
      <c r="G142" s="10">
        <f>'GMT Glossary'!$B$6</f>
        <v>3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07:00</v>
      </c>
    </row>
    <row r="143" spans="1:9" x14ac:dyDescent="0.25">
      <c r="A143" s="64">
        <v>45558</v>
      </c>
      <c r="B143" s="68">
        <v>0.25</v>
      </c>
      <c r="C143" s="65" t="s">
        <v>8</v>
      </c>
      <c r="D143" s="66" t="s">
        <v>148</v>
      </c>
      <c r="E143" s="9" t="s">
        <v>21</v>
      </c>
      <c r="F143" s="8">
        <f>(INT(Table_Lithuania[[#This Row],[Date]]) - DATE(1970, 1, 1)) * 86400000</f>
        <v>1727049600000</v>
      </c>
      <c r="G143" s="10">
        <f>'GMT Glossary'!$B$6</f>
        <v>3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09:00</v>
      </c>
    </row>
    <row r="144" spans="1:9" ht="15.75" x14ac:dyDescent="0.25">
      <c r="A144" s="60">
        <v>45558</v>
      </c>
      <c r="B144" s="51">
        <v>0.25</v>
      </c>
      <c r="C144" s="33" t="s">
        <v>8</v>
      </c>
      <c r="D144" s="44" t="s">
        <v>183</v>
      </c>
      <c r="E144" s="9" t="s">
        <v>72</v>
      </c>
      <c r="F144" s="8">
        <f>(INT(Table_Lithuania[[#This Row],[Date]]) - DATE(1970, 1, 1)) * 86400000</f>
        <v>1727049600000</v>
      </c>
      <c r="G144" s="10">
        <f>'GMT Glossary'!$B$6</f>
        <v>3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09:00</v>
      </c>
    </row>
    <row r="145" spans="1:9" x14ac:dyDescent="0.25">
      <c r="A145" s="64">
        <v>45558</v>
      </c>
      <c r="B145" s="68">
        <v>0.33333333333333331</v>
      </c>
      <c r="C145" s="65" t="s">
        <v>8</v>
      </c>
      <c r="D145" s="66" t="s">
        <v>149</v>
      </c>
      <c r="E145" s="9" t="s">
        <v>21</v>
      </c>
      <c r="F145" s="8">
        <f>(INT(Table_Lithuania[[#This Row],[Date]]) - DATE(1970, 1, 1)) * 86400000</f>
        <v>1727049600000</v>
      </c>
      <c r="G145">
        <f>'GMT Glossary'!$B$6</f>
        <v>3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11:00</v>
      </c>
    </row>
    <row r="146" spans="1:9" ht="15.75" x14ac:dyDescent="0.25">
      <c r="A146" s="60">
        <v>45558</v>
      </c>
      <c r="B146" s="51">
        <v>0.33333333333333331</v>
      </c>
      <c r="C146" s="33" t="s">
        <v>8</v>
      </c>
      <c r="D146" s="44" t="s">
        <v>184</v>
      </c>
      <c r="E146" s="9" t="s">
        <v>72</v>
      </c>
      <c r="F146" s="8">
        <f>(INT(Table_Lithuania[[#This Row],[Date]]) - DATE(1970, 1, 1)) * 86400000</f>
        <v>1727049600000</v>
      </c>
      <c r="G146" s="10">
        <f>'GMT Glossary'!$B$6</f>
        <v>3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11:00</v>
      </c>
    </row>
    <row r="147" spans="1:9" x14ac:dyDescent="0.25">
      <c r="A147" s="64">
        <v>45558</v>
      </c>
      <c r="B147" s="68">
        <v>0.41666666666666669</v>
      </c>
      <c r="C147" s="65" t="s">
        <v>8</v>
      </c>
      <c r="D147" s="66" t="s">
        <v>150</v>
      </c>
      <c r="E147" s="9" t="s">
        <v>21</v>
      </c>
      <c r="F147" s="8">
        <f>(INT(Table_Lithuania[[#This Row],[Date]]) - DATE(1970, 1, 1)) * 86400000</f>
        <v>1727049600000</v>
      </c>
      <c r="G147" s="10">
        <f>'GMT Glossary'!$B$6</f>
        <v>3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13:00</v>
      </c>
    </row>
    <row r="148" spans="1:9" ht="15.75" x14ac:dyDescent="0.25">
      <c r="A148" s="60">
        <v>45558</v>
      </c>
      <c r="B148" s="51">
        <v>0.41666666666666669</v>
      </c>
      <c r="C148" s="33" t="s">
        <v>8</v>
      </c>
      <c r="D148" s="44" t="s">
        <v>148</v>
      </c>
      <c r="E148" s="9" t="s">
        <v>72</v>
      </c>
      <c r="F148" s="8">
        <f>(INT(Table_Lithuania[[#This Row],[Date]]) - DATE(1970, 1, 1)) * 86400000</f>
        <v>1727049600000</v>
      </c>
      <c r="G148" s="10">
        <f>'GMT Glossary'!$B$6</f>
        <v>3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13:00</v>
      </c>
    </row>
    <row r="149" spans="1:9" x14ac:dyDescent="0.25">
      <c r="A149" s="64">
        <v>45558</v>
      </c>
      <c r="B149" s="68">
        <v>0.5</v>
      </c>
      <c r="C149" s="65" t="s">
        <v>8</v>
      </c>
      <c r="D149" s="66" t="s">
        <v>151</v>
      </c>
      <c r="E149" s="9" t="s">
        <v>21</v>
      </c>
      <c r="F149" s="8">
        <f>(INT(Table_Lithuania[[#This Row],[Date]]) - DATE(1970, 1, 1)) * 86400000</f>
        <v>1727049600000</v>
      </c>
      <c r="G149">
        <f>'GMT Glossary'!$B$6</f>
        <v>3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15:00</v>
      </c>
    </row>
    <row r="150" spans="1:9" ht="15.75" x14ac:dyDescent="0.25">
      <c r="A150" s="60">
        <v>45558</v>
      </c>
      <c r="B150" s="51">
        <v>0.5</v>
      </c>
      <c r="C150" s="33" t="s">
        <v>8</v>
      </c>
      <c r="D150" s="44" t="s">
        <v>185</v>
      </c>
      <c r="E150" s="9" t="s">
        <v>72</v>
      </c>
      <c r="F150" s="8">
        <f>(INT(Table_Lithuania[[#This Row],[Date]]) - DATE(1970, 1, 1)) * 86400000</f>
        <v>1727049600000</v>
      </c>
      <c r="G150" s="10">
        <f>'GMT Glossary'!$B$6</f>
        <v>3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15:00</v>
      </c>
    </row>
    <row r="151" spans="1:9" x14ac:dyDescent="0.25">
      <c r="A151" s="64">
        <v>45558</v>
      </c>
      <c r="B151" s="68">
        <v>0.58333333333333337</v>
      </c>
      <c r="C151" s="65" t="s">
        <v>8</v>
      </c>
      <c r="D151" s="66" t="s">
        <v>141</v>
      </c>
      <c r="E151" s="9" t="s">
        <v>21</v>
      </c>
      <c r="F151" s="8">
        <f>(INT(Table_Lithuania[[#This Row],[Date]]) - DATE(1970, 1, 1)) * 86400000</f>
        <v>1727049600000</v>
      </c>
      <c r="G151" s="10">
        <f>'GMT Glossary'!$B$6</f>
        <v>3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17:00</v>
      </c>
    </row>
    <row r="152" spans="1:9" ht="15.75" x14ac:dyDescent="0.25">
      <c r="A152" s="60">
        <v>45558</v>
      </c>
      <c r="B152" s="51">
        <v>0.58333333333333337</v>
      </c>
      <c r="C152" s="33" t="s">
        <v>8</v>
      </c>
      <c r="D152" s="44" t="s">
        <v>149</v>
      </c>
      <c r="E152" s="9" t="s">
        <v>72</v>
      </c>
      <c r="F152" s="8">
        <f>(INT(Table_Lithuania[[#This Row],[Date]]) - DATE(1970, 1, 1)) * 86400000</f>
        <v>1727049600000</v>
      </c>
      <c r="G152" s="10">
        <f>'GMT Glossary'!$B$6</f>
        <v>3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17:00</v>
      </c>
    </row>
    <row r="153" spans="1:9" x14ac:dyDescent="0.25">
      <c r="A153" s="64">
        <v>45558</v>
      </c>
      <c r="B153" s="68">
        <v>0.66666666666666663</v>
      </c>
      <c r="C153" s="65" t="s">
        <v>8</v>
      </c>
      <c r="D153" s="66" t="s">
        <v>152</v>
      </c>
      <c r="E153" s="9" t="s">
        <v>21</v>
      </c>
      <c r="F153" s="8">
        <f>(INT(Table_Lithuania[[#This Row],[Date]]) - DATE(1970, 1, 1)) * 86400000</f>
        <v>1727049600000</v>
      </c>
      <c r="G153">
        <f>'GMT Glossary'!$B$6</f>
        <v>3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19:00</v>
      </c>
    </row>
    <row r="154" spans="1:9" ht="15.75" x14ac:dyDescent="0.25">
      <c r="A154" s="60">
        <v>45558</v>
      </c>
      <c r="B154" s="51">
        <v>0.66666666666666663</v>
      </c>
      <c r="C154" s="33" t="s">
        <v>8</v>
      </c>
      <c r="D154" s="44" t="s">
        <v>186</v>
      </c>
      <c r="E154" s="9" t="s">
        <v>72</v>
      </c>
      <c r="F154" s="8">
        <f>(INT(Table_Lithuania[[#This Row],[Date]]) - DATE(1970, 1, 1)) * 86400000</f>
        <v>1727049600000</v>
      </c>
      <c r="G154" s="10">
        <f>'GMT Glossary'!$B$6</f>
        <v>3</v>
      </c>
      <c r="H154" s="2" t="str">
        <f>TEXT(IF(B154&lt;0, A154+1+((B154+(G154/24))-(INT(B154+(G154/24)))), A154+(B154+(G154/24))), "yyyy-mm-dd")</f>
        <v>2024-09-23</v>
      </c>
      <c r="I154" s="2" t="str">
        <f>TEXT(IF(B154&lt;0, A154+1+((B154+(G154/24))-(INT(B154+(G154/24)))), A154+(B154+(G154/24))), "hh:mm")</f>
        <v>19:00</v>
      </c>
    </row>
    <row r="155" spans="1:9" x14ac:dyDescent="0.25">
      <c r="A155" s="64">
        <v>45558</v>
      </c>
      <c r="B155" s="68">
        <v>0.75</v>
      </c>
      <c r="C155" s="65" t="s">
        <v>8</v>
      </c>
      <c r="D155" s="66" t="s">
        <v>153</v>
      </c>
      <c r="E155" s="9" t="s">
        <v>21</v>
      </c>
      <c r="F155" s="8">
        <f>(INT(Table_Lithuania[[#This Row],[Date]]) - DATE(1970, 1, 1)) * 86400000</f>
        <v>1727049600000</v>
      </c>
      <c r="G155" s="10">
        <f>'GMT Glossary'!$B$6</f>
        <v>3</v>
      </c>
      <c r="H155" s="2" t="str">
        <f>TEXT(IF(B155&lt;0, A155+1+((B155+(G155/24))-(INT(B155+(G155/24)))), A155+(B155+(G155/24))), "yyyy-mm-dd")</f>
        <v>2024-09-23</v>
      </c>
      <c r="I155" s="2" t="str">
        <f>TEXT(IF(B155&lt;0, A155+1+((B155+(G155/24))-(INT(B155+(G155/24)))), A155+(B155+(G155/24))), "hh:mm")</f>
        <v>21:00</v>
      </c>
    </row>
    <row r="156" spans="1:9" ht="15.75" x14ac:dyDescent="0.25">
      <c r="A156" s="60">
        <v>45558</v>
      </c>
      <c r="B156" s="51">
        <v>0.75</v>
      </c>
      <c r="C156" s="33" t="s">
        <v>8</v>
      </c>
      <c r="D156" s="44" t="s">
        <v>187</v>
      </c>
      <c r="E156" s="9" t="s">
        <v>72</v>
      </c>
      <c r="F156" s="8">
        <f>(INT(Table_Lithuania[[#This Row],[Date]]) - DATE(1970, 1, 1)) * 86400000</f>
        <v>1727049600000</v>
      </c>
      <c r="G156" s="10">
        <f>'GMT Glossary'!$B$6</f>
        <v>3</v>
      </c>
      <c r="H156" s="2" t="str">
        <f>TEXT(IF(B156&lt;0, A156+1+((B156+(G156/24))-(INT(B156+(G156/24)))), A156+(B156+(G156/24))), "yyyy-mm-dd")</f>
        <v>2024-09-23</v>
      </c>
      <c r="I156" s="2" t="str">
        <f>TEXT(IF(B156&lt;0, A156+1+((B156+(G156/24))-(INT(B156+(G156/24)))), A156+(B156+(G156/24))), "hh:mm")</f>
        <v>21:00</v>
      </c>
    </row>
    <row r="157" spans="1:9" x14ac:dyDescent="0.25">
      <c r="A157" s="64">
        <v>45558</v>
      </c>
      <c r="B157" s="68">
        <v>0.83333333333333337</v>
      </c>
      <c r="C157" s="65" t="s">
        <v>398</v>
      </c>
      <c r="D157" s="66" t="s">
        <v>45</v>
      </c>
      <c r="E157" s="9" t="s">
        <v>21</v>
      </c>
      <c r="F157" s="8">
        <f>(INT(Table_Lithuania[[#This Row],[Date]]) - DATE(1970, 1, 1)) * 86400000</f>
        <v>1727049600000</v>
      </c>
      <c r="G157">
        <f>'GMT Glossary'!$B$6</f>
        <v>3</v>
      </c>
      <c r="H157" s="2" t="str">
        <f>TEXT(IF(B157&lt;0, A157+1+((B157+(G157/24))-(INT(B157+(G157/24)))), A157+(B157+(G157/24))), "yyyy-mm-dd")</f>
        <v>2024-09-23</v>
      </c>
      <c r="I157" s="2" t="str">
        <f>TEXT(IF(B157&lt;0, A157+1+((B157+(G157/24))-(INT(B157+(G157/24)))), A157+(B157+(G157/24))), "hh:mm")</f>
        <v>23:00</v>
      </c>
    </row>
    <row r="158" spans="1:9" ht="15.75" x14ac:dyDescent="0.25">
      <c r="A158" s="60">
        <v>45558</v>
      </c>
      <c r="B158" s="51">
        <v>0.83333333333333337</v>
      </c>
      <c r="C158" s="33" t="s">
        <v>8</v>
      </c>
      <c r="D158" s="44" t="s">
        <v>188</v>
      </c>
      <c r="E158" s="9" t="s">
        <v>72</v>
      </c>
      <c r="F158" s="8">
        <f>(INT(Table_Lithuania[[#This Row],[Date]]) - DATE(1970, 1, 1)) * 86400000</f>
        <v>1727049600000</v>
      </c>
      <c r="G158" s="10">
        <f>'GMT Glossary'!$B$6</f>
        <v>3</v>
      </c>
      <c r="H158" s="2" t="str">
        <f>TEXT(IF(B158&lt;0, A158+1+((B158+(G158/24))-(INT(B158+(G158/24)))), A158+(B158+(G158/24))), "yyyy-mm-dd")</f>
        <v>2024-09-23</v>
      </c>
      <c r="I158" s="2" t="str">
        <f>TEXT(IF(B158&lt;0, A158+1+((B158+(G158/24))-(INT(B158+(G158/24)))), A158+(B158+(G158/24))), "hh:mm")</f>
        <v>23:00</v>
      </c>
    </row>
    <row r="159" spans="1:9" x14ac:dyDescent="0.25">
      <c r="A159" s="64">
        <v>45558</v>
      </c>
      <c r="B159" s="68">
        <v>0.90625</v>
      </c>
      <c r="C159" s="65" t="s">
        <v>8</v>
      </c>
      <c r="D159" s="66" t="s">
        <v>154</v>
      </c>
      <c r="E159" s="9" t="s">
        <v>21</v>
      </c>
      <c r="F159" s="8">
        <f>(INT(Table_Lithuania[[#This Row],[Date]]) - DATE(1970, 1, 1)) * 86400000</f>
        <v>1727049600000</v>
      </c>
      <c r="G159" s="10">
        <f>'GMT Glossary'!$B$6</f>
        <v>3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00:45</v>
      </c>
    </row>
    <row r="160" spans="1:9" ht="15.75" x14ac:dyDescent="0.25">
      <c r="A160" s="60">
        <v>45558</v>
      </c>
      <c r="B160" s="51">
        <v>0.91666666666666663</v>
      </c>
      <c r="C160" s="33" t="s">
        <v>8</v>
      </c>
      <c r="D160" s="44" t="s">
        <v>189</v>
      </c>
      <c r="E160" s="9" t="s">
        <v>72</v>
      </c>
      <c r="F160" s="8">
        <f>(INT(Table_Lithuania[[#This Row],[Date]]) - DATE(1970, 1, 1)) * 86400000</f>
        <v>1727049600000</v>
      </c>
      <c r="G160" s="10">
        <f>'GMT Glossary'!$B$6</f>
        <v>3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01:00</v>
      </c>
    </row>
    <row r="161" spans="1:9" x14ac:dyDescent="0.25">
      <c r="A161" s="64">
        <v>45559</v>
      </c>
      <c r="B161" s="68">
        <v>0</v>
      </c>
      <c r="C161" s="65" t="s">
        <v>398</v>
      </c>
      <c r="D161" s="66" t="s">
        <v>155</v>
      </c>
      <c r="E161" s="9" t="s">
        <v>21</v>
      </c>
      <c r="F161" s="8">
        <f>(INT(Table_Lithuania[[#This Row],[Date]]) - DATE(1970, 1, 1)) * 86400000</f>
        <v>1727136000000</v>
      </c>
      <c r="G161">
        <f>'GMT Glossary'!$B$6</f>
        <v>3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03:00</v>
      </c>
    </row>
    <row r="162" spans="1:9" ht="15.75" x14ac:dyDescent="0.25">
      <c r="A162" s="60">
        <v>45559</v>
      </c>
      <c r="B162" s="51">
        <v>0</v>
      </c>
      <c r="C162" s="33" t="s">
        <v>8</v>
      </c>
      <c r="D162" s="44" t="s">
        <v>157</v>
      </c>
      <c r="E162" s="9" t="s">
        <v>72</v>
      </c>
      <c r="F162" s="8">
        <f>(INT(Table_Lithuania[[#This Row],[Date]]) - DATE(1970, 1, 1)) * 86400000</f>
        <v>1727136000000</v>
      </c>
      <c r="G162" s="10">
        <f>'GMT Glossary'!$B$6</f>
        <v>3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03:00</v>
      </c>
    </row>
    <row r="163" spans="1:9" ht="15.75" x14ac:dyDescent="0.25">
      <c r="A163" s="60">
        <v>45559</v>
      </c>
      <c r="B163" s="51">
        <v>8.3333333333333329E-2</v>
      </c>
      <c r="C163" s="33" t="s">
        <v>8</v>
      </c>
      <c r="D163" s="44" t="s">
        <v>190</v>
      </c>
      <c r="E163" s="9" t="s">
        <v>72</v>
      </c>
      <c r="F163" s="8">
        <f>(INT(Table_Lithuania[[#This Row],[Date]]) - DATE(1970, 1, 1)) * 86400000</f>
        <v>1727136000000</v>
      </c>
      <c r="G163" s="10">
        <f>'GMT Glossary'!$B$6</f>
        <v>3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05:00</v>
      </c>
    </row>
    <row r="164" spans="1:9" x14ac:dyDescent="0.25">
      <c r="A164" s="64">
        <v>45559</v>
      </c>
      <c r="B164" s="68">
        <v>0.125</v>
      </c>
      <c r="C164" s="65" t="s">
        <v>398</v>
      </c>
      <c r="D164" s="66" t="s">
        <v>123</v>
      </c>
      <c r="E164" s="9" t="s">
        <v>21</v>
      </c>
      <c r="F164" s="8">
        <f>(INT(Table_Lithuania[[#This Row],[Date]]) - DATE(1970, 1, 1)) * 86400000</f>
        <v>1727136000000</v>
      </c>
      <c r="G164" s="10">
        <f>'GMT Glossary'!$B$6</f>
        <v>3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06:00</v>
      </c>
    </row>
    <row r="165" spans="1:9" ht="15.75" x14ac:dyDescent="0.25">
      <c r="A165" s="60">
        <v>45559</v>
      </c>
      <c r="B165" s="51">
        <v>0.16666666666666666</v>
      </c>
      <c r="C165" s="33" t="s">
        <v>8</v>
      </c>
      <c r="D165" s="44" t="s">
        <v>191</v>
      </c>
      <c r="E165" s="9" t="s">
        <v>72</v>
      </c>
      <c r="F165" s="8">
        <f>(INT(Table_Lithuania[[#This Row],[Date]]) - DATE(1970, 1, 1)) * 86400000</f>
        <v>1727136000000</v>
      </c>
      <c r="G165" s="10">
        <f>'GMT Glossary'!$B$6</f>
        <v>3</v>
      </c>
      <c r="H165" s="2" t="str">
        <f>TEXT(IF(B165&lt;0, A165+1+((B165+(G165/24))-(INT(B165+(G165/24)))), A165+(B165+(G165/24))), "yyyy-mm-dd")</f>
        <v>2024-09-24</v>
      </c>
      <c r="I165" s="2" t="str">
        <f>TEXT(IF(B165&lt;0, A165+1+((B165+(G165/24))-(INT(B165+(G165/24)))), A165+(B165+(G165/24))), "hh:mm")</f>
        <v>07:00</v>
      </c>
    </row>
    <row r="166" spans="1:9" x14ac:dyDescent="0.25">
      <c r="A166" s="64">
        <v>45559</v>
      </c>
      <c r="B166" s="68">
        <v>0.25</v>
      </c>
      <c r="C166" s="65" t="s">
        <v>8</v>
      </c>
      <c r="D166" s="66" t="s">
        <v>156</v>
      </c>
      <c r="E166" s="9" t="s">
        <v>21</v>
      </c>
      <c r="F166" s="8">
        <f>(INT(Table_Lithuania[[#This Row],[Date]]) - DATE(1970, 1, 1)) * 86400000</f>
        <v>1727136000000</v>
      </c>
      <c r="G166">
        <f>'GMT Glossary'!$B$6</f>
        <v>3</v>
      </c>
      <c r="H166" s="2" t="str">
        <f>TEXT(IF(B166&lt;0, A166+1+((B166+(G166/24))-(INT(B166+(G166/24)))), A166+(B166+(G166/24))), "yyyy-mm-dd")</f>
        <v>2024-09-24</v>
      </c>
      <c r="I166" s="2" t="str">
        <f>TEXT(IF(B166&lt;0, A166+1+((B166+(G166/24))-(INT(B166+(G166/24)))), A166+(B166+(G166/24))), "hh:mm")</f>
        <v>09:00</v>
      </c>
    </row>
    <row r="167" spans="1:9" ht="15.75" x14ac:dyDescent="0.25">
      <c r="A167" s="60">
        <v>45559</v>
      </c>
      <c r="B167" s="51">
        <v>0.25</v>
      </c>
      <c r="C167" s="33" t="s">
        <v>8</v>
      </c>
      <c r="D167" s="44" t="s">
        <v>192</v>
      </c>
      <c r="E167" s="9" t="s">
        <v>72</v>
      </c>
      <c r="F167" s="8">
        <f>(INT(Table_Lithuania[[#This Row],[Date]]) - DATE(1970, 1, 1)) * 86400000</f>
        <v>1727136000000</v>
      </c>
      <c r="G167" s="10">
        <f>'GMT Glossary'!$B$6</f>
        <v>3</v>
      </c>
      <c r="H167" s="2" t="str">
        <f>TEXT(IF(B167&lt;0, A167+1+((B167+(G167/24))-(INT(B167+(G167/24)))), A167+(B167+(G167/24))), "yyyy-mm-dd")</f>
        <v>2024-09-24</v>
      </c>
      <c r="I167" s="2" t="str">
        <f>TEXT(IF(B167&lt;0, A167+1+((B167+(G167/24))-(INT(B167+(G167/24)))), A167+(B167+(G167/24))), "hh:mm")</f>
        <v>09:00</v>
      </c>
    </row>
    <row r="168" spans="1:9" x14ac:dyDescent="0.25">
      <c r="A168" s="64">
        <v>45559</v>
      </c>
      <c r="B168" s="68">
        <v>0.33333333333333331</v>
      </c>
      <c r="C168" s="65" t="s">
        <v>8</v>
      </c>
      <c r="D168" s="66" t="s">
        <v>157</v>
      </c>
      <c r="E168" s="9" t="s">
        <v>21</v>
      </c>
      <c r="F168" s="8">
        <f>(INT(Table_Lithuania[[#This Row],[Date]]) - DATE(1970, 1, 1)) * 86400000</f>
        <v>1727136000000</v>
      </c>
      <c r="G168" s="10">
        <f>'GMT Glossary'!$B$6</f>
        <v>3</v>
      </c>
      <c r="H168" s="2" t="str">
        <f>TEXT(IF(B168&lt;0, A168+1+((B168+(G168/24))-(INT(B168+(G168/24)))), A168+(B168+(G168/24))), "yyyy-mm-dd")</f>
        <v>2024-09-24</v>
      </c>
      <c r="I168" s="2" t="str">
        <f>TEXT(IF(B168&lt;0, A168+1+((B168+(G168/24))-(INT(B168+(G168/24)))), A168+(B168+(G168/24))), "hh:mm")</f>
        <v>11:00</v>
      </c>
    </row>
    <row r="169" spans="1:9" ht="15.75" x14ac:dyDescent="0.25">
      <c r="A169" s="60">
        <v>45559</v>
      </c>
      <c r="B169" s="51">
        <v>0.33333333333333331</v>
      </c>
      <c r="C169" s="33" t="s">
        <v>8</v>
      </c>
      <c r="D169" s="44" t="s">
        <v>193</v>
      </c>
      <c r="E169" s="9" t="s">
        <v>72</v>
      </c>
      <c r="F169" s="8">
        <f>(INT(Table_Lithuania[[#This Row],[Date]]) - DATE(1970, 1, 1)) * 86400000</f>
        <v>1727136000000</v>
      </c>
      <c r="G169" s="10">
        <f>'GMT Glossary'!$B$6</f>
        <v>3</v>
      </c>
      <c r="H169" s="2" t="str">
        <f>TEXT(IF(B169&lt;0, A169+1+((B169+(G169/24))-(INT(B169+(G169/24)))), A169+(B169+(G169/24))), "yyyy-mm-dd")</f>
        <v>2024-09-24</v>
      </c>
      <c r="I169" s="2" t="str">
        <f>TEXT(IF(B169&lt;0, A169+1+((B169+(G169/24))-(INT(B169+(G169/24)))), A169+(B169+(G169/24))), "hh:mm")</f>
        <v>11:00</v>
      </c>
    </row>
    <row r="170" spans="1:9" x14ac:dyDescent="0.25">
      <c r="A170" s="64">
        <v>45559</v>
      </c>
      <c r="B170" s="68">
        <v>0.41666666666666669</v>
      </c>
      <c r="C170" s="65" t="s">
        <v>8</v>
      </c>
      <c r="D170" s="66" t="s">
        <v>158</v>
      </c>
      <c r="E170" s="9" t="s">
        <v>21</v>
      </c>
      <c r="F170" s="8">
        <f>(INT(Table_Lithuania[[#This Row],[Date]]) - DATE(1970, 1, 1)) * 86400000</f>
        <v>1727136000000</v>
      </c>
      <c r="G170">
        <f>'GMT Glossary'!$B$6</f>
        <v>3</v>
      </c>
      <c r="H170" s="2" t="str">
        <f>TEXT(IF(B170&lt;0, A170+1+((B170+(G170/24))-(INT(B170+(G170/24)))), A170+(B170+(G170/24))), "yyyy-mm-dd")</f>
        <v>2024-09-24</v>
      </c>
      <c r="I170" s="2" t="str">
        <f>TEXT(IF(B170&lt;0, A170+1+((B170+(G170/24))-(INT(B170+(G170/24)))), A170+(B170+(G170/24))), "hh:mm")</f>
        <v>13:00</v>
      </c>
    </row>
    <row r="171" spans="1:9" ht="15.75" x14ac:dyDescent="0.25">
      <c r="A171" s="42">
        <v>45559</v>
      </c>
      <c r="B171" s="40">
        <v>0.41666666666666669</v>
      </c>
      <c r="C171" s="34" t="s">
        <v>8</v>
      </c>
      <c r="D171" s="37" t="s">
        <v>194</v>
      </c>
      <c r="E171" s="9" t="s">
        <v>72</v>
      </c>
      <c r="F171" s="21">
        <f>(INT(Table_Lithuania[[#This Row],[Date]]) - DATE(1970, 1, 1)) * 86400000</f>
        <v>1727136000000</v>
      </c>
      <c r="G171" s="12">
        <f>'GMT Glossary'!$B$6</f>
        <v>3</v>
      </c>
      <c r="H171" s="18" t="str">
        <f>TEXT(IF(B171&lt;0, A171+1+((B171+(G171/24))-(INT(B171+(G171/24)))), A171+(B171+(G171/24))), "yyyy-mm-dd")</f>
        <v>2024-09-24</v>
      </c>
      <c r="I171" s="18" t="str">
        <f>TEXT(IF(B171&lt;0, A171+1+((B171+(G171/24))-(INT(B171+(G171/24)))), A171+(B171+(G171/24))), "hh:mm")</f>
        <v>13:00</v>
      </c>
    </row>
  </sheetData>
  <sortState ref="A2:I171">
    <sortCondition ref="A2:A171"/>
    <sortCondition ref="B2:B17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137A0-99E3-47C4-9239-F6CD3B26EE76}">
  <sheetPr codeName="Sheet6"/>
  <dimension ref="A1:I165"/>
  <sheetViews>
    <sheetView topLeftCell="A110" workbookViewId="0">
      <selection activeCell="D128" sqref="D128"/>
    </sheetView>
  </sheetViews>
  <sheetFormatPr defaultRowHeight="15" x14ac:dyDescent="0.25"/>
  <cols>
    <col min="1" max="1" width="25.85546875" customWidth="1"/>
    <col min="2" max="3" width="27.28515625" customWidth="1"/>
    <col min="4" max="4" width="51.85546875" customWidth="1"/>
    <col min="5" max="5" width="47.5703125" bestFit="1" customWidth="1"/>
    <col min="6" max="6" width="30.85546875" style="8" bestFit="1" customWidth="1"/>
    <col min="7" max="7" width="43.85546875" customWidth="1"/>
    <col min="8" max="8" width="45.7109375" customWidth="1"/>
    <col min="9" max="9" width="30.8554687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9" x14ac:dyDescent="0.25">
      <c r="A2" s="43">
        <v>45552</v>
      </c>
      <c r="B2" s="41">
        <v>0.375</v>
      </c>
      <c r="C2" s="45" t="s">
        <v>8</v>
      </c>
      <c r="D2" s="36" t="s">
        <v>78</v>
      </c>
      <c r="E2" s="9" t="s">
        <v>21</v>
      </c>
      <c r="F2" s="8">
        <f>(INT(Table_Azerbaijan[[#This Row],[Date]]) - DATE(1970, 1, 1)) * 86400000</f>
        <v>1726531200000</v>
      </c>
      <c r="G2">
        <f>'GMT Glossary'!$B$1</f>
        <v>4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13:00</v>
      </c>
    </row>
    <row r="3" spans="1:9" x14ac:dyDescent="0.25">
      <c r="A3" s="46">
        <v>45552</v>
      </c>
      <c r="B3" s="38">
        <v>0.375</v>
      </c>
      <c r="C3" s="49" t="s">
        <v>8</v>
      </c>
      <c r="D3" s="36" t="s">
        <v>108</v>
      </c>
      <c r="E3" s="9" t="s">
        <v>72</v>
      </c>
      <c r="F3" s="8">
        <f>(INT(Table_Azerbaijan[[#This Row],[Date]]) - DATE(1970, 1, 1)) * 86400000</f>
        <v>1726531200000</v>
      </c>
      <c r="G3" s="10">
        <f>'GMT Glossary'!$B$1</f>
        <v>4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13:00</v>
      </c>
    </row>
    <row r="4" spans="1:9" x14ac:dyDescent="0.25">
      <c r="A4" s="43">
        <v>45552</v>
      </c>
      <c r="B4" s="41">
        <v>0.45833333333333331</v>
      </c>
      <c r="C4" s="45" t="s">
        <v>8</v>
      </c>
      <c r="D4" s="36" t="s">
        <v>195</v>
      </c>
      <c r="E4" s="9" t="s">
        <v>21</v>
      </c>
      <c r="F4" s="8">
        <f>(INT(Table_Azerbaijan[[#This Row],[Date]]) - DATE(1970, 1, 1)) * 86400000</f>
        <v>1726531200000</v>
      </c>
      <c r="G4" s="10">
        <f>'GMT Glossary'!$B$1</f>
        <v>4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15:00</v>
      </c>
    </row>
    <row r="5" spans="1:9" x14ac:dyDescent="0.25">
      <c r="A5" s="46">
        <v>45552</v>
      </c>
      <c r="B5" s="38">
        <v>0.45833333333333331</v>
      </c>
      <c r="C5" s="49" t="s">
        <v>8</v>
      </c>
      <c r="D5" s="55" t="s">
        <v>229</v>
      </c>
      <c r="E5" s="9" t="s">
        <v>72</v>
      </c>
      <c r="F5" s="8">
        <f>(INT(Table_Azerbaijan[[#This Row],[Date]]) - DATE(1970, 1, 1)) * 86400000</f>
        <v>1726531200000</v>
      </c>
      <c r="G5" s="10">
        <f>'GMT Glossary'!$B$1</f>
        <v>4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15:00</v>
      </c>
    </row>
    <row r="6" spans="1:9" x14ac:dyDescent="0.25">
      <c r="A6" s="43">
        <v>45552</v>
      </c>
      <c r="B6" s="41">
        <v>0.54166666666666663</v>
      </c>
      <c r="C6" s="45" t="s">
        <v>8</v>
      </c>
      <c r="D6" s="36" t="s">
        <v>129</v>
      </c>
      <c r="E6" s="9" t="s">
        <v>21</v>
      </c>
      <c r="F6" s="8">
        <f>(INT(Table_Azerbaijan[[#This Row],[Date]]) - DATE(1970, 1, 1)) * 86400000</f>
        <v>1726531200000</v>
      </c>
      <c r="G6">
        <f>'GMT Glossary'!$B$1</f>
        <v>4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17:00</v>
      </c>
    </row>
    <row r="7" spans="1:9" x14ac:dyDescent="0.25">
      <c r="A7" s="46">
        <v>45552</v>
      </c>
      <c r="B7" s="38">
        <v>0.54166666666666663</v>
      </c>
      <c r="C7" s="49" t="s">
        <v>8</v>
      </c>
      <c r="D7" s="55" t="s">
        <v>230</v>
      </c>
      <c r="E7" s="9" t="s">
        <v>72</v>
      </c>
      <c r="F7" s="8">
        <f>(INT(Table_Azerbaijan[[#This Row],[Date]]) - DATE(1970, 1, 1)) * 86400000</f>
        <v>1726531200000</v>
      </c>
      <c r="G7" s="10">
        <f>'GMT Glossary'!$B$1</f>
        <v>4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17:00</v>
      </c>
    </row>
    <row r="8" spans="1:9" x14ac:dyDescent="0.25">
      <c r="A8" s="43">
        <v>45552</v>
      </c>
      <c r="B8" s="41">
        <v>0.625</v>
      </c>
      <c r="C8" s="45" t="s">
        <v>8</v>
      </c>
      <c r="D8" s="36" t="s">
        <v>79</v>
      </c>
      <c r="E8" s="9" t="s">
        <v>21</v>
      </c>
      <c r="F8" s="8">
        <f>(INT(Table_Azerbaijan[[#This Row],[Date]]) - DATE(1970, 1, 1)) * 86400000</f>
        <v>1726531200000</v>
      </c>
      <c r="G8" s="10">
        <f>'GMT Glossary'!$B$1</f>
        <v>4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19:00</v>
      </c>
    </row>
    <row r="9" spans="1:9" x14ac:dyDescent="0.25">
      <c r="A9" s="46">
        <v>45552</v>
      </c>
      <c r="B9" s="38">
        <v>0.625</v>
      </c>
      <c r="C9" s="49" t="s">
        <v>8</v>
      </c>
      <c r="D9" s="36" t="s">
        <v>88</v>
      </c>
      <c r="E9" s="9" t="s">
        <v>72</v>
      </c>
      <c r="F9" s="8">
        <f>(INT(Table_Azerbaijan[[#This Row],[Date]]) - DATE(1970, 1, 1)) * 86400000</f>
        <v>1726531200000</v>
      </c>
      <c r="G9" s="10">
        <f>'GMT Glossary'!$B$1</f>
        <v>4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19:00</v>
      </c>
    </row>
    <row r="10" spans="1:9" x14ac:dyDescent="0.25">
      <c r="A10" s="43">
        <v>45552</v>
      </c>
      <c r="B10" s="41">
        <v>0.70833333333333337</v>
      </c>
      <c r="C10" s="45" t="s">
        <v>8</v>
      </c>
      <c r="D10" s="36" t="s">
        <v>43</v>
      </c>
      <c r="E10" s="9" t="s">
        <v>21</v>
      </c>
      <c r="F10" s="8">
        <f>(INT(Table_Azerbaijan[[#This Row],[Date]]) - DATE(1970, 1, 1)) * 86400000</f>
        <v>1726531200000</v>
      </c>
      <c r="G10">
        <f>'GMT Glossary'!$B$1</f>
        <v>4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21:00</v>
      </c>
    </row>
    <row r="11" spans="1:9" x14ac:dyDescent="0.25">
      <c r="A11" s="46">
        <v>45552</v>
      </c>
      <c r="B11" s="38">
        <v>0.70833333333333337</v>
      </c>
      <c r="C11" s="49" t="s">
        <v>8</v>
      </c>
      <c r="D11" s="55" t="s">
        <v>93</v>
      </c>
      <c r="E11" s="9" t="s">
        <v>72</v>
      </c>
      <c r="F11" s="8">
        <f>(INT(Table_Azerbaijan[[#This Row],[Date]]) - DATE(1970, 1, 1)) * 86400000</f>
        <v>1726531200000</v>
      </c>
      <c r="G11" s="10">
        <f>'GMT Glossary'!$B$1</f>
        <v>4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21:00</v>
      </c>
    </row>
    <row r="12" spans="1:9" x14ac:dyDescent="0.25">
      <c r="A12" s="46">
        <v>45552</v>
      </c>
      <c r="B12" s="38">
        <v>0.78125</v>
      </c>
      <c r="C12" s="49" t="s">
        <v>8</v>
      </c>
      <c r="D12" s="61" t="s">
        <v>231</v>
      </c>
      <c r="E12" s="9" t="s">
        <v>72</v>
      </c>
      <c r="F12" s="8">
        <f>(INT(Table_Azerbaijan[[#This Row],[Date]]) - DATE(1970, 1, 1)) * 86400000</f>
        <v>1726531200000</v>
      </c>
      <c r="G12" s="10">
        <f>'GMT Glossary'!$B$1</f>
        <v>4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22:45</v>
      </c>
    </row>
    <row r="13" spans="1:9" x14ac:dyDescent="0.25">
      <c r="A13" s="43">
        <v>45552</v>
      </c>
      <c r="B13" s="41">
        <v>0.79166666666666663</v>
      </c>
      <c r="C13" s="45" t="s">
        <v>8</v>
      </c>
      <c r="D13" s="56" t="s">
        <v>196</v>
      </c>
      <c r="E13" s="9" t="s">
        <v>21</v>
      </c>
      <c r="F13" s="8">
        <f>(INT(Table_Azerbaijan[[#This Row],[Date]]) - DATE(1970, 1, 1)) * 86400000</f>
        <v>1726531200000</v>
      </c>
      <c r="G13" s="10">
        <f>'GMT Glossary'!$B$1</f>
        <v>4</v>
      </c>
      <c r="H13" s="2" t="str">
        <f>TEXT(IF(B13&lt;0, A13+1+((B13+(G13/24))-(INT(B13+(G13/24)))), A13+(B13+(G13/24))), "yyyy-mm-dd")</f>
        <v>2024-09-17</v>
      </c>
      <c r="I13" s="2" t="str">
        <f>TEXT(IF(B13&lt;0, A13+1+((B13+(G13/24))-(INT(B13+(G13/24)))), A13+(B13+(G13/24))), "hh:mm")</f>
        <v>23:00</v>
      </c>
    </row>
    <row r="14" spans="1:9" x14ac:dyDescent="0.25">
      <c r="A14" s="43">
        <v>45552</v>
      </c>
      <c r="B14" s="41">
        <v>0.875</v>
      </c>
      <c r="C14" s="45" t="s">
        <v>8</v>
      </c>
      <c r="D14" s="36" t="s">
        <v>197</v>
      </c>
      <c r="E14" s="9" t="s">
        <v>21</v>
      </c>
      <c r="F14" s="8">
        <f>(INT(Table_Azerbaijan[[#This Row],[Date]]) - DATE(1970, 1, 1)) * 86400000</f>
        <v>1726531200000</v>
      </c>
      <c r="G14">
        <f>'GMT Glossary'!$B$1</f>
        <v>4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01:00</v>
      </c>
    </row>
    <row r="15" spans="1:9" x14ac:dyDescent="0.25">
      <c r="A15" s="46">
        <v>45552</v>
      </c>
      <c r="B15" s="38">
        <v>0.875</v>
      </c>
      <c r="C15" s="49" t="s">
        <v>8</v>
      </c>
      <c r="D15" s="36" t="s">
        <v>89</v>
      </c>
      <c r="E15" s="9" t="s">
        <v>72</v>
      </c>
      <c r="F15" s="8">
        <f>(INT(Table_Azerbaijan[[#This Row],[Date]]) - DATE(1970, 1, 1)) * 86400000</f>
        <v>1726531200000</v>
      </c>
      <c r="G15" s="10">
        <f>'GMT Glossary'!$B$1</f>
        <v>4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01:00</v>
      </c>
    </row>
    <row r="16" spans="1:9" x14ac:dyDescent="0.25">
      <c r="A16" s="43">
        <v>45552</v>
      </c>
      <c r="B16" s="41">
        <v>0.95833333333333337</v>
      </c>
      <c r="C16" s="45" t="s">
        <v>8</v>
      </c>
      <c r="D16" s="36" t="s">
        <v>198</v>
      </c>
      <c r="E16" s="9" t="s">
        <v>21</v>
      </c>
      <c r="F16" s="8">
        <f>(INT(Table_Azerbaijan[[#This Row],[Date]]) - DATE(1970, 1, 1)) * 86400000</f>
        <v>1726531200000</v>
      </c>
      <c r="G16" s="10">
        <f>'GMT Glossary'!$B$1</f>
        <v>4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03:00</v>
      </c>
    </row>
    <row r="17" spans="1:9" x14ac:dyDescent="0.25">
      <c r="A17" s="46">
        <v>45552</v>
      </c>
      <c r="B17" s="38">
        <v>0.95833333333333337</v>
      </c>
      <c r="C17" s="49" t="s">
        <v>8</v>
      </c>
      <c r="D17" s="55" t="s">
        <v>232</v>
      </c>
      <c r="E17" s="9" t="s">
        <v>72</v>
      </c>
      <c r="F17" s="8">
        <f>(INT(Table_Azerbaijan[[#This Row],[Date]]) - DATE(1970, 1, 1)) * 86400000</f>
        <v>1726531200000</v>
      </c>
      <c r="G17" s="10">
        <f>'GMT Glossary'!$B$1</f>
        <v>4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03:00</v>
      </c>
    </row>
    <row r="18" spans="1:9" x14ac:dyDescent="0.25">
      <c r="A18" s="43">
        <v>45553</v>
      </c>
      <c r="B18" s="41">
        <v>4.1666666666666664E-2</v>
      </c>
      <c r="C18" s="45" t="s">
        <v>8</v>
      </c>
      <c r="D18" s="36" t="s">
        <v>74</v>
      </c>
      <c r="E18" s="9" t="s">
        <v>21</v>
      </c>
      <c r="F18" s="8">
        <f>(INT(Table_Azerbaijan[[#This Row],[Date]]) - DATE(1970, 1, 1)) * 86400000</f>
        <v>1726617600000</v>
      </c>
      <c r="G18">
        <f>'GMT Glossary'!$B$1</f>
        <v>4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05:00</v>
      </c>
    </row>
    <row r="19" spans="1:9" x14ac:dyDescent="0.25">
      <c r="A19" s="43">
        <v>45553</v>
      </c>
      <c r="B19" s="41">
        <v>4.1666666666666664E-2</v>
      </c>
      <c r="C19" s="45" t="s">
        <v>8</v>
      </c>
      <c r="D19" s="36" t="s">
        <v>75</v>
      </c>
      <c r="E19" s="9" t="s">
        <v>21</v>
      </c>
      <c r="F19" s="8">
        <f>(INT(Table_Azerbaijan[[#This Row],[Date]]) - DATE(1970, 1, 1)) * 86400000</f>
        <v>1726617600000</v>
      </c>
      <c r="G19" s="10">
        <f>'GMT Glossary'!$B$1</f>
        <v>4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05:00</v>
      </c>
    </row>
    <row r="20" spans="1:9" x14ac:dyDescent="0.25">
      <c r="A20" s="46">
        <v>45553</v>
      </c>
      <c r="B20" s="38">
        <v>4.1666666666666664E-2</v>
      </c>
      <c r="C20" s="49" t="s">
        <v>8</v>
      </c>
      <c r="D20" s="36" t="s">
        <v>102</v>
      </c>
      <c r="E20" s="9" t="s">
        <v>72</v>
      </c>
      <c r="F20" s="8">
        <f>(INT(Table_Azerbaijan[[#This Row],[Date]]) - DATE(1970, 1, 1)) * 86400000</f>
        <v>1726617600000</v>
      </c>
      <c r="G20" s="10">
        <f>'GMT Glossary'!$B$1</f>
        <v>4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05:00</v>
      </c>
    </row>
    <row r="21" spans="1:9" x14ac:dyDescent="0.25">
      <c r="A21" s="43">
        <v>45553</v>
      </c>
      <c r="B21" s="41">
        <v>0.125</v>
      </c>
      <c r="C21" s="45" t="s">
        <v>8</v>
      </c>
      <c r="D21" s="58" t="s">
        <v>77</v>
      </c>
      <c r="E21" s="9" t="s">
        <v>21</v>
      </c>
      <c r="F21" s="8">
        <f>(INT(Table_Azerbaijan[[#This Row],[Date]]) - DATE(1970, 1, 1)) * 86400000</f>
        <v>1726617600000</v>
      </c>
      <c r="G21" s="10">
        <f>'GMT Glossary'!$B$1</f>
        <v>4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07:00</v>
      </c>
    </row>
    <row r="22" spans="1:9" x14ac:dyDescent="0.25">
      <c r="A22" s="46">
        <v>45553</v>
      </c>
      <c r="B22" s="38">
        <v>0.125</v>
      </c>
      <c r="C22" s="49" t="s">
        <v>401</v>
      </c>
      <c r="D22" s="36" t="s">
        <v>81</v>
      </c>
      <c r="E22" s="9" t="s">
        <v>72</v>
      </c>
      <c r="F22" s="8">
        <f>(INT(Table_Azerbaijan[[#This Row],[Date]]) - DATE(1970, 1, 1)) * 86400000</f>
        <v>1726617600000</v>
      </c>
      <c r="G22" s="10">
        <f>'GMT Glossary'!$B$1</f>
        <v>4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07:00</v>
      </c>
    </row>
    <row r="23" spans="1:9" x14ac:dyDescent="0.25">
      <c r="A23" s="43">
        <v>45553</v>
      </c>
      <c r="B23" s="41">
        <v>0.20833333333333334</v>
      </c>
      <c r="C23" s="45" t="s">
        <v>8</v>
      </c>
      <c r="D23" s="36" t="s">
        <v>80</v>
      </c>
      <c r="E23" s="9" t="s">
        <v>21</v>
      </c>
      <c r="F23" s="8">
        <f>(INT(Table_Azerbaijan[[#This Row],[Date]]) - DATE(1970, 1, 1)) * 86400000</f>
        <v>1726617600000</v>
      </c>
      <c r="G23" s="10">
        <f>'GMT Glossary'!$B$1</f>
        <v>4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09:00</v>
      </c>
    </row>
    <row r="24" spans="1:9" x14ac:dyDescent="0.25">
      <c r="A24" s="46">
        <v>45553</v>
      </c>
      <c r="B24" s="38">
        <v>0.25</v>
      </c>
      <c r="C24" s="49" t="s">
        <v>402</v>
      </c>
      <c r="D24" s="55" t="s">
        <v>82</v>
      </c>
      <c r="E24" s="9" t="s">
        <v>72</v>
      </c>
      <c r="F24" s="8">
        <f>(INT(Table_Azerbaijan[[#This Row],[Date]]) - DATE(1970, 1, 1)) * 86400000</f>
        <v>1726617600000</v>
      </c>
      <c r="G24" s="10">
        <f>'GMT Glossary'!$B$1</f>
        <v>4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10:00</v>
      </c>
    </row>
    <row r="25" spans="1:9" x14ac:dyDescent="0.25">
      <c r="A25" s="43">
        <v>45553</v>
      </c>
      <c r="B25" s="41">
        <v>0.29166666666666669</v>
      </c>
      <c r="C25" s="45" t="s">
        <v>8</v>
      </c>
      <c r="D25" s="36" t="s">
        <v>199</v>
      </c>
      <c r="E25" s="9" t="s">
        <v>21</v>
      </c>
      <c r="F25" s="8">
        <f>(INT(Table_Azerbaijan[[#This Row],[Date]]) - DATE(1970, 1, 1)) * 86400000</f>
        <v>1726617600000</v>
      </c>
      <c r="G25">
        <f>'GMT Glossary'!$B$1</f>
        <v>4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11:00</v>
      </c>
    </row>
    <row r="26" spans="1:9" x14ac:dyDescent="0.25">
      <c r="A26" s="43">
        <v>45553</v>
      </c>
      <c r="B26" s="41">
        <v>0.375</v>
      </c>
      <c r="C26" s="45" t="s">
        <v>8</v>
      </c>
      <c r="D26" s="36" t="s">
        <v>200</v>
      </c>
      <c r="E26" s="9" t="s">
        <v>21</v>
      </c>
      <c r="F26" s="8">
        <f>(INT(Table_Azerbaijan[[#This Row],[Date]]) - DATE(1970, 1, 1)) * 86400000</f>
        <v>1726617600000</v>
      </c>
      <c r="G26">
        <f>'GMT Glossary'!$B$1</f>
        <v>4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13:00</v>
      </c>
    </row>
    <row r="27" spans="1:9" x14ac:dyDescent="0.25">
      <c r="A27" s="46">
        <v>45553</v>
      </c>
      <c r="B27" s="38">
        <v>0.375</v>
      </c>
      <c r="C27" s="49" t="s">
        <v>8</v>
      </c>
      <c r="D27" s="55" t="s">
        <v>90</v>
      </c>
      <c r="E27" s="9" t="s">
        <v>72</v>
      </c>
      <c r="F27" s="8">
        <f>(INT(Table_Azerbaijan[[#This Row],[Date]]) - DATE(1970, 1, 1)) * 86400000</f>
        <v>1726617600000</v>
      </c>
      <c r="G27" s="10">
        <f>'GMT Glossary'!$B$1</f>
        <v>4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13:00</v>
      </c>
    </row>
    <row r="28" spans="1:9" x14ac:dyDescent="0.25">
      <c r="A28" s="43">
        <v>45553</v>
      </c>
      <c r="B28" s="41">
        <v>0.41666666666666669</v>
      </c>
      <c r="C28" s="45" t="s">
        <v>8</v>
      </c>
      <c r="D28" s="36" t="s">
        <v>99</v>
      </c>
      <c r="E28" s="9" t="s">
        <v>21</v>
      </c>
      <c r="F28" s="8">
        <f>(INT(Table_Azerbaijan[[#This Row],[Date]]) - DATE(1970, 1, 1)) * 86400000</f>
        <v>1726617600000</v>
      </c>
      <c r="G28" s="10">
        <f>'GMT Glossary'!$B$1</f>
        <v>4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14:00</v>
      </c>
    </row>
    <row r="29" spans="1:9" x14ac:dyDescent="0.25">
      <c r="A29" s="43">
        <v>45553</v>
      </c>
      <c r="B29" s="41">
        <v>0.45833333333333331</v>
      </c>
      <c r="C29" s="45" t="s">
        <v>8</v>
      </c>
      <c r="D29" s="36" t="s">
        <v>201</v>
      </c>
      <c r="E29" s="9" t="s">
        <v>21</v>
      </c>
      <c r="F29" s="8">
        <f>(INT(Table_Azerbaijan[[#This Row],[Date]]) - DATE(1970, 1, 1)) * 86400000</f>
        <v>1726617600000</v>
      </c>
      <c r="G29">
        <f>'GMT Glossary'!$B$1</f>
        <v>4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15:00</v>
      </c>
    </row>
    <row r="30" spans="1:9" x14ac:dyDescent="0.25">
      <c r="A30" s="46">
        <v>45553</v>
      </c>
      <c r="B30" s="38">
        <v>0.45833333333333331</v>
      </c>
      <c r="C30" s="49" t="s">
        <v>8</v>
      </c>
      <c r="D30" s="36" t="s">
        <v>108</v>
      </c>
      <c r="E30" s="9" t="s">
        <v>72</v>
      </c>
      <c r="F30" s="8">
        <f>(INT(Table_Azerbaijan[[#This Row],[Date]]) - DATE(1970, 1, 1)) * 86400000</f>
        <v>1726617600000</v>
      </c>
      <c r="G30" s="10">
        <f>'GMT Glossary'!$B$1</f>
        <v>4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15:00</v>
      </c>
    </row>
    <row r="31" spans="1:9" x14ac:dyDescent="0.25">
      <c r="A31" s="43">
        <v>45553</v>
      </c>
      <c r="B31" s="41">
        <v>0.5</v>
      </c>
      <c r="C31" s="45" t="s">
        <v>8</v>
      </c>
      <c r="D31" s="36" t="s">
        <v>202</v>
      </c>
      <c r="E31" s="9" t="s">
        <v>21</v>
      </c>
      <c r="F31" s="8">
        <f>(INT(Table_Azerbaijan[[#This Row],[Date]]) - DATE(1970, 1, 1)) * 86400000</f>
        <v>1726617600000</v>
      </c>
      <c r="G31" s="10">
        <f>'GMT Glossary'!$B$1</f>
        <v>4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16:00</v>
      </c>
    </row>
    <row r="32" spans="1:9" x14ac:dyDescent="0.25">
      <c r="A32" s="43">
        <v>45553</v>
      </c>
      <c r="B32" s="41">
        <v>0.54166666666666663</v>
      </c>
      <c r="C32" s="45" t="s">
        <v>8</v>
      </c>
      <c r="D32" s="36" t="s">
        <v>203</v>
      </c>
      <c r="E32" s="9" t="s">
        <v>21</v>
      </c>
      <c r="F32" s="8">
        <f>(INT(Table_Azerbaijan[[#This Row],[Date]]) - DATE(1970, 1, 1)) * 86400000</f>
        <v>1726617600000</v>
      </c>
      <c r="G32">
        <f>'GMT Glossary'!$B$1</f>
        <v>4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17:00</v>
      </c>
    </row>
    <row r="33" spans="1:9" x14ac:dyDescent="0.25">
      <c r="A33" s="46">
        <v>45553</v>
      </c>
      <c r="B33" s="38">
        <v>0.54166666666666663</v>
      </c>
      <c r="C33" s="49" t="s">
        <v>8</v>
      </c>
      <c r="D33" s="36" t="s">
        <v>35</v>
      </c>
      <c r="E33" s="9" t="s">
        <v>72</v>
      </c>
      <c r="F33" s="8">
        <f>(INT(Table_Azerbaijan[[#This Row],[Date]]) - DATE(1970, 1, 1)) * 86400000</f>
        <v>1726617600000</v>
      </c>
      <c r="G33" s="10">
        <f>'GMT Glossary'!$B$1</f>
        <v>4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17:00</v>
      </c>
    </row>
    <row r="34" spans="1:9" x14ac:dyDescent="0.25">
      <c r="A34" s="43">
        <v>45553</v>
      </c>
      <c r="B34" s="41">
        <v>0.625</v>
      </c>
      <c r="C34" s="45" t="s">
        <v>8</v>
      </c>
      <c r="D34" s="58" t="s">
        <v>74</v>
      </c>
      <c r="E34" s="9" t="s">
        <v>21</v>
      </c>
      <c r="F34" s="8">
        <f>(INT(Table_Azerbaijan[[#This Row],[Date]]) - DATE(1970, 1, 1)) * 86400000</f>
        <v>1726617600000</v>
      </c>
      <c r="G34">
        <f>'GMT Glossary'!$B$1</f>
        <v>4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19:00</v>
      </c>
    </row>
    <row r="35" spans="1:9" x14ac:dyDescent="0.25">
      <c r="A35" s="46">
        <v>45553</v>
      </c>
      <c r="B35" s="38">
        <v>0.625</v>
      </c>
      <c r="C35" s="49" t="s">
        <v>8</v>
      </c>
      <c r="D35" s="55" t="s">
        <v>86</v>
      </c>
      <c r="E35" s="9" t="s">
        <v>72</v>
      </c>
      <c r="F35" s="8">
        <f>(INT(Table_Azerbaijan[[#This Row],[Date]]) - DATE(1970, 1, 1)) * 86400000</f>
        <v>1726617600000</v>
      </c>
      <c r="G35" s="10">
        <f>'GMT Glossary'!$B$1</f>
        <v>4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19:00</v>
      </c>
    </row>
    <row r="36" spans="1:9" x14ac:dyDescent="0.25">
      <c r="A36" s="43">
        <v>45553</v>
      </c>
      <c r="B36" s="41">
        <v>0.70833333333333337</v>
      </c>
      <c r="C36" s="45" t="s">
        <v>8</v>
      </c>
      <c r="D36" s="36" t="s">
        <v>115</v>
      </c>
      <c r="E36" s="9" t="s">
        <v>21</v>
      </c>
      <c r="F36" s="8">
        <f>(INT(Table_Azerbaijan[[#This Row],[Date]]) - DATE(1970, 1, 1)) * 86400000</f>
        <v>1726617600000</v>
      </c>
      <c r="G36" s="10">
        <f>'GMT Glossary'!$B$1</f>
        <v>4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21:00</v>
      </c>
    </row>
    <row r="37" spans="1:9" x14ac:dyDescent="0.25">
      <c r="A37" s="46">
        <v>45553</v>
      </c>
      <c r="B37" s="38">
        <v>0.70833333333333337</v>
      </c>
      <c r="C37" s="49" t="s">
        <v>8</v>
      </c>
      <c r="D37" s="61" t="s">
        <v>126</v>
      </c>
      <c r="E37" s="9" t="s">
        <v>72</v>
      </c>
      <c r="F37" s="8">
        <f>(INT(Table_Azerbaijan[[#This Row],[Date]]) - DATE(1970, 1, 1)) * 86400000</f>
        <v>1726617600000</v>
      </c>
      <c r="G37" s="10">
        <f>'GMT Glossary'!$B$1</f>
        <v>4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21:00</v>
      </c>
    </row>
    <row r="38" spans="1:9" x14ac:dyDescent="0.25">
      <c r="A38" s="43">
        <v>45553</v>
      </c>
      <c r="B38" s="41">
        <v>0.79166666666666663</v>
      </c>
      <c r="C38" s="45" t="s">
        <v>8</v>
      </c>
      <c r="D38" s="56" t="s">
        <v>204</v>
      </c>
      <c r="E38" s="9" t="s">
        <v>21</v>
      </c>
      <c r="F38" s="8">
        <f>(INT(Table_Azerbaijan[[#This Row],[Date]]) - DATE(1970, 1, 1)) * 86400000</f>
        <v>1726617600000</v>
      </c>
      <c r="G38">
        <f>'GMT Glossary'!$B$1</f>
        <v>4</v>
      </c>
      <c r="H38" s="2" t="str">
        <f>TEXT(IF(B38&lt;0, A38+1+((B38+(G38/24))-(INT(B38+(G38/24)))), A38+(B38+(G38/24))), "yyyy-mm-dd")</f>
        <v>2024-09-18</v>
      </c>
      <c r="I38" s="2" t="str">
        <f>TEXT(IF(B38&lt;0, A38+1+((B38+(G38/24))-(INT(B38+(G38/24)))), A38+(B38+(G38/24))), "hh:mm")</f>
        <v>23:00</v>
      </c>
    </row>
    <row r="39" spans="1:9" x14ac:dyDescent="0.25">
      <c r="A39" s="46">
        <v>45553</v>
      </c>
      <c r="B39" s="38">
        <v>0.79166666666666663</v>
      </c>
      <c r="C39" s="49" t="s">
        <v>8</v>
      </c>
      <c r="D39" s="55" t="s">
        <v>64</v>
      </c>
      <c r="E39" s="9" t="s">
        <v>72</v>
      </c>
      <c r="F39" s="8">
        <f>(INT(Table_Azerbaijan[[#This Row],[Date]]) - DATE(1970, 1, 1)) * 86400000</f>
        <v>1726617600000</v>
      </c>
      <c r="G39" s="10">
        <f>'GMT Glossary'!$B$1</f>
        <v>4</v>
      </c>
      <c r="H39" s="2" t="str">
        <f>TEXT(IF(B39&lt;0, A39+1+((B39+(G39/24))-(INT(B39+(G39/24)))), A39+(B39+(G39/24))), "yyyy-mm-dd")</f>
        <v>2024-09-18</v>
      </c>
      <c r="I39" s="2" t="str">
        <f>TEXT(IF(B39&lt;0, A39+1+((B39+(G39/24))-(INT(B39+(G39/24)))), A39+(B39+(G39/24))), "hh:mm")</f>
        <v>23:00</v>
      </c>
    </row>
    <row r="40" spans="1:9" x14ac:dyDescent="0.25">
      <c r="A40" s="43">
        <v>45553</v>
      </c>
      <c r="B40" s="41">
        <v>0.875</v>
      </c>
      <c r="C40" s="45" t="s">
        <v>8</v>
      </c>
      <c r="D40" s="36" t="s">
        <v>205</v>
      </c>
      <c r="E40" s="9" t="s">
        <v>21</v>
      </c>
      <c r="F40" s="8">
        <f>(INT(Table_Azerbaijan[[#This Row],[Date]]) - DATE(1970, 1, 1)) * 86400000</f>
        <v>1726617600000</v>
      </c>
      <c r="G40" s="10">
        <f>'GMT Glossary'!$B$1</f>
        <v>4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01:00</v>
      </c>
    </row>
    <row r="41" spans="1:9" x14ac:dyDescent="0.25">
      <c r="A41" s="46">
        <v>45553</v>
      </c>
      <c r="B41" s="38">
        <v>0.875</v>
      </c>
      <c r="C41" s="49" t="s">
        <v>8</v>
      </c>
      <c r="D41" s="36" t="s">
        <v>88</v>
      </c>
      <c r="E41" s="9" t="s">
        <v>72</v>
      </c>
      <c r="F41" s="8">
        <f>(INT(Table_Azerbaijan[[#This Row],[Date]]) - DATE(1970, 1, 1)) * 86400000</f>
        <v>1726617600000</v>
      </c>
      <c r="G41" s="10">
        <f>'GMT Glossary'!$B$1</f>
        <v>4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01:00</v>
      </c>
    </row>
    <row r="42" spans="1:9" x14ac:dyDescent="0.25">
      <c r="A42" s="43">
        <v>45553</v>
      </c>
      <c r="B42" s="41">
        <v>0.95833333333333337</v>
      </c>
      <c r="C42" s="45" t="s">
        <v>8</v>
      </c>
      <c r="D42" s="36" t="s">
        <v>73</v>
      </c>
      <c r="E42" s="9" t="s">
        <v>21</v>
      </c>
      <c r="F42" s="8">
        <f>(INT(Table_Azerbaijan[[#This Row],[Date]]) - DATE(1970, 1, 1)) * 86400000</f>
        <v>1726617600000</v>
      </c>
      <c r="G42">
        <f>'GMT Glossary'!$B$1</f>
        <v>4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03:00</v>
      </c>
    </row>
    <row r="43" spans="1:9" x14ac:dyDescent="0.25">
      <c r="A43" s="46">
        <v>45553</v>
      </c>
      <c r="B43" s="38">
        <v>0.95833333333333337</v>
      </c>
      <c r="C43" s="49" t="s">
        <v>8</v>
      </c>
      <c r="D43" s="55" t="s">
        <v>40</v>
      </c>
      <c r="E43" s="9" t="s">
        <v>72</v>
      </c>
      <c r="F43" s="8">
        <f>(INT(Table_Azerbaijan[[#This Row],[Date]]) - DATE(1970, 1, 1)) * 86400000</f>
        <v>1726617600000</v>
      </c>
      <c r="G43" s="10">
        <f>'GMT Glossary'!$B$1</f>
        <v>4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03:00</v>
      </c>
    </row>
    <row r="44" spans="1:9" x14ac:dyDescent="0.25">
      <c r="A44" s="46">
        <v>45554</v>
      </c>
      <c r="B44" s="38">
        <v>4.1666666666666664E-2</v>
      </c>
      <c r="C44" s="49" t="s">
        <v>402</v>
      </c>
      <c r="D44" s="55" t="s">
        <v>91</v>
      </c>
      <c r="E44" s="9" t="s">
        <v>72</v>
      </c>
      <c r="F44" s="8">
        <f>(INT(Table_Azerbaijan[[#This Row],[Date]]) - DATE(1970, 1, 1)) * 86400000</f>
        <v>1726704000000</v>
      </c>
      <c r="G44" s="10">
        <f>'GMT Glossary'!$B$1</f>
        <v>4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05:00</v>
      </c>
    </row>
    <row r="45" spans="1:9" x14ac:dyDescent="0.25">
      <c r="A45" s="43">
        <v>45554</v>
      </c>
      <c r="B45" s="41">
        <v>0.125</v>
      </c>
      <c r="C45" s="45" t="s">
        <v>8</v>
      </c>
      <c r="D45" s="36" t="s">
        <v>78</v>
      </c>
      <c r="E45" s="9" t="s">
        <v>21</v>
      </c>
      <c r="F45" s="8">
        <f>(INT(Table_Azerbaijan[[#This Row],[Date]]) - DATE(1970, 1, 1)) * 86400000</f>
        <v>1726704000000</v>
      </c>
      <c r="G45">
        <f>'GMT Glossary'!$B$1</f>
        <v>4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07:00</v>
      </c>
    </row>
    <row r="46" spans="1:9" x14ac:dyDescent="0.25">
      <c r="A46" s="46">
        <v>45554</v>
      </c>
      <c r="B46" s="38">
        <v>0.16666666666666666</v>
      </c>
      <c r="C46" s="49" t="s">
        <v>401</v>
      </c>
      <c r="D46" s="58" t="s">
        <v>81</v>
      </c>
      <c r="E46" s="9" t="s">
        <v>72</v>
      </c>
      <c r="F46" s="8">
        <f>(INT(Table_Azerbaijan[[#This Row],[Date]]) - DATE(1970, 1, 1)) * 86400000</f>
        <v>1726704000000</v>
      </c>
      <c r="G46" s="10">
        <f>'GMT Glossary'!$B$1</f>
        <v>4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08:00</v>
      </c>
    </row>
    <row r="47" spans="1:9" x14ac:dyDescent="0.25">
      <c r="A47" s="43">
        <v>45554</v>
      </c>
      <c r="B47" s="41">
        <v>0.20833333333333334</v>
      </c>
      <c r="C47" s="45" t="s">
        <v>8</v>
      </c>
      <c r="D47" s="58" t="s">
        <v>195</v>
      </c>
      <c r="E47" s="9" t="s">
        <v>21</v>
      </c>
      <c r="F47" s="8">
        <f>(INT(Table_Azerbaijan[[#This Row],[Date]]) - DATE(1970, 1, 1)) * 86400000</f>
        <v>1726704000000</v>
      </c>
      <c r="G47">
        <f>'GMT Glossary'!$B$1</f>
        <v>4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09:00</v>
      </c>
    </row>
    <row r="48" spans="1:9" x14ac:dyDescent="0.25">
      <c r="A48" s="43">
        <v>45554</v>
      </c>
      <c r="B48" s="41">
        <v>0.29166666666666669</v>
      </c>
      <c r="C48" s="45" t="s">
        <v>8</v>
      </c>
      <c r="D48" s="36" t="s">
        <v>79</v>
      </c>
      <c r="E48" s="9" t="s">
        <v>21</v>
      </c>
      <c r="F48" s="8">
        <f>(INT(Table_Azerbaijan[[#This Row],[Date]]) - DATE(1970, 1, 1)) * 86400000</f>
        <v>1726704000000</v>
      </c>
      <c r="G48" s="10">
        <f>'GMT Glossary'!$B$1</f>
        <v>4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11:00</v>
      </c>
    </row>
    <row r="49" spans="1:9" x14ac:dyDescent="0.25">
      <c r="A49" s="46">
        <v>45554</v>
      </c>
      <c r="B49" s="38">
        <v>0.29166666666666669</v>
      </c>
      <c r="C49" s="49" t="s">
        <v>8</v>
      </c>
      <c r="D49" s="55" t="s">
        <v>233</v>
      </c>
      <c r="E49" s="9" t="s">
        <v>72</v>
      </c>
      <c r="F49" s="8">
        <f>(INT(Table_Azerbaijan[[#This Row],[Date]]) - DATE(1970, 1, 1)) * 86400000</f>
        <v>1726704000000</v>
      </c>
      <c r="G49" s="10">
        <f>'GMT Glossary'!$B$1</f>
        <v>4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11:00</v>
      </c>
    </row>
    <row r="50" spans="1:9" x14ac:dyDescent="0.25">
      <c r="A50" s="43">
        <v>45554</v>
      </c>
      <c r="B50" s="41">
        <v>0.375</v>
      </c>
      <c r="C50" s="45" t="s">
        <v>8</v>
      </c>
      <c r="D50" s="36" t="s">
        <v>200</v>
      </c>
      <c r="E50" s="9" t="s">
        <v>21</v>
      </c>
      <c r="F50" s="8">
        <f>(INT(Table_Azerbaijan[[#This Row],[Date]]) - DATE(1970, 1, 1)) * 86400000</f>
        <v>1726704000000</v>
      </c>
      <c r="G50">
        <f>'GMT Glossary'!$B$1</f>
        <v>4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13:00</v>
      </c>
    </row>
    <row r="51" spans="1:9" x14ac:dyDescent="0.25">
      <c r="A51" s="46">
        <v>45554</v>
      </c>
      <c r="B51" s="38">
        <v>0.375</v>
      </c>
      <c r="C51" s="49" t="s">
        <v>8</v>
      </c>
      <c r="D51" s="36" t="s">
        <v>102</v>
      </c>
      <c r="E51" s="9" t="s">
        <v>72</v>
      </c>
      <c r="F51" s="8">
        <f>(INT(Table_Azerbaijan[[#This Row],[Date]]) - DATE(1970, 1, 1)) * 86400000</f>
        <v>1726704000000</v>
      </c>
      <c r="G51" s="10">
        <f>'GMT Glossary'!$B$1</f>
        <v>4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13:00</v>
      </c>
    </row>
    <row r="52" spans="1:9" x14ac:dyDescent="0.25">
      <c r="A52" s="43">
        <v>45554</v>
      </c>
      <c r="B52" s="41">
        <v>0.41666666666666669</v>
      </c>
      <c r="C52" s="45" t="s">
        <v>8</v>
      </c>
      <c r="D52" s="36" t="s">
        <v>99</v>
      </c>
      <c r="E52" s="9" t="s">
        <v>21</v>
      </c>
      <c r="F52" s="8">
        <f>(INT(Table_Azerbaijan[[#This Row],[Date]]) - DATE(1970, 1, 1)) * 86400000</f>
        <v>1726704000000</v>
      </c>
      <c r="G52">
        <f>'GMT Glossary'!$B$1</f>
        <v>4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14:00</v>
      </c>
    </row>
    <row r="53" spans="1:9" x14ac:dyDescent="0.25">
      <c r="A53" s="43">
        <v>45554</v>
      </c>
      <c r="B53" s="41">
        <v>0.45833333333333331</v>
      </c>
      <c r="C53" s="45" t="s">
        <v>8</v>
      </c>
      <c r="D53" s="36" t="s">
        <v>201</v>
      </c>
      <c r="E53" s="9" t="s">
        <v>21</v>
      </c>
      <c r="F53" s="8">
        <f>(INT(Table_Azerbaijan[[#This Row],[Date]]) - DATE(1970, 1, 1)) * 86400000</f>
        <v>1726704000000</v>
      </c>
      <c r="G53" s="10">
        <f>'GMT Glossary'!$B$1</f>
        <v>4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15:00</v>
      </c>
    </row>
    <row r="54" spans="1:9" x14ac:dyDescent="0.25">
      <c r="A54" s="46">
        <v>45554</v>
      </c>
      <c r="B54" s="38">
        <v>0.45833333333333331</v>
      </c>
      <c r="C54" s="49" t="s">
        <v>8</v>
      </c>
      <c r="D54" s="55" t="s">
        <v>84</v>
      </c>
      <c r="E54" s="9" t="s">
        <v>72</v>
      </c>
      <c r="F54" s="8">
        <f>(INT(Table_Azerbaijan[[#This Row],[Date]]) - DATE(1970, 1, 1)) * 86400000</f>
        <v>1726704000000</v>
      </c>
      <c r="G54" s="10">
        <f>'GMT Glossary'!$B$1</f>
        <v>4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15:00</v>
      </c>
    </row>
    <row r="55" spans="1:9" x14ac:dyDescent="0.25">
      <c r="A55" s="43">
        <v>45554</v>
      </c>
      <c r="B55" s="41">
        <v>0.5</v>
      </c>
      <c r="C55" s="45" t="s">
        <v>8</v>
      </c>
      <c r="D55" s="58" t="s">
        <v>202</v>
      </c>
      <c r="E55" s="9" t="s">
        <v>21</v>
      </c>
      <c r="F55" s="8">
        <f>(INT(Table_Azerbaijan[[#This Row],[Date]]) - DATE(1970, 1, 1)) * 86400000</f>
        <v>1726704000000</v>
      </c>
      <c r="G55">
        <f>'GMT Glossary'!$B$1</f>
        <v>4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16:00</v>
      </c>
    </row>
    <row r="56" spans="1:9" x14ac:dyDescent="0.25">
      <c r="A56" s="43">
        <v>45554</v>
      </c>
      <c r="B56" s="41">
        <v>0.54166666666666663</v>
      </c>
      <c r="C56" s="45" t="s">
        <v>8</v>
      </c>
      <c r="D56" s="58" t="s">
        <v>206</v>
      </c>
      <c r="E56" s="9" t="s">
        <v>21</v>
      </c>
      <c r="F56" s="8">
        <f>(INT(Table_Azerbaijan[[#This Row],[Date]]) - DATE(1970, 1, 1)) * 86400000</f>
        <v>1726704000000</v>
      </c>
      <c r="G56">
        <f>'GMT Glossary'!$B$1</f>
        <v>4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17:00</v>
      </c>
    </row>
    <row r="57" spans="1:9" x14ac:dyDescent="0.25">
      <c r="A57" s="46">
        <v>45554</v>
      </c>
      <c r="B57" s="38">
        <v>0.54166666666666663</v>
      </c>
      <c r="C57" s="49" t="s">
        <v>8</v>
      </c>
      <c r="D57" s="58" t="s">
        <v>35</v>
      </c>
      <c r="E57" s="9" t="s">
        <v>72</v>
      </c>
      <c r="F57" s="8">
        <f>(INT(Table_Azerbaijan[[#This Row],[Date]]) - DATE(1970, 1, 1)) * 86400000</f>
        <v>1726704000000</v>
      </c>
      <c r="G57" s="10">
        <f>'GMT Glossary'!$B$1</f>
        <v>4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17:00</v>
      </c>
    </row>
    <row r="58" spans="1:9" x14ac:dyDescent="0.25">
      <c r="A58" s="43">
        <v>45554</v>
      </c>
      <c r="B58" s="41">
        <v>0.625</v>
      </c>
      <c r="C58" s="45" t="s">
        <v>8</v>
      </c>
      <c r="D58" s="58" t="s">
        <v>43</v>
      </c>
      <c r="E58" s="9" t="s">
        <v>21</v>
      </c>
      <c r="F58" s="8">
        <f>(INT(Table_Azerbaijan[[#This Row],[Date]]) - DATE(1970, 1, 1)) * 86400000</f>
        <v>1726704000000</v>
      </c>
      <c r="G58" s="10">
        <f>'GMT Glossary'!$B$1</f>
        <v>4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19:00</v>
      </c>
    </row>
    <row r="59" spans="1:9" x14ac:dyDescent="0.25">
      <c r="A59" s="46">
        <v>45554</v>
      </c>
      <c r="B59" s="38">
        <v>0.625</v>
      </c>
      <c r="C59" s="49" t="s">
        <v>8</v>
      </c>
      <c r="D59" s="55" t="s">
        <v>234</v>
      </c>
      <c r="E59" s="9" t="s">
        <v>72</v>
      </c>
      <c r="F59" s="8">
        <f>(INT(Table_Azerbaijan[[#This Row],[Date]]) - DATE(1970, 1, 1)) * 86400000</f>
        <v>1726704000000</v>
      </c>
      <c r="G59" s="10">
        <f>'GMT Glossary'!$B$1</f>
        <v>4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19:00</v>
      </c>
    </row>
    <row r="60" spans="1:9" x14ac:dyDescent="0.25">
      <c r="A60" s="43">
        <v>45554</v>
      </c>
      <c r="B60" s="41">
        <v>0.70833333333333337</v>
      </c>
      <c r="C60" s="45" t="s">
        <v>8</v>
      </c>
      <c r="D60" s="56" t="s">
        <v>207</v>
      </c>
      <c r="E60" s="9" t="s">
        <v>21</v>
      </c>
      <c r="F60" s="8">
        <f>(INT(Table_Azerbaijan[[#This Row],[Date]]) - DATE(1970, 1, 1)) * 86400000</f>
        <v>1726704000000</v>
      </c>
      <c r="G60">
        <f>'GMT Glossary'!$B$1</f>
        <v>4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21:00</v>
      </c>
    </row>
    <row r="61" spans="1:9" x14ac:dyDescent="0.25">
      <c r="A61" s="46">
        <v>45554</v>
      </c>
      <c r="B61" s="38">
        <v>0.70833333333333337</v>
      </c>
      <c r="C61" s="49" t="s">
        <v>8</v>
      </c>
      <c r="D61" s="36" t="s">
        <v>89</v>
      </c>
      <c r="E61" s="9" t="s">
        <v>72</v>
      </c>
      <c r="F61" s="8">
        <f>(INT(Table_Azerbaijan[[#This Row],[Date]]) - DATE(1970, 1, 1)) * 86400000</f>
        <v>1726704000000</v>
      </c>
      <c r="G61" s="10">
        <f>'GMT Glossary'!$B$1</f>
        <v>4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21:00</v>
      </c>
    </row>
    <row r="62" spans="1:9" x14ac:dyDescent="0.25">
      <c r="A62" s="43">
        <v>45554</v>
      </c>
      <c r="B62" s="41">
        <v>0.79166666666666663</v>
      </c>
      <c r="C62" s="45" t="s">
        <v>8</v>
      </c>
      <c r="D62" s="36" t="s">
        <v>197</v>
      </c>
      <c r="E62" s="9" t="s">
        <v>21</v>
      </c>
      <c r="F62" s="8">
        <f>(INT(Table_Azerbaijan[[#This Row],[Date]]) - DATE(1970, 1, 1)) * 86400000</f>
        <v>1726704000000</v>
      </c>
      <c r="G62" s="10">
        <f>'GMT Glossary'!$B$1</f>
        <v>4</v>
      </c>
      <c r="H62" s="2" t="str">
        <f>TEXT(IF(B62&lt;0, A62+1+((B62+(G62/24))-(INT(B62+(G62/24)))), A62+(B62+(G62/24))), "yyyy-mm-dd")</f>
        <v>2024-09-19</v>
      </c>
      <c r="I62" s="2" t="str">
        <f>TEXT(IF(B62&lt;0, A62+1+((B62+(G62/24))-(INT(B62+(G62/24)))), A62+(B62+(G62/24))), "hh:mm")</f>
        <v>23:00</v>
      </c>
    </row>
    <row r="63" spans="1:9" x14ac:dyDescent="0.25">
      <c r="A63" s="46">
        <v>45554</v>
      </c>
      <c r="B63" s="38">
        <v>0.79166666666666663</v>
      </c>
      <c r="C63" s="49" t="s">
        <v>8</v>
      </c>
      <c r="D63" s="55" t="s">
        <v>42</v>
      </c>
      <c r="E63" s="9" t="s">
        <v>72</v>
      </c>
      <c r="F63" s="8">
        <f>(INT(Table_Azerbaijan[[#This Row],[Date]]) - DATE(1970, 1, 1)) * 86400000</f>
        <v>1726704000000</v>
      </c>
      <c r="G63" s="10">
        <f>'GMT Glossary'!$B$1</f>
        <v>4</v>
      </c>
      <c r="H63" s="2" t="str">
        <f>TEXT(IF(B63&lt;0, A63+1+((B63+(G63/24))-(INT(B63+(G63/24)))), A63+(B63+(G63/24))), "yyyy-mm-dd")</f>
        <v>2024-09-19</v>
      </c>
      <c r="I63" s="2" t="str">
        <f>TEXT(IF(B63&lt;0, A63+1+((B63+(G63/24))-(INT(B63+(G63/24)))), A63+(B63+(G63/24))), "hh:mm")</f>
        <v>23:00</v>
      </c>
    </row>
    <row r="64" spans="1:9" x14ac:dyDescent="0.25">
      <c r="A64" s="43">
        <v>45554</v>
      </c>
      <c r="B64" s="41">
        <v>0.875</v>
      </c>
      <c r="C64" s="45" t="s">
        <v>8</v>
      </c>
      <c r="D64" s="36" t="s">
        <v>77</v>
      </c>
      <c r="E64" s="9" t="s">
        <v>21</v>
      </c>
      <c r="F64" s="8">
        <f>(INT(Table_Azerbaijan[[#This Row],[Date]]) - DATE(1970, 1, 1)) * 86400000</f>
        <v>1726704000000</v>
      </c>
      <c r="G64">
        <f>'GMT Glossary'!$B$1</f>
        <v>4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01:00</v>
      </c>
    </row>
    <row r="65" spans="1:9" x14ac:dyDescent="0.25">
      <c r="A65" s="46">
        <v>45554</v>
      </c>
      <c r="B65" s="38">
        <v>0.875</v>
      </c>
      <c r="C65" s="49" t="s">
        <v>8</v>
      </c>
      <c r="D65" s="36" t="s">
        <v>88</v>
      </c>
      <c r="E65" s="9" t="s">
        <v>72</v>
      </c>
      <c r="F65" s="8">
        <f>(INT(Table_Azerbaijan[[#This Row],[Date]]) - DATE(1970, 1, 1)) * 86400000</f>
        <v>1726704000000</v>
      </c>
      <c r="G65" s="10">
        <f>'GMT Glossary'!$B$1</f>
        <v>4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01:00</v>
      </c>
    </row>
    <row r="66" spans="1:9" x14ac:dyDescent="0.25">
      <c r="A66" s="43">
        <v>45554</v>
      </c>
      <c r="B66" s="41">
        <v>0.95833333333333337</v>
      </c>
      <c r="C66" s="45" t="s">
        <v>8</v>
      </c>
      <c r="D66" s="58" t="s">
        <v>76</v>
      </c>
      <c r="E66" s="9" t="s">
        <v>21</v>
      </c>
      <c r="F66" s="8">
        <f>(INT(Table_Azerbaijan[[#This Row],[Date]]) - DATE(1970, 1, 1)) * 86400000</f>
        <v>1726704000000</v>
      </c>
      <c r="G66" s="10">
        <f>'GMT Glossary'!$B$1</f>
        <v>4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03:00</v>
      </c>
    </row>
    <row r="67" spans="1:9" x14ac:dyDescent="0.25">
      <c r="A67" s="46">
        <v>45554</v>
      </c>
      <c r="B67" s="38">
        <v>0.95833333333333337</v>
      </c>
      <c r="C67" s="49" t="s">
        <v>8</v>
      </c>
      <c r="D67" s="55" t="s">
        <v>93</v>
      </c>
      <c r="E67" s="9" t="s">
        <v>72</v>
      </c>
      <c r="F67" s="8">
        <f>(INT(Table_Azerbaijan[[#This Row],[Date]]) - DATE(1970, 1, 1)) * 86400000</f>
        <v>1726704000000</v>
      </c>
      <c r="G67" s="10">
        <f>'GMT Glossary'!$B$1</f>
        <v>4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03:00</v>
      </c>
    </row>
    <row r="68" spans="1:9" x14ac:dyDescent="0.25">
      <c r="A68" s="43">
        <v>45555</v>
      </c>
      <c r="B68" s="41">
        <v>4.1666666666666664E-2</v>
      </c>
      <c r="C68" s="45" t="s">
        <v>8</v>
      </c>
      <c r="D68" s="58" t="s">
        <v>198</v>
      </c>
      <c r="E68" s="9" t="s">
        <v>21</v>
      </c>
      <c r="F68" s="8">
        <f>(INT(Table_Azerbaijan[[#This Row],[Date]]) - DATE(1970, 1, 1)) * 86400000</f>
        <v>1726790400000</v>
      </c>
      <c r="G68">
        <f>'GMT Glossary'!$B$1</f>
        <v>4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05:00</v>
      </c>
    </row>
    <row r="69" spans="1:9" x14ac:dyDescent="0.25">
      <c r="A69" s="46">
        <v>45555</v>
      </c>
      <c r="B69" s="38">
        <v>4.1666666666666664E-2</v>
      </c>
      <c r="C69" s="49" t="s">
        <v>402</v>
      </c>
      <c r="D69" s="55" t="s">
        <v>83</v>
      </c>
      <c r="E69" s="9" t="s">
        <v>72</v>
      </c>
      <c r="F69" s="8">
        <f>(INT(Table_Azerbaijan[[#This Row],[Date]]) - DATE(1970, 1, 1)) * 86400000</f>
        <v>1726790400000</v>
      </c>
      <c r="G69" s="10">
        <f>'GMT Glossary'!$B$1</f>
        <v>4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05:00</v>
      </c>
    </row>
    <row r="70" spans="1:9" x14ac:dyDescent="0.25">
      <c r="A70" s="43">
        <v>45555</v>
      </c>
      <c r="B70" s="41">
        <v>0.125</v>
      </c>
      <c r="C70" s="45" t="s">
        <v>8</v>
      </c>
      <c r="D70" s="36" t="s">
        <v>74</v>
      </c>
      <c r="E70" s="9" t="s">
        <v>21</v>
      </c>
      <c r="F70" s="8">
        <f>(INT(Table_Azerbaijan[[#This Row],[Date]]) - DATE(1970, 1, 1)) * 86400000</f>
        <v>1726790400000</v>
      </c>
      <c r="G70" s="10">
        <f>'GMT Glossary'!$B$1</f>
        <v>4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07:00</v>
      </c>
    </row>
    <row r="71" spans="1:9" x14ac:dyDescent="0.25">
      <c r="A71" s="46">
        <v>45555</v>
      </c>
      <c r="B71" s="38">
        <v>0.125</v>
      </c>
      <c r="C71" s="49" t="s">
        <v>8</v>
      </c>
      <c r="D71" s="55" t="s">
        <v>235</v>
      </c>
      <c r="E71" s="9" t="s">
        <v>72</v>
      </c>
      <c r="F71" s="8">
        <f>(INT(Table_Azerbaijan[[#This Row],[Date]]) - DATE(1970, 1, 1)) * 86400000</f>
        <v>1726790400000</v>
      </c>
      <c r="G71" s="10">
        <f>'GMT Glossary'!$B$1</f>
        <v>4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07:00</v>
      </c>
    </row>
    <row r="72" spans="1:9" x14ac:dyDescent="0.25">
      <c r="A72" s="43">
        <v>45555</v>
      </c>
      <c r="B72" s="41">
        <v>0.20833333333333334</v>
      </c>
      <c r="C72" s="45" t="s">
        <v>8</v>
      </c>
      <c r="D72" s="36" t="s">
        <v>80</v>
      </c>
      <c r="E72" s="9" t="s">
        <v>21</v>
      </c>
      <c r="F72" s="8">
        <f>(INT(Table_Azerbaijan[[#This Row],[Date]]) - DATE(1970, 1, 1)) * 86400000</f>
        <v>1726790400000</v>
      </c>
      <c r="G72">
        <f>'GMT Glossary'!$B$1</f>
        <v>4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09:00</v>
      </c>
    </row>
    <row r="73" spans="1:9" x14ac:dyDescent="0.25">
      <c r="A73" s="46">
        <v>45555</v>
      </c>
      <c r="B73" s="38">
        <v>0.20833333333333334</v>
      </c>
      <c r="C73" s="49" t="s">
        <v>398</v>
      </c>
      <c r="D73" s="56" t="s">
        <v>236</v>
      </c>
      <c r="E73" s="9" t="s">
        <v>72</v>
      </c>
      <c r="F73" s="8">
        <f>(INT(Table_Azerbaijan[[#This Row],[Date]]) - DATE(1970, 1, 1)) * 86400000</f>
        <v>1726790400000</v>
      </c>
      <c r="G73" s="10">
        <f>'GMT Glossary'!$B$1</f>
        <v>4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09:00</v>
      </c>
    </row>
    <row r="74" spans="1:9" x14ac:dyDescent="0.25">
      <c r="A74" s="46">
        <v>45555</v>
      </c>
      <c r="B74" s="38">
        <v>0.27083333333333331</v>
      </c>
      <c r="C74" s="49" t="s">
        <v>398</v>
      </c>
      <c r="D74" s="56" t="s">
        <v>237</v>
      </c>
      <c r="E74" s="9" t="s">
        <v>72</v>
      </c>
      <c r="F74" s="8">
        <f>(INT(Table_Azerbaijan[[#This Row],[Date]]) - DATE(1970, 1, 1)) * 86400000</f>
        <v>1726790400000</v>
      </c>
      <c r="G74" s="10">
        <f>'GMT Glossary'!$B$1</f>
        <v>4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10:30</v>
      </c>
    </row>
    <row r="75" spans="1:9" x14ac:dyDescent="0.25">
      <c r="A75" s="43">
        <v>45555</v>
      </c>
      <c r="B75" s="41">
        <v>0.29166666666666669</v>
      </c>
      <c r="C75" s="45" t="s">
        <v>8</v>
      </c>
      <c r="D75" s="36" t="s">
        <v>205</v>
      </c>
      <c r="E75" s="9" t="s">
        <v>21</v>
      </c>
      <c r="F75" s="8">
        <f>(INT(Table_Azerbaijan[[#This Row],[Date]]) - DATE(1970, 1, 1)) * 86400000</f>
        <v>1726790400000</v>
      </c>
      <c r="G75" s="10">
        <f>'GMT Glossary'!$B$1</f>
        <v>4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11:00</v>
      </c>
    </row>
    <row r="76" spans="1:9" x14ac:dyDescent="0.25">
      <c r="A76" s="46">
        <v>45555</v>
      </c>
      <c r="B76" s="38">
        <v>0.33333333333333331</v>
      </c>
      <c r="C76" s="49" t="s">
        <v>398</v>
      </c>
      <c r="D76" s="56" t="s">
        <v>238</v>
      </c>
      <c r="E76" s="9" t="s">
        <v>72</v>
      </c>
      <c r="F76" s="8">
        <f>(INT(Table_Azerbaijan[[#This Row],[Date]]) - DATE(1970, 1, 1)) * 86400000</f>
        <v>1726790400000</v>
      </c>
      <c r="G76" s="10">
        <f>'GMT Glossary'!$B$1</f>
        <v>4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12:00</v>
      </c>
    </row>
    <row r="77" spans="1:9" x14ac:dyDescent="0.25">
      <c r="A77" s="43">
        <v>45555</v>
      </c>
      <c r="B77" s="41">
        <v>0.375</v>
      </c>
      <c r="C77" s="45" t="s">
        <v>8</v>
      </c>
      <c r="D77" s="36" t="s">
        <v>203</v>
      </c>
      <c r="E77" s="9" t="s">
        <v>21</v>
      </c>
      <c r="F77" s="8">
        <f>(INT(Table_Azerbaijan[[#This Row],[Date]]) - DATE(1970, 1, 1)) * 86400000</f>
        <v>1726790400000</v>
      </c>
      <c r="G77">
        <f>'GMT Glossary'!$B$1</f>
        <v>4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13:00</v>
      </c>
    </row>
    <row r="78" spans="1:9" x14ac:dyDescent="0.25">
      <c r="A78" s="46">
        <v>45555</v>
      </c>
      <c r="B78" s="38">
        <v>0.41666666666666669</v>
      </c>
      <c r="C78" s="49" t="s">
        <v>398</v>
      </c>
      <c r="D78" s="56" t="s">
        <v>239</v>
      </c>
      <c r="E78" s="9" t="s">
        <v>72</v>
      </c>
      <c r="F78" s="8">
        <f>(INT(Table_Azerbaijan[[#This Row],[Date]]) - DATE(1970, 1, 1)) * 86400000</f>
        <v>1726790400000</v>
      </c>
      <c r="G78" s="10">
        <f>'GMT Glossary'!$B$1</f>
        <v>4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14:00</v>
      </c>
    </row>
    <row r="79" spans="1:9" x14ac:dyDescent="0.25">
      <c r="A79" s="43">
        <v>45555</v>
      </c>
      <c r="B79" s="41">
        <v>0.45833333333333331</v>
      </c>
      <c r="C79" s="45" t="s">
        <v>8</v>
      </c>
      <c r="D79" s="36" t="s">
        <v>73</v>
      </c>
      <c r="E79" s="9" t="s">
        <v>21</v>
      </c>
      <c r="F79" s="8">
        <f>(INT(Table_Azerbaijan[[#This Row],[Date]]) - DATE(1970, 1, 1)) * 86400000</f>
        <v>1726790400000</v>
      </c>
      <c r="G79" s="10">
        <f>'GMT Glossary'!$B$1</f>
        <v>4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15:00</v>
      </c>
    </row>
    <row r="80" spans="1:9" x14ac:dyDescent="0.25">
      <c r="A80" s="43">
        <v>45555</v>
      </c>
      <c r="B80" s="41">
        <v>0.54166666666666663</v>
      </c>
      <c r="C80" s="45" t="s">
        <v>8</v>
      </c>
      <c r="D80" s="36" t="s">
        <v>78</v>
      </c>
      <c r="E80" s="9" t="s">
        <v>21</v>
      </c>
      <c r="F80" s="8">
        <f>(INT(Table_Azerbaijan[[#This Row],[Date]]) - DATE(1970, 1, 1)) * 86400000</f>
        <v>1726790400000</v>
      </c>
      <c r="G80" s="10">
        <f>'GMT Glossary'!$B$1</f>
        <v>4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17:00</v>
      </c>
    </row>
    <row r="81" spans="1:9" x14ac:dyDescent="0.25">
      <c r="A81" s="46">
        <v>45555</v>
      </c>
      <c r="B81" s="38">
        <v>0.54166666666666663</v>
      </c>
      <c r="C81" s="49" t="s">
        <v>8</v>
      </c>
      <c r="D81" s="55" t="s">
        <v>232</v>
      </c>
      <c r="E81" s="9" t="s">
        <v>72</v>
      </c>
      <c r="F81" s="8">
        <f>(INT(Table_Azerbaijan[[#This Row],[Date]]) - DATE(1970, 1, 1)) * 86400000</f>
        <v>1726790400000</v>
      </c>
      <c r="G81" s="10">
        <f>'GMT Glossary'!$B$1</f>
        <v>4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17:00</v>
      </c>
    </row>
    <row r="82" spans="1:9" x14ac:dyDescent="0.25">
      <c r="A82" s="43">
        <v>45555</v>
      </c>
      <c r="B82" s="41">
        <v>0.625</v>
      </c>
      <c r="C82" s="45" t="s">
        <v>8</v>
      </c>
      <c r="D82" s="36" t="s">
        <v>59</v>
      </c>
      <c r="E82" s="9" t="s">
        <v>21</v>
      </c>
      <c r="F82" s="8">
        <f>(INT(Table_Azerbaijan[[#This Row],[Date]]) - DATE(1970, 1, 1)) * 86400000</f>
        <v>1726790400000</v>
      </c>
      <c r="G82">
        <f>'GMT Glossary'!$B$1</f>
        <v>4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19:00</v>
      </c>
    </row>
    <row r="83" spans="1:9" x14ac:dyDescent="0.25">
      <c r="A83" s="46">
        <v>45555</v>
      </c>
      <c r="B83" s="38">
        <v>0.64583333333333337</v>
      </c>
      <c r="C83" s="49" t="s">
        <v>399</v>
      </c>
      <c r="D83" s="56" t="s">
        <v>131</v>
      </c>
      <c r="E83" s="9" t="s">
        <v>72</v>
      </c>
      <c r="F83" s="8">
        <f>(INT(Table_Azerbaijan[[#This Row],[Date]]) - DATE(1970, 1, 1)) * 86400000</f>
        <v>1726790400000</v>
      </c>
      <c r="G83" s="10">
        <f>'GMT Glossary'!$B$1</f>
        <v>4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19:30</v>
      </c>
    </row>
    <row r="84" spans="1:9" x14ac:dyDescent="0.25">
      <c r="A84" s="43">
        <v>45555</v>
      </c>
      <c r="B84" s="41">
        <v>0.6875</v>
      </c>
      <c r="C84" s="45" t="s">
        <v>8</v>
      </c>
      <c r="D84" s="56" t="s">
        <v>208</v>
      </c>
      <c r="E84" s="9" t="s">
        <v>21</v>
      </c>
      <c r="F84" s="8">
        <f>(INT(Table_Azerbaijan[[#This Row],[Date]]) - DATE(1970, 1, 1)) * 86400000</f>
        <v>1726790400000</v>
      </c>
      <c r="G84" s="10">
        <f>'GMT Glossary'!$B$1</f>
        <v>4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20:30</v>
      </c>
    </row>
    <row r="85" spans="1:9" x14ac:dyDescent="0.25">
      <c r="A85" s="43">
        <v>45555</v>
      </c>
      <c r="B85" s="41">
        <v>0.78125</v>
      </c>
      <c r="C85" s="45" t="s">
        <v>8</v>
      </c>
      <c r="D85" s="56" t="s">
        <v>209</v>
      </c>
      <c r="E85" s="9" t="s">
        <v>21</v>
      </c>
      <c r="F85" s="8">
        <f>(INT(Table_Azerbaijan[[#This Row],[Date]]) - DATE(1970, 1, 1)) * 86400000</f>
        <v>1726790400000</v>
      </c>
      <c r="G85">
        <f>'GMT Glossary'!$B$1</f>
        <v>4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22:45</v>
      </c>
    </row>
    <row r="86" spans="1:9" x14ac:dyDescent="0.25">
      <c r="A86" s="46">
        <v>45555</v>
      </c>
      <c r="B86" s="38">
        <v>0.79166666666666663</v>
      </c>
      <c r="C86" s="49" t="s">
        <v>8</v>
      </c>
      <c r="D86" s="55" t="s">
        <v>90</v>
      </c>
      <c r="E86" s="9" t="s">
        <v>72</v>
      </c>
      <c r="F86" s="8">
        <f>(INT(Table_Azerbaijan[[#This Row],[Date]]) - DATE(1970, 1, 1)) * 86400000</f>
        <v>1726790400000</v>
      </c>
      <c r="G86" s="10">
        <f>'GMT Glossary'!$B$1</f>
        <v>4</v>
      </c>
      <c r="H86" s="2" t="str">
        <f>TEXT(IF(B86&lt;0, A86+1+((B86+(G86/24))-(INT(B86+(G86/24)))), A86+(B86+(G86/24))), "yyyy-mm-dd")</f>
        <v>2024-09-20</v>
      </c>
      <c r="I86" s="2" t="str">
        <f>TEXT(IF(B86&lt;0, A86+1+((B86+(G86/24))-(INT(B86+(G86/24)))), A86+(B86+(G86/24))), "hh:mm")</f>
        <v>23:00</v>
      </c>
    </row>
    <row r="87" spans="1:9" x14ac:dyDescent="0.25">
      <c r="A87" s="43">
        <v>45555</v>
      </c>
      <c r="B87" s="41">
        <v>0.875</v>
      </c>
      <c r="C87" s="45" t="s">
        <v>8</v>
      </c>
      <c r="D87" s="36" t="s">
        <v>79</v>
      </c>
      <c r="E87" s="9" t="s">
        <v>21</v>
      </c>
      <c r="F87" s="8">
        <f>(INT(Table_Azerbaijan[[#This Row],[Date]]) - DATE(1970, 1, 1)) * 86400000</f>
        <v>1726790400000</v>
      </c>
      <c r="G87">
        <f>'GMT Glossary'!$B$1</f>
        <v>4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01:00</v>
      </c>
    </row>
    <row r="88" spans="1:9" x14ac:dyDescent="0.25">
      <c r="A88" s="46">
        <v>45555</v>
      </c>
      <c r="B88" s="38">
        <v>0.875</v>
      </c>
      <c r="C88" s="49" t="s">
        <v>8</v>
      </c>
      <c r="D88" s="55" t="s">
        <v>64</v>
      </c>
      <c r="E88" s="9" t="s">
        <v>72</v>
      </c>
      <c r="F88" s="8">
        <f>(INT(Table_Azerbaijan[[#This Row],[Date]]) - DATE(1970, 1, 1)) * 86400000</f>
        <v>1726790400000</v>
      </c>
      <c r="G88" s="10">
        <f>'GMT Glossary'!$B$1</f>
        <v>4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01:00</v>
      </c>
    </row>
    <row r="89" spans="1:9" x14ac:dyDescent="0.25">
      <c r="A89" s="63">
        <v>45555</v>
      </c>
      <c r="B89" s="88">
        <v>0.95833333333333337</v>
      </c>
      <c r="C89" s="86" t="s">
        <v>8</v>
      </c>
      <c r="D89" s="58" t="s">
        <v>206</v>
      </c>
      <c r="E89" s="9" t="s">
        <v>21</v>
      </c>
      <c r="F89" s="8">
        <f>(INT(Table_Azerbaijan[[#This Row],[Date]]) - DATE(1970, 1, 1)) * 86400000</f>
        <v>1726790400000</v>
      </c>
      <c r="G89" s="10">
        <f>'GMT Glossary'!$B$1</f>
        <v>4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03:00</v>
      </c>
    </row>
    <row r="90" spans="1:9" x14ac:dyDescent="0.25">
      <c r="A90" s="46">
        <v>45555</v>
      </c>
      <c r="B90" s="38">
        <v>0.95833333333333337</v>
      </c>
      <c r="C90" s="49" t="s">
        <v>8</v>
      </c>
      <c r="D90" s="58" t="s">
        <v>88</v>
      </c>
      <c r="E90" s="9" t="s">
        <v>72</v>
      </c>
      <c r="F90" s="8">
        <f>(INT(Table_Azerbaijan[[#This Row],[Date]]) - DATE(1970, 1, 1)) * 86400000</f>
        <v>1726790400000</v>
      </c>
      <c r="G90" s="10">
        <f>'GMT Glossary'!$B$1</f>
        <v>4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03:00</v>
      </c>
    </row>
    <row r="91" spans="1:9" x14ac:dyDescent="0.25">
      <c r="A91" s="63">
        <v>45556</v>
      </c>
      <c r="B91" s="88">
        <v>4.1666666666666664E-2</v>
      </c>
      <c r="C91" s="86" t="s">
        <v>8</v>
      </c>
      <c r="D91" s="35" t="s">
        <v>199</v>
      </c>
      <c r="E91" s="9" t="s">
        <v>21</v>
      </c>
      <c r="F91" s="8">
        <f>(INT(Table_Azerbaijan[[#This Row],[Date]]) - DATE(1970, 1, 1)) * 86400000</f>
        <v>1726876800000</v>
      </c>
      <c r="G91">
        <f>'GMT Glossary'!$B$1</f>
        <v>4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05:00</v>
      </c>
    </row>
    <row r="92" spans="1:9" x14ac:dyDescent="0.25">
      <c r="A92" s="46">
        <v>45556</v>
      </c>
      <c r="B92" s="38">
        <v>4.1666666666666664E-2</v>
      </c>
      <c r="C92" s="49" t="s">
        <v>8</v>
      </c>
      <c r="D92" s="53" t="s">
        <v>86</v>
      </c>
      <c r="E92" s="9" t="s">
        <v>72</v>
      </c>
      <c r="F92" s="8">
        <f>(INT(Table_Azerbaijan[[#This Row],[Date]]) - DATE(1970, 1, 1)) * 86400000</f>
        <v>1726876800000</v>
      </c>
      <c r="G92" s="10">
        <f>'GMT Glossary'!$B$1</f>
        <v>4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05:00</v>
      </c>
    </row>
    <row r="93" spans="1:9" x14ac:dyDescent="0.25">
      <c r="A93" s="63">
        <v>45556</v>
      </c>
      <c r="B93" s="88">
        <v>0.125</v>
      </c>
      <c r="C93" s="86" t="s">
        <v>8</v>
      </c>
      <c r="D93" s="58" t="s">
        <v>77</v>
      </c>
      <c r="E93" s="9" t="s">
        <v>21</v>
      </c>
      <c r="F93" s="8">
        <f>(INT(Table_Azerbaijan[[#This Row],[Date]]) - DATE(1970, 1, 1)) * 86400000</f>
        <v>1726876800000</v>
      </c>
      <c r="G93" s="10">
        <f>'GMT Glossary'!$B$1</f>
        <v>4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07:00</v>
      </c>
    </row>
    <row r="94" spans="1:9" x14ac:dyDescent="0.25">
      <c r="A94" s="46">
        <v>45556</v>
      </c>
      <c r="B94" s="38">
        <v>0.125</v>
      </c>
      <c r="C94" s="49" t="s">
        <v>8</v>
      </c>
      <c r="D94" s="55" t="s">
        <v>40</v>
      </c>
      <c r="E94" s="9" t="s">
        <v>72</v>
      </c>
      <c r="F94" s="8">
        <f>(INT(Table_Azerbaijan[[#This Row],[Date]]) - DATE(1970, 1, 1)) * 86400000</f>
        <v>1726876800000</v>
      </c>
      <c r="G94" s="10">
        <f>'GMT Glossary'!$B$1</f>
        <v>4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07:00</v>
      </c>
    </row>
    <row r="95" spans="1:9" x14ac:dyDescent="0.25">
      <c r="A95" s="63">
        <v>45556</v>
      </c>
      <c r="B95" s="88">
        <v>0.20833333333333334</v>
      </c>
      <c r="C95" s="86" t="s">
        <v>8</v>
      </c>
      <c r="D95" s="58" t="s">
        <v>75</v>
      </c>
      <c r="E95" s="9" t="s">
        <v>21</v>
      </c>
      <c r="F95" s="8">
        <f>(INT(Table_Azerbaijan[[#This Row],[Date]]) - DATE(1970, 1, 1)) * 86400000</f>
        <v>1726876800000</v>
      </c>
      <c r="G95">
        <f>'GMT Glossary'!$B$1</f>
        <v>4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09:00</v>
      </c>
    </row>
    <row r="96" spans="1:9" x14ac:dyDescent="0.25">
      <c r="A96" s="46">
        <v>45556</v>
      </c>
      <c r="B96" s="38">
        <v>0.20833333333333334</v>
      </c>
      <c r="C96" s="49" t="s">
        <v>402</v>
      </c>
      <c r="D96" s="55" t="s">
        <v>91</v>
      </c>
      <c r="E96" s="9" t="s">
        <v>72</v>
      </c>
      <c r="F96" s="8">
        <f>(INT(Table_Azerbaijan[[#This Row],[Date]]) - DATE(1970, 1, 1)) * 86400000</f>
        <v>1726876800000</v>
      </c>
      <c r="G96" s="10">
        <f>'GMT Glossary'!$B$1</f>
        <v>4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09:00</v>
      </c>
    </row>
    <row r="97" spans="1:9" x14ac:dyDescent="0.25">
      <c r="A97" s="63">
        <v>45556</v>
      </c>
      <c r="B97" s="88">
        <v>0.29166666666666669</v>
      </c>
      <c r="C97" s="86" t="s">
        <v>8</v>
      </c>
      <c r="D97" s="35" t="s">
        <v>76</v>
      </c>
      <c r="E97" s="9" t="s">
        <v>21</v>
      </c>
      <c r="F97" s="8">
        <f>(INT(Table_Azerbaijan[[#This Row],[Date]]) - DATE(1970, 1, 1)) * 86400000</f>
        <v>1726876800000</v>
      </c>
      <c r="G97">
        <f>'GMT Glossary'!$B$1</f>
        <v>4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11:00</v>
      </c>
    </row>
    <row r="98" spans="1:9" x14ac:dyDescent="0.25">
      <c r="A98" s="46">
        <v>45556</v>
      </c>
      <c r="B98" s="38">
        <v>0.29166666666666669</v>
      </c>
      <c r="C98" s="49" t="s">
        <v>398</v>
      </c>
      <c r="D98" s="56" t="s">
        <v>240</v>
      </c>
      <c r="E98" s="9" t="s">
        <v>72</v>
      </c>
      <c r="F98" s="8">
        <f>(INT(Table_Azerbaijan[[#This Row],[Date]]) - DATE(1970, 1, 1)) * 86400000</f>
        <v>1726876800000</v>
      </c>
      <c r="G98" s="10">
        <f>'GMT Glossary'!$B$1</f>
        <v>4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11:00</v>
      </c>
    </row>
    <row r="99" spans="1:9" x14ac:dyDescent="0.25">
      <c r="A99" s="46">
        <v>45556</v>
      </c>
      <c r="B99" s="38">
        <v>0.35416666666666669</v>
      </c>
      <c r="C99" s="49" t="s">
        <v>398</v>
      </c>
      <c r="D99" s="56" t="s">
        <v>241</v>
      </c>
      <c r="E99" s="9" t="s">
        <v>72</v>
      </c>
      <c r="F99" s="8">
        <f>(INT(Table_Azerbaijan[[#This Row],[Date]]) - DATE(1970, 1, 1)) * 86400000</f>
        <v>1726876800000</v>
      </c>
      <c r="G99" s="10">
        <f>'GMT Glossary'!$B$1</f>
        <v>4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12:30</v>
      </c>
    </row>
    <row r="100" spans="1:9" x14ac:dyDescent="0.25">
      <c r="A100" s="63">
        <v>45556</v>
      </c>
      <c r="B100" s="88">
        <v>0.375</v>
      </c>
      <c r="C100" s="86" t="s">
        <v>8</v>
      </c>
      <c r="D100" s="35" t="s">
        <v>74</v>
      </c>
      <c r="E100" s="9" t="s">
        <v>21</v>
      </c>
      <c r="F100" s="8">
        <f>(INT(Table_Azerbaijan[[#This Row],[Date]]) - DATE(1970, 1, 1)) * 86400000</f>
        <v>1726876800000</v>
      </c>
      <c r="G100" s="10">
        <f>'GMT Glossary'!$B$1</f>
        <v>4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13:00</v>
      </c>
    </row>
    <row r="101" spans="1:9" x14ac:dyDescent="0.25">
      <c r="A101" s="46">
        <v>45556</v>
      </c>
      <c r="B101" s="38">
        <v>0.45833333333333331</v>
      </c>
      <c r="C101" s="49" t="s">
        <v>8</v>
      </c>
      <c r="D101" s="55" t="s">
        <v>139</v>
      </c>
      <c r="E101" s="9" t="s">
        <v>72</v>
      </c>
      <c r="F101" s="8">
        <f>(INT(Table_Azerbaijan[[#This Row],[Date]]) - DATE(1970, 1, 1)) * 86400000</f>
        <v>1726876800000</v>
      </c>
      <c r="G101" s="10">
        <f>'GMT Glossary'!$B$1</f>
        <v>4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15:00</v>
      </c>
    </row>
    <row r="102" spans="1:9" x14ac:dyDescent="0.25">
      <c r="A102" s="63">
        <v>45556</v>
      </c>
      <c r="B102" s="88">
        <v>0.47916666666666669</v>
      </c>
      <c r="C102" s="86" t="s">
        <v>8</v>
      </c>
      <c r="D102" s="56" t="s">
        <v>210</v>
      </c>
      <c r="E102" s="9" t="s">
        <v>21</v>
      </c>
      <c r="F102" s="8">
        <f>(INT(Table_Azerbaijan[[#This Row],[Date]]) - DATE(1970, 1, 1)) * 86400000</f>
        <v>1726876800000</v>
      </c>
      <c r="G102">
        <f>'GMT Glossary'!$B$1</f>
        <v>4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15:30</v>
      </c>
    </row>
    <row r="103" spans="1:9" x14ac:dyDescent="0.25">
      <c r="A103" s="46">
        <v>45556</v>
      </c>
      <c r="B103" s="38">
        <v>0.54166666666666663</v>
      </c>
      <c r="C103" s="49" t="s">
        <v>402</v>
      </c>
      <c r="D103" s="56" t="s">
        <v>242</v>
      </c>
      <c r="E103" s="9" t="s">
        <v>72</v>
      </c>
      <c r="F103" s="8">
        <f>(INT(Table_Azerbaijan[[#This Row],[Date]]) - DATE(1970, 1, 1)) * 86400000</f>
        <v>1726876800000</v>
      </c>
      <c r="G103" s="10">
        <f>'GMT Glossary'!$B$1</f>
        <v>4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17:00</v>
      </c>
    </row>
    <row r="104" spans="1:9" x14ac:dyDescent="0.25">
      <c r="A104" s="63">
        <v>45556</v>
      </c>
      <c r="B104" s="88">
        <v>0.58333333333333337</v>
      </c>
      <c r="C104" s="86" t="s">
        <v>8</v>
      </c>
      <c r="D104" s="56" t="s">
        <v>211</v>
      </c>
      <c r="E104" s="9" t="s">
        <v>21</v>
      </c>
      <c r="F104" s="8">
        <f>(INT(Table_Azerbaijan[[#This Row],[Date]]) - DATE(1970, 1, 1)) * 86400000</f>
        <v>1726876800000</v>
      </c>
      <c r="G104">
        <f>'GMT Glossary'!$B$1</f>
        <v>4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18:00</v>
      </c>
    </row>
    <row r="105" spans="1:9" x14ac:dyDescent="0.25">
      <c r="A105" s="46">
        <v>45556</v>
      </c>
      <c r="B105" s="38">
        <v>0.58333333333333337</v>
      </c>
      <c r="C105" s="49" t="s">
        <v>8</v>
      </c>
      <c r="D105" s="56" t="s">
        <v>243</v>
      </c>
      <c r="E105" s="9" t="s">
        <v>72</v>
      </c>
      <c r="F105" s="8">
        <f>(INT(Table_Azerbaijan[[#This Row],[Date]]) - DATE(1970, 1, 1)) * 86400000</f>
        <v>1726876800000</v>
      </c>
      <c r="G105" s="10">
        <f>'GMT Glossary'!$B$1</f>
        <v>4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18:00</v>
      </c>
    </row>
    <row r="106" spans="1:9" x14ac:dyDescent="0.25">
      <c r="A106" s="46">
        <v>45556</v>
      </c>
      <c r="B106" s="38">
        <v>0.66666666666666663</v>
      </c>
      <c r="C106" s="49" t="s">
        <v>8</v>
      </c>
      <c r="D106" s="61" t="s">
        <v>136</v>
      </c>
      <c r="E106" s="9" t="s">
        <v>72</v>
      </c>
      <c r="F106" s="8">
        <f>(INT(Table_Azerbaijan[[#This Row],[Date]]) - DATE(1970, 1, 1)) * 86400000</f>
        <v>1726876800000</v>
      </c>
      <c r="G106" s="10">
        <f>'GMT Glossary'!$B$1</f>
        <v>4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20:00</v>
      </c>
    </row>
    <row r="107" spans="1:9" x14ac:dyDescent="0.25">
      <c r="A107" s="63">
        <v>45556</v>
      </c>
      <c r="B107" s="88">
        <v>0.6875</v>
      </c>
      <c r="C107" s="86" t="s">
        <v>8</v>
      </c>
      <c r="D107" s="56" t="s">
        <v>212</v>
      </c>
      <c r="E107" s="9" t="s">
        <v>21</v>
      </c>
      <c r="F107" s="8">
        <f>(INT(Table_Azerbaijan[[#This Row],[Date]]) - DATE(1970, 1, 1)) * 86400000</f>
        <v>1726876800000</v>
      </c>
      <c r="G107" s="10">
        <f>'GMT Glossary'!$B$1</f>
        <v>4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20:30</v>
      </c>
    </row>
    <row r="108" spans="1:9" x14ac:dyDescent="0.25">
      <c r="A108" s="63">
        <v>45556</v>
      </c>
      <c r="B108" s="88">
        <v>0.79166666666666663</v>
      </c>
      <c r="C108" s="86" t="s">
        <v>8</v>
      </c>
      <c r="D108" s="56" t="s">
        <v>213</v>
      </c>
      <c r="E108" s="9" t="s">
        <v>21</v>
      </c>
      <c r="F108" s="8">
        <f>(INT(Table_Azerbaijan[[#This Row],[Date]]) - DATE(1970, 1, 1)) * 86400000</f>
        <v>1726876800000</v>
      </c>
      <c r="G108">
        <f>'GMT Glossary'!$B$1</f>
        <v>4</v>
      </c>
      <c r="H108" s="2" t="str">
        <f>TEXT(IF(B108&lt;0, A108+1+((B108+(G108/24))-(INT(B108+(G108/24)))), A108+(B108+(G108/24))), "yyyy-mm-dd")</f>
        <v>2024-09-21</v>
      </c>
      <c r="I108" s="2" t="str">
        <f>TEXT(IF(B108&lt;0, A108+1+((B108+(G108/24))-(INT(B108+(G108/24)))), A108+(B108+(G108/24))), "hh:mm")</f>
        <v>23:00</v>
      </c>
    </row>
    <row r="109" spans="1:9" x14ac:dyDescent="0.25">
      <c r="A109" s="46">
        <v>45556</v>
      </c>
      <c r="B109" s="38">
        <v>0.79166666666666663</v>
      </c>
      <c r="C109" s="49" t="s">
        <v>8</v>
      </c>
      <c r="D109" s="61" t="s">
        <v>137</v>
      </c>
      <c r="E109" s="9" t="s">
        <v>72</v>
      </c>
      <c r="F109" s="8">
        <f>(INT(Table_Azerbaijan[[#This Row],[Date]]) - DATE(1970, 1, 1)) * 86400000</f>
        <v>1726876800000</v>
      </c>
      <c r="G109" s="10">
        <f>'GMT Glossary'!$B$1</f>
        <v>4</v>
      </c>
      <c r="H109" s="2" t="str">
        <f>TEXT(IF(B109&lt;0, A109+1+((B109+(G109/24))-(INT(B109+(G109/24)))), A109+(B109+(G109/24))), "yyyy-mm-dd")</f>
        <v>2024-09-21</v>
      </c>
      <c r="I109" s="2" t="str">
        <f>TEXT(IF(B109&lt;0, A109+1+((B109+(G109/24))-(INT(B109+(G109/24)))), A109+(B109+(G109/24))), "hh:mm")</f>
        <v>23:00</v>
      </c>
    </row>
    <row r="110" spans="1:9" x14ac:dyDescent="0.25">
      <c r="A110" s="63">
        <v>45556</v>
      </c>
      <c r="B110" s="88">
        <v>0.875</v>
      </c>
      <c r="C110" s="86" t="s">
        <v>8</v>
      </c>
      <c r="D110" s="35" t="s">
        <v>79</v>
      </c>
      <c r="E110" s="9" t="s">
        <v>21</v>
      </c>
      <c r="F110" s="8">
        <f>(INT(Table_Azerbaijan[[#This Row],[Date]]) - DATE(1970, 1, 1)) * 86400000</f>
        <v>1726876800000</v>
      </c>
      <c r="G110" s="10">
        <f>'GMT Glossary'!$B$1</f>
        <v>4</v>
      </c>
      <c r="H110" s="2" t="str">
        <f>TEXT(IF(B110&lt;0, A110+1+((B110+(G110/24))-(INT(B110+(G110/24)))), A110+(B110+(G110/24))), "yyyy-mm-dd")</f>
        <v>2024-09-22</v>
      </c>
      <c r="I110" s="2" t="str">
        <f>TEXT(IF(B110&lt;0, A110+1+((B110+(G110/24))-(INT(B110+(G110/24)))), A110+(B110+(G110/24))), "hh:mm")</f>
        <v>01:00</v>
      </c>
    </row>
    <row r="111" spans="1:9" x14ac:dyDescent="0.25">
      <c r="A111" s="46">
        <v>45556</v>
      </c>
      <c r="B111" s="38">
        <v>0.875</v>
      </c>
      <c r="C111" s="49" t="s">
        <v>8</v>
      </c>
      <c r="D111" s="58" t="s">
        <v>244</v>
      </c>
      <c r="E111" s="9" t="s">
        <v>72</v>
      </c>
      <c r="F111" s="8">
        <f>(INT(Table_Azerbaijan[[#This Row],[Date]]) - DATE(1970, 1, 1)) * 86400000</f>
        <v>1726876800000</v>
      </c>
      <c r="G111" s="10">
        <f>'GMT Glossary'!$B$1</f>
        <v>4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01:00</v>
      </c>
    </row>
    <row r="112" spans="1:9" x14ac:dyDescent="0.25">
      <c r="A112" s="63">
        <v>45556</v>
      </c>
      <c r="B112" s="88">
        <v>0.95833333333333337</v>
      </c>
      <c r="C112" s="86" t="s">
        <v>8</v>
      </c>
      <c r="D112" s="35" t="s">
        <v>214</v>
      </c>
      <c r="E112" s="9" t="s">
        <v>21</v>
      </c>
      <c r="F112" s="8">
        <f>(INT(Table_Azerbaijan[[#This Row],[Date]]) - DATE(1970, 1, 1)) * 86400000</f>
        <v>1726876800000</v>
      </c>
      <c r="G112">
        <f>'GMT Glossary'!$B$1</f>
        <v>4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03:00</v>
      </c>
    </row>
    <row r="113" spans="1:9" x14ac:dyDescent="0.25">
      <c r="A113" s="46">
        <v>45556</v>
      </c>
      <c r="B113" s="38">
        <v>0.95833333333333337</v>
      </c>
      <c r="C113" s="49" t="s">
        <v>8</v>
      </c>
      <c r="D113" s="53" t="s">
        <v>64</v>
      </c>
      <c r="E113" s="9" t="s">
        <v>72</v>
      </c>
      <c r="F113" s="8">
        <f>(INT(Table_Azerbaijan[[#This Row],[Date]]) - DATE(1970, 1, 1)) * 86400000</f>
        <v>1726876800000</v>
      </c>
      <c r="G113" s="10">
        <f>'GMT Glossary'!$B$1</f>
        <v>4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03:00</v>
      </c>
    </row>
    <row r="114" spans="1:9" x14ac:dyDescent="0.25">
      <c r="A114" s="63">
        <v>45557</v>
      </c>
      <c r="B114" s="88">
        <v>4.1666666666666664E-2</v>
      </c>
      <c r="C114" s="86" t="s">
        <v>8</v>
      </c>
      <c r="D114" s="35" t="s">
        <v>77</v>
      </c>
      <c r="E114" s="9" t="s">
        <v>21</v>
      </c>
      <c r="F114" s="8">
        <f>(INT(Table_Azerbaijan[[#This Row],[Date]]) - DATE(1970, 1, 1)) * 86400000</f>
        <v>1726963200000</v>
      </c>
      <c r="G114" s="10">
        <f>'GMT Glossary'!$B$1</f>
        <v>4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05:00</v>
      </c>
    </row>
    <row r="115" spans="1:9" x14ac:dyDescent="0.25">
      <c r="A115" s="46">
        <v>45557</v>
      </c>
      <c r="B115" s="38">
        <v>4.1666666666666664E-2</v>
      </c>
      <c r="C115" s="49" t="s">
        <v>8</v>
      </c>
      <c r="D115" s="53" t="s">
        <v>139</v>
      </c>
      <c r="E115" s="9" t="s">
        <v>72</v>
      </c>
      <c r="F115" s="8">
        <f>(INT(Table_Azerbaijan[[#This Row],[Date]]) - DATE(1970, 1, 1)) * 86400000</f>
        <v>1726963200000</v>
      </c>
      <c r="G115" s="10">
        <f>'GMT Glossary'!$B$1</f>
        <v>4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05:00</v>
      </c>
    </row>
    <row r="116" spans="1:9" x14ac:dyDescent="0.25">
      <c r="A116" s="63">
        <v>45557</v>
      </c>
      <c r="B116" s="88">
        <v>0.125</v>
      </c>
      <c r="C116" s="86" t="s">
        <v>8</v>
      </c>
      <c r="D116" s="35" t="s">
        <v>195</v>
      </c>
      <c r="E116" s="9" t="s">
        <v>21</v>
      </c>
      <c r="F116" s="8">
        <f>(INT(Table_Azerbaijan[[#This Row],[Date]]) - DATE(1970, 1, 1)) * 86400000</f>
        <v>1726963200000</v>
      </c>
      <c r="G116">
        <f>'GMT Glossary'!$B$1</f>
        <v>4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07:00</v>
      </c>
    </row>
    <row r="117" spans="1:9" x14ac:dyDescent="0.25">
      <c r="A117" s="46">
        <v>45557</v>
      </c>
      <c r="B117" s="38">
        <v>0.125</v>
      </c>
      <c r="C117" s="49" t="s">
        <v>8</v>
      </c>
      <c r="D117" s="58" t="s">
        <v>244</v>
      </c>
      <c r="E117" s="9" t="s">
        <v>72</v>
      </c>
      <c r="F117" s="8">
        <f>(INT(Table_Azerbaijan[[#This Row],[Date]]) - DATE(1970, 1, 1)) * 86400000</f>
        <v>1726963200000</v>
      </c>
      <c r="G117" s="10">
        <f>'GMT Glossary'!$B$1</f>
        <v>4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07:00</v>
      </c>
    </row>
    <row r="118" spans="1:9" x14ac:dyDescent="0.25">
      <c r="A118" s="63">
        <v>45557</v>
      </c>
      <c r="B118" s="88">
        <v>0.20833333333333334</v>
      </c>
      <c r="C118" s="86" t="s">
        <v>8</v>
      </c>
      <c r="D118" s="58" t="s">
        <v>129</v>
      </c>
      <c r="E118" s="9" t="s">
        <v>21</v>
      </c>
      <c r="F118" s="8">
        <f>(INT(Table_Azerbaijan[[#This Row],[Date]]) - DATE(1970, 1, 1)) * 86400000</f>
        <v>1726963200000</v>
      </c>
      <c r="G118" s="10">
        <f>'GMT Glossary'!$B$1</f>
        <v>4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09:00</v>
      </c>
    </row>
    <row r="119" spans="1:9" x14ac:dyDescent="0.25">
      <c r="A119" s="46">
        <v>45557</v>
      </c>
      <c r="B119" s="38">
        <v>0.20833333333333334</v>
      </c>
      <c r="C119" s="49" t="s">
        <v>402</v>
      </c>
      <c r="D119" s="53" t="s">
        <v>85</v>
      </c>
      <c r="E119" s="9" t="s">
        <v>72</v>
      </c>
      <c r="F119" s="8">
        <f>(INT(Table_Azerbaijan[[#This Row],[Date]]) - DATE(1970, 1, 1)) * 86400000</f>
        <v>1726963200000</v>
      </c>
      <c r="G119" s="10">
        <f>'GMT Glossary'!$B$1</f>
        <v>4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09:00</v>
      </c>
    </row>
    <row r="120" spans="1:9" x14ac:dyDescent="0.25">
      <c r="A120" s="63">
        <v>45557</v>
      </c>
      <c r="B120" s="88">
        <v>0.29166666666666669</v>
      </c>
      <c r="C120" s="86" t="s">
        <v>8</v>
      </c>
      <c r="D120" s="58" t="s">
        <v>74</v>
      </c>
      <c r="E120" s="9" t="s">
        <v>21</v>
      </c>
      <c r="F120" s="8">
        <f>(INT(Table_Azerbaijan[[#This Row],[Date]]) - DATE(1970, 1, 1)) * 86400000</f>
        <v>1726963200000</v>
      </c>
      <c r="G120">
        <f>'GMT Glossary'!$B$1</f>
        <v>4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11:00</v>
      </c>
    </row>
    <row r="121" spans="1:9" x14ac:dyDescent="0.25">
      <c r="A121" s="46">
        <v>45557</v>
      </c>
      <c r="B121" s="38">
        <v>0.29166666666666669</v>
      </c>
      <c r="C121" s="49" t="s">
        <v>398</v>
      </c>
      <c r="D121" s="56" t="s">
        <v>245</v>
      </c>
      <c r="E121" s="9" t="s">
        <v>72</v>
      </c>
      <c r="F121" s="8">
        <f>(INT(Table_Azerbaijan[[#This Row],[Date]]) - DATE(1970, 1, 1)) * 86400000</f>
        <v>1726963200000</v>
      </c>
      <c r="G121" s="10">
        <f>'GMT Glossary'!$B$1</f>
        <v>4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11:00</v>
      </c>
    </row>
    <row r="122" spans="1:9" x14ac:dyDescent="0.25">
      <c r="A122" s="63">
        <v>45557</v>
      </c>
      <c r="B122" s="88">
        <v>0.375</v>
      </c>
      <c r="C122" s="86" t="s">
        <v>8</v>
      </c>
      <c r="D122" s="58" t="s">
        <v>59</v>
      </c>
      <c r="E122" s="9" t="s">
        <v>21</v>
      </c>
      <c r="F122" s="8">
        <f>(INT(Table_Azerbaijan[[#This Row],[Date]]) - DATE(1970, 1, 1)) * 86400000</f>
        <v>1726963200000</v>
      </c>
      <c r="G122" s="10">
        <f>'GMT Glossary'!$B$1</f>
        <v>4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13:00</v>
      </c>
    </row>
    <row r="123" spans="1:9" x14ac:dyDescent="0.25">
      <c r="A123" s="46">
        <v>45557</v>
      </c>
      <c r="B123" s="38">
        <v>0.375</v>
      </c>
      <c r="C123" s="49" t="s">
        <v>8</v>
      </c>
      <c r="D123" s="55" t="s">
        <v>141</v>
      </c>
      <c r="E123" s="9" t="s">
        <v>72</v>
      </c>
      <c r="F123" s="8">
        <f>(INT(Table_Azerbaijan[[#This Row],[Date]]) - DATE(1970, 1, 1)) * 86400000</f>
        <v>1726963200000</v>
      </c>
      <c r="G123" s="10">
        <f>'GMT Glossary'!$B$1</f>
        <v>4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13:00</v>
      </c>
    </row>
    <row r="124" spans="1:9" x14ac:dyDescent="0.25">
      <c r="A124" s="63">
        <v>45557</v>
      </c>
      <c r="B124" s="88">
        <v>0.4375</v>
      </c>
      <c r="C124" s="86" t="s">
        <v>8</v>
      </c>
      <c r="D124" s="56" t="s">
        <v>215</v>
      </c>
      <c r="E124" s="9" t="s">
        <v>21</v>
      </c>
      <c r="F124" s="8">
        <f>(INT(Table_Azerbaijan[[#This Row],[Date]]) - DATE(1970, 1, 1)) * 86400000</f>
        <v>1726963200000</v>
      </c>
      <c r="G124">
        <f>'GMT Glossary'!$B$1</f>
        <v>4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14:30</v>
      </c>
    </row>
    <row r="125" spans="1:9" x14ac:dyDescent="0.25">
      <c r="A125" s="46">
        <v>45557</v>
      </c>
      <c r="B125" s="38">
        <v>0.5</v>
      </c>
      <c r="C125" s="49" t="s">
        <v>402</v>
      </c>
      <c r="D125" s="61" t="s">
        <v>246</v>
      </c>
      <c r="E125" s="9" t="s">
        <v>72</v>
      </c>
      <c r="F125" s="8">
        <f>(INT(Table_Azerbaijan[[#This Row],[Date]]) - DATE(1970, 1, 1)) * 86400000</f>
        <v>1726963200000</v>
      </c>
      <c r="G125" s="10">
        <f>'GMT Glossary'!$B$1</f>
        <v>4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16:00</v>
      </c>
    </row>
    <row r="126" spans="1:9" x14ac:dyDescent="0.25">
      <c r="A126" s="63">
        <v>45557</v>
      </c>
      <c r="B126" s="88">
        <v>0.54166666666666663</v>
      </c>
      <c r="C126" s="86" t="s">
        <v>8</v>
      </c>
      <c r="D126" s="56" t="s">
        <v>216</v>
      </c>
      <c r="E126" s="9" t="s">
        <v>21</v>
      </c>
      <c r="F126" s="8">
        <f>(INT(Table_Azerbaijan[[#This Row],[Date]]) - DATE(1970, 1, 1)) * 86400000</f>
        <v>1726963200000</v>
      </c>
      <c r="G126" s="10">
        <f>'GMT Glossary'!$B$1</f>
        <v>4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17:00</v>
      </c>
    </row>
    <row r="127" spans="1:9" x14ac:dyDescent="0.25">
      <c r="A127" s="46">
        <v>45557</v>
      </c>
      <c r="B127" s="38">
        <v>0.59375</v>
      </c>
      <c r="C127" s="49" t="s">
        <v>8</v>
      </c>
      <c r="D127" s="61" t="s">
        <v>247</v>
      </c>
      <c r="E127" s="9" t="s">
        <v>72</v>
      </c>
      <c r="F127" s="8">
        <f>(INT(Table_Azerbaijan[[#This Row],[Date]]) - DATE(1970, 1, 1)) * 86400000</f>
        <v>1726963200000</v>
      </c>
      <c r="G127" s="10">
        <f>'GMT Glossary'!$B$1</f>
        <v>4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18:15</v>
      </c>
    </row>
    <row r="128" spans="1:9" x14ac:dyDescent="0.25">
      <c r="A128" s="63">
        <v>45557</v>
      </c>
      <c r="B128" s="88">
        <v>0.64583333333333337</v>
      </c>
      <c r="C128" s="86" t="s">
        <v>8</v>
      </c>
      <c r="D128" s="56" t="s">
        <v>217</v>
      </c>
      <c r="E128" s="9" t="s">
        <v>21</v>
      </c>
      <c r="F128" s="8">
        <f>(INT(Table_Azerbaijan[[#This Row],[Date]]) - DATE(1970, 1, 1)) * 86400000</f>
        <v>1726963200000</v>
      </c>
      <c r="G128">
        <f>'GMT Glossary'!$B$1</f>
        <v>4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19:30</v>
      </c>
    </row>
    <row r="129" spans="1:9" x14ac:dyDescent="0.25">
      <c r="A129" s="46">
        <v>45557</v>
      </c>
      <c r="B129" s="38">
        <v>0.6875</v>
      </c>
      <c r="C129" s="49" t="s">
        <v>8</v>
      </c>
      <c r="D129" s="61" t="s">
        <v>248</v>
      </c>
      <c r="E129" s="9" t="s">
        <v>72</v>
      </c>
      <c r="F129" s="8">
        <f>(INT(Table_Azerbaijan[[#This Row],[Date]]) - DATE(1970, 1, 1)) * 86400000</f>
        <v>1726963200000</v>
      </c>
      <c r="G129" s="10">
        <f>'GMT Glossary'!$B$1</f>
        <v>4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20:30</v>
      </c>
    </row>
    <row r="130" spans="1:9" x14ac:dyDescent="0.25">
      <c r="A130" s="63">
        <v>45557</v>
      </c>
      <c r="B130" s="88">
        <v>0.78125</v>
      </c>
      <c r="C130" s="86" t="s">
        <v>8</v>
      </c>
      <c r="D130" s="56" t="s">
        <v>218</v>
      </c>
      <c r="E130" s="9" t="s">
        <v>21</v>
      </c>
      <c r="F130" s="8">
        <f>(INT(Table_Azerbaijan[[#This Row],[Date]]) - DATE(1970, 1, 1)) * 86400000</f>
        <v>1726963200000</v>
      </c>
      <c r="G130" s="10">
        <f>'GMT Glossary'!$B$1</f>
        <v>4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22:45</v>
      </c>
    </row>
    <row r="131" spans="1:9" x14ac:dyDescent="0.25">
      <c r="A131" s="46">
        <v>45557</v>
      </c>
      <c r="B131" s="38">
        <v>0.78125</v>
      </c>
      <c r="C131" s="49" t="s">
        <v>8</v>
      </c>
      <c r="D131" s="61" t="s">
        <v>249</v>
      </c>
      <c r="E131" s="9" t="s">
        <v>72</v>
      </c>
      <c r="F131" s="8">
        <f>(INT(Table_Azerbaijan[[#This Row],[Date]]) - DATE(1970, 1, 1)) * 86400000</f>
        <v>1726963200000</v>
      </c>
      <c r="G131" s="10">
        <f>'GMT Glossary'!$B$1</f>
        <v>4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22:45</v>
      </c>
    </row>
    <row r="132" spans="1:9" x14ac:dyDescent="0.25">
      <c r="A132" s="63">
        <v>45557</v>
      </c>
      <c r="B132" s="88">
        <v>0.875</v>
      </c>
      <c r="C132" s="86" t="s">
        <v>8</v>
      </c>
      <c r="D132" s="58" t="s">
        <v>219</v>
      </c>
      <c r="E132" s="9" t="s">
        <v>21</v>
      </c>
      <c r="F132" s="8">
        <f>(INT(Table_Azerbaijan[[#This Row],[Date]]) - DATE(1970, 1, 1)) * 86400000</f>
        <v>1726963200000</v>
      </c>
      <c r="G132">
        <f>'GMT Glossary'!$B$1</f>
        <v>4</v>
      </c>
      <c r="H132" s="2" t="str">
        <f>TEXT(IF(B132&lt;0, A132+1+((B132+(G132/24))-(INT(B132+(G132/24)))), A132+(B132+(G132/24))), "yyyy-mm-dd")</f>
        <v>2024-09-23</v>
      </c>
      <c r="I132" s="2" t="str">
        <f>TEXT(IF(B132&lt;0, A132+1+((B132+(G132/24))-(INT(B132+(G132/24)))), A132+(B132+(G132/24))), "hh:mm")</f>
        <v>01:00</v>
      </c>
    </row>
    <row r="133" spans="1:9" x14ac:dyDescent="0.25">
      <c r="A133" s="46">
        <v>45557</v>
      </c>
      <c r="B133" s="38">
        <v>0.875</v>
      </c>
      <c r="C133" s="49" t="s">
        <v>8</v>
      </c>
      <c r="D133" s="55" t="s">
        <v>141</v>
      </c>
      <c r="E133" s="9" t="s">
        <v>72</v>
      </c>
      <c r="F133" s="8">
        <f>(INT(Table_Azerbaijan[[#This Row],[Date]]) - DATE(1970, 1, 1)) * 86400000</f>
        <v>1726963200000</v>
      </c>
      <c r="G133" s="10">
        <f>'GMT Glossary'!$B$1</f>
        <v>4</v>
      </c>
      <c r="H133" s="2" t="str">
        <f>TEXT(IF(B133&lt;0, A133+1+((B133+(G133/24))-(INT(B133+(G133/24)))), A133+(B133+(G133/24))), "yyyy-mm-dd")</f>
        <v>2024-09-23</v>
      </c>
      <c r="I133" s="2" t="str">
        <f>TEXT(IF(B133&lt;0, A133+1+((B133+(G133/24))-(INT(B133+(G133/24)))), A133+(B133+(G133/24))), "hh:mm")</f>
        <v>01:00</v>
      </c>
    </row>
    <row r="134" spans="1:9" x14ac:dyDescent="0.25">
      <c r="A134" s="63">
        <v>45557</v>
      </c>
      <c r="B134" s="88">
        <v>0.95833333333333337</v>
      </c>
      <c r="C134" s="86" t="s">
        <v>8</v>
      </c>
      <c r="D134" s="58" t="s">
        <v>220</v>
      </c>
      <c r="E134" s="9" t="s">
        <v>21</v>
      </c>
      <c r="F134" s="8">
        <f>(INT(Table_Azerbaijan[[#This Row],[Date]]) - DATE(1970, 1, 1)) * 86400000</f>
        <v>1726963200000</v>
      </c>
      <c r="G134" s="10">
        <f>'GMT Glossary'!$B$1</f>
        <v>4</v>
      </c>
      <c r="H134" s="2" t="str">
        <f>TEXT(IF(B134&lt;0, A134+1+((B134+(G134/24))-(INT(B134+(G134/24)))), A134+(B134+(G134/24))), "yyyy-mm-dd")</f>
        <v>2024-09-23</v>
      </c>
      <c r="I134" s="2" t="str">
        <f>TEXT(IF(B134&lt;0, A134+1+((B134+(G134/24))-(INT(B134+(G134/24)))), A134+(B134+(G134/24))), "hh:mm")</f>
        <v>03:00</v>
      </c>
    </row>
    <row r="135" spans="1:9" x14ac:dyDescent="0.25">
      <c r="A135" s="46">
        <v>45557</v>
      </c>
      <c r="B135" s="38">
        <v>0.97916666666666663</v>
      </c>
      <c r="C135" s="49" t="s">
        <v>398</v>
      </c>
      <c r="D135" s="55" t="s">
        <v>92</v>
      </c>
      <c r="E135" s="9" t="s">
        <v>72</v>
      </c>
      <c r="F135" s="8">
        <f>(INT(Table_Azerbaijan[[#This Row],[Date]]) - DATE(1970, 1, 1)) * 86400000</f>
        <v>1726963200000</v>
      </c>
      <c r="G135" s="10">
        <f>'GMT Glossary'!$B$1</f>
        <v>4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03:30</v>
      </c>
    </row>
    <row r="136" spans="1:9" x14ac:dyDescent="0.25">
      <c r="A136" s="63">
        <v>45558</v>
      </c>
      <c r="B136" s="88">
        <v>4.1666666666666664E-2</v>
      </c>
      <c r="C136" s="86" t="s">
        <v>8</v>
      </c>
      <c r="D136" s="58" t="s">
        <v>221</v>
      </c>
      <c r="E136" s="9" t="s">
        <v>21</v>
      </c>
      <c r="F136" s="8">
        <f>(INT(Table_Azerbaijan[[#This Row],[Date]]) - DATE(1970, 1, 1)) * 86400000</f>
        <v>1727049600000</v>
      </c>
      <c r="G136">
        <f>'GMT Glossary'!$B$1</f>
        <v>4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05:00</v>
      </c>
    </row>
    <row r="137" spans="1:9" x14ac:dyDescent="0.25">
      <c r="A137" s="46">
        <v>45558</v>
      </c>
      <c r="B137" s="38">
        <v>8.3333333333333329E-2</v>
      </c>
      <c r="C137" s="49" t="s">
        <v>401</v>
      </c>
      <c r="D137" s="58" t="s">
        <v>87</v>
      </c>
      <c r="E137" s="9" t="s">
        <v>72</v>
      </c>
      <c r="F137" s="8">
        <f>(INT(Table_Azerbaijan[[#This Row],[Date]]) - DATE(1970, 1, 1)) * 86400000</f>
        <v>1727049600000</v>
      </c>
      <c r="G137" s="10">
        <f>'GMT Glossary'!$B$1</f>
        <v>4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06:00</v>
      </c>
    </row>
    <row r="138" spans="1:9" x14ac:dyDescent="0.25">
      <c r="A138" s="63">
        <v>45558</v>
      </c>
      <c r="B138" s="88">
        <v>0.125</v>
      </c>
      <c r="C138" s="86" t="s">
        <v>8</v>
      </c>
      <c r="D138" s="58" t="s">
        <v>222</v>
      </c>
      <c r="E138" s="9" t="s">
        <v>21</v>
      </c>
      <c r="F138" s="8">
        <f>(INT(Table_Azerbaijan[[#This Row],[Date]]) - DATE(1970, 1, 1)) * 86400000</f>
        <v>1727049600000</v>
      </c>
      <c r="G138" s="10">
        <f>'GMT Glossary'!$B$1</f>
        <v>4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07:00</v>
      </c>
    </row>
    <row r="139" spans="1:9" x14ac:dyDescent="0.25">
      <c r="A139" s="63">
        <v>45558</v>
      </c>
      <c r="B139" s="88">
        <v>0.20833333333333334</v>
      </c>
      <c r="C139" s="86" t="s">
        <v>8</v>
      </c>
      <c r="D139" s="35" t="s">
        <v>223</v>
      </c>
      <c r="E139" s="9" t="s">
        <v>21</v>
      </c>
      <c r="F139" s="8">
        <f>(INT(Table_Azerbaijan[[#This Row],[Date]]) - DATE(1970, 1, 1)) * 86400000</f>
        <v>1727049600000</v>
      </c>
      <c r="G139" s="10">
        <f>'GMT Glossary'!$B$1</f>
        <v>4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09:00</v>
      </c>
    </row>
    <row r="140" spans="1:9" x14ac:dyDescent="0.25">
      <c r="A140" s="46">
        <v>45558</v>
      </c>
      <c r="B140" s="38">
        <v>0.20833333333333334</v>
      </c>
      <c r="C140" s="49" t="s">
        <v>8</v>
      </c>
      <c r="D140" s="58" t="s">
        <v>250</v>
      </c>
      <c r="E140" s="9" t="s">
        <v>72</v>
      </c>
      <c r="F140" s="8">
        <f>(INT(Table_Azerbaijan[[#This Row],[Date]]) - DATE(1970, 1, 1)) * 86400000</f>
        <v>1727049600000</v>
      </c>
      <c r="G140" s="10">
        <f>'GMT Glossary'!$B$1</f>
        <v>4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09:00</v>
      </c>
    </row>
    <row r="141" spans="1:9" x14ac:dyDescent="0.25">
      <c r="A141" s="63">
        <v>45558</v>
      </c>
      <c r="B141" s="88">
        <v>0.29166666666666669</v>
      </c>
      <c r="C141" s="86" t="s">
        <v>8</v>
      </c>
      <c r="D141" s="58" t="s">
        <v>219</v>
      </c>
      <c r="E141" s="9" t="s">
        <v>21</v>
      </c>
      <c r="F141" s="8">
        <f>(INT(Table_Azerbaijan[[#This Row],[Date]]) - DATE(1970, 1, 1)) * 86400000</f>
        <v>1727049600000</v>
      </c>
      <c r="G141">
        <f>'GMT Glossary'!$B$1</f>
        <v>4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11:00</v>
      </c>
    </row>
    <row r="142" spans="1:9" x14ac:dyDescent="0.25">
      <c r="A142" s="46">
        <v>45558</v>
      </c>
      <c r="B142" s="38">
        <v>0.29166666666666669</v>
      </c>
      <c r="C142" s="49" t="s">
        <v>8</v>
      </c>
      <c r="D142" s="35" t="s">
        <v>251</v>
      </c>
      <c r="E142" s="9" t="s">
        <v>72</v>
      </c>
      <c r="F142" s="8">
        <f>(INT(Table_Azerbaijan[[#This Row],[Date]]) - DATE(1970, 1, 1)) * 86400000</f>
        <v>1727049600000</v>
      </c>
      <c r="G142" s="10">
        <f>'GMT Glossary'!$B$1</f>
        <v>4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11:00</v>
      </c>
    </row>
    <row r="143" spans="1:9" x14ac:dyDescent="0.25">
      <c r="A143" s="63">
        <v>45558</v>
      </c>
      <c r="B143" s="88">
        <v>0.375</v>
      </c>
      <c r="C143" s="86" t="s">
        <v>8</v>
      </c>
      <c r="D143" s="58" t="s">
        <v>224</v>
      </c>
      <c r="E143" s="9" t="s">
        <v>21</v>
      </c>
      <c r="F143" s="8">
        <f>(INT(Table_Azerbaijan[[#This Row],[Date]]) - DATE(1970, 1, 1)) * 86400000</f>
        <v>1727049600000</v>
      </c>
      <c r="G143" s="10">
        <f>'GMT Glossary'!$B$1</f>
        <v>4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13:00</v>
      </c>
    </row>
    <row r="144" spans="1:9" x14ac:dyDescent="0.25">
      <c r="A144" s="46">
        <v>45558</v>
      </c>
      <c r="B144" s="38">
        <v>0.375</v>
      </c>
      <c r="C144" s="49" t="s">
        <v>8</v>
      </c>
      <c r="D144" s="55" t="s">
        <v>252</v>
      </c>
      <c r="E144" s="9" t="s">
        <v>72</v>
      </c>
      <c r="F144" s="8">
        <f>(INT(Table_Azerbaijan[[#This Row],[Date]]) - DATE(1970, 1, 1)) * 86400000</f>
        <v>1727049600000</v>
      </c>
      <c r="G144" s="10">
        <f>'GMT Glossary'!$B$1</f>
        <v>4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13:00</v>
      </c>
    </row>
    <row r="145" spans="1:9" x14ac:dyDescent="0.25">
      <c r="A145" s="63">
        <v>45558</v>
      </c>
      <c r="B145" s="88">
        <v>0.45833333333333331</v>
      </c>
      <c r="C145" s="86" t="s">
        <v>8</v>
      </c>
      <c r="D145" s="58" t="s">
        <v>225</v>
      </c>
      <c r="E145" s="9" t="s">
        <v>21</v>
      </c>
      <c r="F145" s="8">
        <f>(INT(Table_Azerbaijan[[#This Row],[Date]]) - DATE(1970, 1, 1)) * 86400000</f>
        <v>1727049600000</v>
      </c>
      <c r="G145">
        <f>'GMT Glossary'!$B$1</f>
        <v>4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15:00</v>
      </c>
    </row>
    <row r="146" spans="1:9" x14ac:dyDescent="0.25">
      <c r="A146" s="46">
        <v>45558</v>
      </c>
      <c r="B146" s="38">
        <v>0.45833333333333331</v>
      </c>
      <c r="C146" s="49" t="s">
        <v>402</v>
      </c>
      <c r="D146" s="55" t="s">
        <v>91</v>
      </c>
      <c r="E146" s="9" t="s">
        <v>72</v>
      </c>
      <c r="F146" s="8">
        <f>(INT(Table_Azerbaijan[[#This Row],[Date]]) - DATE(1970, 1, 1)) * 86400000</f>
        <v>1727049600000</v>
      </c>
      <c r="G146" s="10">
        <f>'GMT Glossary'!$B$1</f>
        <v>4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15:00</v>
      </c>
    </row>
    <row r="147" spans="1:9" x14ac:dyDescent="0.25">
      <c r="A147" s="63">
        <v>45558</v>
      </c>
      <c r="B147" s="88">
        <v>0.54166666666666663</v>
      </c>
      <c r="C147" s="86" t="s">
        <v>8</v>
      </c>
      <c r="D147" s="58" t="s">
        <v>226</v>
      </c>
      <c r="E147" s="9" t="s">
        <v>21</v>
      </c>
      <c r="F147" s="8">
        <f>(INT(Table_Azerbaijan[[#This Row],[Date]]) - DATE(1970, 1, 1)) * 86400000</f>
        <v>1727049600000</v>
      </c>
      <c r="G147" s="10">
        <f>'GMT Glossary'!$B$1</f>
        <v>4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17:00</v>
      </c>
    </row>
    <row r="148" spans="1:9" x14ac:dyDescent="0.25">
      <c r="A148" s="46">
        <v>45558</v>
      </c>
      <c r="B148" s="38">
        <v>0.54166666666666663</v>
      </c>
      <c r="C148" s="49" t="s">
        <v>398</v>
      </c>
      <c r="D148" s="58" t="s">
        <v>92</v>
      </c>
      <c r="E148" s="9" t="s">
        <v>72</v>
      </c>
      <c r="F148" s="8">
        <f>(INT(Table_Azerbaijan[[#This Row],[Date]]) - DATE(1970, 1, 1)) * 86400000</f>
        <v>1727049600000</v>
      </c>
      <c r="G148" s="10">
        <f>'GMT Glossary'!$B$1</f>
        <v>4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17:00</v>
      </c>
    </row>
    <row r="149" spans="1:9" x14ac:dyDescent="0.25">
      <c r="A149" s="63">
        <v>45558</v>
      </c>
      <c r="B149" s="88">
        <v>0.625</v>
      </c>
      <c r="C149" s="86" t="s">
        <v>8</v>
      </c>
      <c r="D149" s="58" t="s">
        <v>223</v>
      </c>
      <c r="E149" s="9" t="s">
        <v>21</v>
      </c>
      <c r="F149" s="8">
        <f>(INT(Table_Azerbaijan[[#This Row],[Date]]) - DATE(1970, 1, 1)) * 86400000</f>
        <v>1727049600000</v>
      </c>
      <c r="G149">
        <f>'GMT Glossary'!$B$1</f>
        <v>4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19:00</v>
      </c>
    </row>
    <row r="150" spans="1:9" x14ac:dyDescent="0.25">
      <c r="A150" s="46">
        <v>45558</v>
      </c>
      <c r="B150" s="38">
        <v>0.625</v>
      </c>
      <c r="C150" s="49" t="s">
        <v>8</v>
      </c>
      <c r="D150" s="53" t="s">
        <v>253</v>
      </c>
      <c r="E150" s="9" t="s">
        <v>72</v>
      </c>
      <c r="F150" s="8">
        <f>(INT(Table_Azerbaijan[[#This Row],[Date]]) - DATE(1970, 1, 1)) * 86400000</f>
        <v>1727049600000</v>
      </c>
      <c r="G150" s="10">
        <f>'GMT Glossary'!$B$1</f>
        <v>4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19:00</v>
      </c>
    </row>
    <row r="151" spans="1:9" x14ac:dyDescent="0.25">
      <c r="A151" s="63">
        <v>45558</v>
      </c>
      <c r="B151" s="88">
        <v>0.70833333333333337</v>
      </c>
      <c r="C151" s="86" t="s">
        <v>8</v>
      </c>
      <c r="D151" s="58" t="s">
        <v>221</v>
      </c>
      <c r="E151" s="9" t="s">
        <v>21</v>
      </c>
      <c r="F151" s="8">
        <f>(INT(Table_Azerbaijan[[#This Row],[Date]]) - DATE(1970, 1, 1)) * 86400000</f>
        <v>1727049600000</v>
      </c>
      <c r="G151">
        <f>'GMT Glossary'!$B$1</f>
        <v>4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21:00</v>
      </c>
    </row>
    <row r="152" spans="1:9" x14ac:dyDescent="0.25">
      <c r="A152" s="46">
        <v>45558</v>
      </c>
      <c r="B152" s="38">
        <v>0.70833333333333337</v>
      </c>
      <c r="C152" s="49" t="s">
        <v>8</v>
      </c>
      <c r="D152" s="55" t="s">
        <v>254</v>
      </c>
      <c r="E152" s="9" t="s">
        <v>72</v>
      </c>
      <c r="F152" s="8">
        <f>(INT(Table_Azerbaijan[[#This Row],[Date]]) - DATE(1970, 1, 1)) * 86400000</f>
        <v>1727049600000</v>
      </c>
      <c r="G152" s="10">
        <f>'GMT Glossary'!$B$1</f>
        <v>4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21:00</v>
      </c>
    </row>
    <row r="153" spans="1:9" x14ac:dyDescent="0.25">
      <c r="A153" s="63">
        <v>45558</v>
      </c>
      <c r="B153" s="88">
        <v>0.78125</v>
      </c>
      <c r="C153" s="86" t="s">
        <v>8</v>
      </c>
      <c r="D153" s="56" t="s">
        <v>227</v>
      </c>
      <c r="E153" s="9" t="s">
        <v>21</v>
      </c>
      <c r="F153" s="8">
        <f>(INT(Table_Azerbaijan[[#This Row],[Date]]) - DATE(1970, 1, 1)) * 86400000</f>
        <v>1727049600000</v>
      </c>
      <c r="G153" s="10">
        <f>'GMT Glossary'!$B$1</f>
        <v>4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22:45</v>
      </c>
    </row>
    <row r="154" spans="1:9" x14ac:dyDescent="0.25">
      <c r="A154" s="46">
        <v>45558</v>
      </c>
      <c r="B154" s="38">
        <v>0.79166666666666663</v>
      </c>
      <c r="C154" s="49" t="s">
        <v>8</v>
      </c>
      <c r="D154" s="55" t="s">
        <v>141</v>
      </c>
      <c r="E154" s="9" t="s">
        <v>72</v>
      </c>
      <c r="F154" s="8">
        <f>(INT(Table_Azerbaijan[[#This Row],[Date]]) - DATE(1970, 1, 1)) * 86400000</f>
        <v>1727049600000</v>
      </c>
      <c r="G154" s="10">
        <f>'GMT Glossary'!$B$1</f>
        <v>4</v>
      </c>
      <c r="H154" s="2" t="str">
        <f>TEXT(IF(B154&lt;0, A154+1+((B154+(G154/24))-(INT(B154+(G154/24)))), A154+(B154+(G154/24))), "yyyy-mm-dd")</f>
        <v>2024-09-23</v>
      </c>
      <c r="I154" s="2" t="str">
        <f>TEXT(IF(B154&lt;0, A154+1+((B154+(G154/24))-(INT(B154+(G154/24)))), A154+(B154+(G154/24))), "hh:mm")</f>
        <v>23:00</v>
      </c>
    </row>
    <row r="155" spans="1:9" x14ac:dyDescent="0.25">
      <c r="A155" s="63">
        <v>45558</v>
      </c>
      <c r="B155" s="88">
        <v>0.875</v>
      </c>
      <c r="C155" s="86" t="s">
        <v>8</v>
      </c>
      <c r="D155" s="58" t="s">
        <v>225</v>
      </c>
      <c r="E155" s="9" t="s">
        <v>21</v>
      </c>
      <c r="F155" s="8">
        <f>(INT(Table_Azerbaijan[[#This Row],[Date]]) - DATE(1970, 1, 1)) * 86400000</f>
        <v>1727049600000</v>
      </c>
      <c r="G155">
        <f>'GMT Glossary'!$B$1</f>
        <v>4</v>
      </c>
      <c r="H155" s="2" t="str">
        <f>TEXT(IF(B155&lt;0, A155+1+((B155+(G155/24))-(INT(B155+(G155/24)))), A155+(B155+(G155/24))), "yyyy-mm-dd")</f>
        <v>2024-09-24</v>
      </c>
      <c r="I155" s="2" t="str">
        <f>TEXT(IF(B155&lt;0, A155+1+((B155+(G155/24))-(INT(B155+(G155/24)))), A155+(B155+(G155/24))), "hh:mm")</f>
        <v>01:00</v>
      </c>
    </row>
    <row r="156" spans="1:9" x14ac:dyDescent="0.25">
      <c r="A156" s="46">
        <v>45558</v>
      </c>
      <c r="B156" s="38">
        <v>0.875</v>
      </c>
      <c r="C156" s="49" t="s">
        <v>8</v>
      </c>
      <c r="D156" s="53" t="s">
        <v>139</v>
      </c>
      <c r="E156" s="9" t="s">
        <v>72</v>
      </c>
      <c r="F156" s="8">
        <f>(INT(Table_Azerbaijan[[#This Row],[Date]]) - DATE(1970, 1, 1)) * 86400000</f>
        <v>1727049600000</v>
      </c>
      <c r="G156" s="10">
        <f>'GMT Glossary'!$B$1</f>
        <v>4</v>
      </c>
      <c r="H156" s="2" t="str">
        <f>TEXT(IF(B156&lt;0, A156+1+((B156+(G156/24))-(INT(B156+(G156/24)))), A156+(B156+(G156/24))), "yyyy-mm-dd")</f>
        <v>2024-09-24</v>
      </c>
      <c r="I156" s="2" t="str">
        <f>TEXT(IF(B156&lt;0, A156+1+((B156+(G156/24))-(INT(B156+(G156/24)))), A156+(B156+(G156/24))), "hh:mm")</f>
        <v>01:00</v>
      </c>
    </row>
    <row r="157" spans="1:9" x14ac:dyDescent="0.25">
      <c r="A157" s="63">
        <v>45558</v>
      </c>
      <c r="B157" s="88">
        <v>0.95833333333333337</v>
      </c>
      <c r="C157" s="86" t="s">
        <v>8</v>
      </c>
      <c r="D157" s="35" t="s">
        <v>228</v>
      </c>
      <c r="E157" s="9" t="s">
        <v>21</v>
      </c>
      <c r="F157" s="8">
        <f>(INT(Table_Azerbaijan[[#This Row],[Date]]) - DATE(1970, 1, 1)) * 86400000</f>
        <v>1727049600000</v>
      </c>
      <c r="G157" s="10">
        <f>'GMT Glossary'!$B$1</f>
        <v>4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03:00</v>
      </c>
    </row>
    <row r="158" spans="1:9" x14ac:dyDescent="0.25">
      <c r="A158" s="46">
        <v>45558</v>
      </c>
      <c r="B158" s="38">
        <v>0.95833333333333337</v>
      </c>
      <c r="C158" s="49" t="s">
        <v>401</v>
      </c>
      <c r="D158" s="58" t="s">
        <v>87</v>
      </c>
      <c r="E158" s="9" t="s">
        <v>72</v>
      </c>
      <c r="F158" s="8">
        <f>(INT(Table_Azerbaijan[[#This Row],[Date]]) - DATE(1970, 1, 1)) * 86400000</f>
        <v>1727049600000</v>
      </c>
      <c r="G158" s="10">
        <f>'GMT Glossary'!$B$1</f>
        <v>4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03:00</v>
      </c>
    </row>
    <row r="159" spans="1:9" x14ac:dyDescent="0.25">
      <c r="A159" s="63">
        <v>45559</v>
      </c>
      <c r="B159" s="88">
        <v>4.1666666666666664E-2</v>
      </c>
      <c r="C159" s="86" t="s">
        <v>8</v>
      </c>
      <c r="D159" s="58" t="s">
        <v>224</v>
      </c>
      <c r="E159" s="9" t="s">
        <v>21</v>
      </c>
      <c r="F159" s="8">
        <f>(INT(Table_Azerbaijan[[#This Row],[Date]]) - DATE(1970, 1, 1)) * 86400000</f>
        <v>1727136000000</v>
      </c>
      <c r="G159">
        <f>'GMT Glossary'!$B$1</f>
        <v>4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05:00</v>
      </c>
    </row>
    <row r="160" spans="1:9" x14ac:dyDescent="0.25">
      <c r="A160" s="46">
        <v>45559</v>
      </c>
      <c r="B160" s="38">
        <v>8.3333333333333329E-2</v>
      </c>
      <c r="C160" s="49" t="s">
        <v>402</v>
      </c>
      <c r="D160" s="53" t="s">
        <v>91</v>
      </c>
      <c r="E160" s="9" t="s">
        <v>72</v>
      </c>
      <c r="F160" s="8">
        <f>(INT(Table_Azerbaijan[[#This Row],[Date]]) - DATE(1970, 1, 1)) * 86400000</f>
        <v>1727136000000</v>
      </c>
      <c r="G160" s="10">
        <f>'GMT Glossary'!$B$1</f>
        <v>4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06:00</v>
      </c>
    </row>
    <row r="161" spans="1:9" x14ac:dyDescent="0.25">
      <c r="A161" s="63">
        <v>45559</v>
      </c>
      <c r="B161" s="88">
        <v>0.125</v>
      </c>
      <c r="C161" s="86" t="s">
        <v>8</v>
      </c>
      <c r="D161" s="58" t="s">
        <v>220</v>
      </c>
      <c r="E161" s="9" t="s">
        <v>21</v>
      </c>
      <c r="F161" s="8">
        <f>(INT(Table_Azerbaijan[[#This Row],[Date]]) - DATE(1970, 1, 1)) * 86400000</f>
        <v>1727136000000</v>
      </c>
      <c r="G161">
        <f>'GMT Glossary'!$B$1</f>
        <v>4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07:00</v>
      </c>
    </row>
    <row r="162" spans="1:9" x14ac:dyDescent="0.25">
      <c r="A162" s="63">
        <v>45559</v>
      </c>
      <c r="B162" s="88">
        <v>0.20833333333333334</v>
      </c>
      <c r="C162" s="86" t="s">
        <v>8</v>
      </c>
      <c r="D162" s="35" t="s">
        <v>222</v>
      </c>
      <c r="E162" s="9" t="s">
        <v>21</v>
      </c>
      <c r="F162" s="8">
        <f>(INT(Table_Azerbaijan[[#This Row],[Date]]) - DATE(1970, 1, 1)) * 86400000</f>
        <v>1727136000000</v>
      </c>
      <c r="G162" s="10">
        <f>'GMT Glossary'!$B$1</f>
        <v>4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09:00</v>
      </c>
    </row>
    <row r="163" spans="1:9" x14ac:dyDescent="0.25">
      <c r="A163" s="46">
        <v>45559</v>
      </c>
      <c r="B163" s="38">
        <v>0.20833333333333334</v>
      </c>
      <c r="C163" s="49" t="s">
        <v>398</v>
      </c>
      <c r="D163" s="58" t="s">
        <v>92</v>
      </c>
      <c r="E163" s="9" t="s">
        <v>72</v>
      </c>
      <c r="F163" s="8">
        <f>(INT(Table_Azerbaijan[[#This Row],[Date]]) - DATE(1970, 1, 1)) * 86400000</f>
        <v>1727136000000</v>
      </c>
      <c r="G163" s="10">
        <f>'GMT Glossary'!$B$1</f>
        <v>4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09:00</v>
      </c>
    </row>
    <row r="164" spans="1:9" x14ac:dyDescent="0.25">
      <c r="A164" s="63">
        <v>45559</v>
      </c>
      <c r="B164" s="88">
        <v>0.29166666666666669</v>
      </c>
      <c r="C164" s="86" t="s">
        <v>8</v>
      </c>
      <c r="D164" s="35" t="s">
        <v>219</v>
      </c>
      <c r="E164" s="9" t="s">
        <v>21</v>
      </c>
      <c r="F164" s="8">
        <f>(INT(Table_Azerbaijan[[#This Row],[Date]]) - DATE(1970, 1, 1)) * 86400000</f>
        <v>1727136000000</v>
      </c>
      <c r="G164">
        <f>'GMT Glossary'!$B$1</f>
        <v>4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11:00</v>
      </c>
    </row>
    <row r="165" spans="1:9" x14ac:dyDescent="0.25">
      <c r="A165" s="39">
        <v>45559</v>
      </c>
      <c r="B165" s="57">
        <v>0.29166666666666669</v>
      </c>
      <c r="C165" s="48" t="s">
        <v>8</v>
      </c>
      <c r="D165" s="54" t="s">
        <v>252</v>
      </c>
      <c r="E165" s="9" t="s">
        <v>72</v>
      </c>
      <c r="F165" s="21">
        <f>(INT(Table_Azerbaijan[[#This Row],[Date]]) - DATE(1970, 1, 1)) * 86400000</f>
        <v>1727136000000</v>
      </c>
      <c r="G165" s="12">
        <f>'GMT Glossary'!$B$1</f>
        <v>4</v>
      </c>
      <c r="H165" s="18" t="str">
        <f>TEXT(IF(B165&lt;0, A165+1+((B165+(G165/24))-(INT(B165+(G165/24)))), A165+(B165+(G165/24))), "yyyy-mm-dd")</f>
        <v>2024-09-24</v>
      </c>
      <c r="I165" s="18" t="str">
        <f>TEXT(IF(B165&lt;0, A165+1+((B165+(G165/24))-(INT(B165+(G165/24)))), A165+(B165+(G165/24))), "hh:mm")</f>
        <v>11:00</v>
      </c>
    </row>
  </sheetData>
  <sortState ref="A2:I165">
    <sortCondition ref="A2:A165"/>
    <sortCondition ref="B2:B165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0CE2A-50D8-4224-9AE5-F908E05E6558}">
  <sheetPr codeName="Sheet7"/>
  <dimension ref="A1:I165"/>
  <sheetViews>
    <sheetView workbookViewId="0">
      <selection activeCell="I163" sqref="I163"/>
    </sheetView>
  </sheetViews>
  <sheetFormatPr defaultRowHeight="15" x14ac:dyDescent="0.25"/>
  <cols>
    <col min="2" max="2" width="11.85546875" customWidth="1"/>
    <col min="3" max="3" width="36.42578125" customWidth="1"/>
    <col min="4" max="4" width="37.85546875" customWidth="1"/>
    <col min="5" max="5" width="18.5703125" customWidth="1"/>
    <col min="6" max="6" width="21.42578125" style="8" customWidth="1"/>
    <col min="7" max="7" width="29.5703125" customWidth="1"/>
    <col min="8" max="8" width="65.28515625" customWidth="1"/>
    <col min="9" max="9" width="33.14062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9" x14ac:dyDescent="0.25">
      <c r="A2" s="50">
        <v>45552</v>
      </c>
      <c r="B2" s="47">
        <v>0.375</v>
      </c>
      <c r="C2" s="59" t="s">
        <v>8</v>
      </c>
      <c r="D2" s="35" t="s">
        <v>78</v>
      </c>
      <c r="E2" s="9" t="s">
        <v>21</v>
      </c>
      <c r="F2" s="8">
        <f>(INT(Table_Kazakhstan[[#This Row],[Date]]) - DATE(1970, 1, 1)) * 86400000</f>
        <v>1726531200000</v>
      </c>
      <c r="G2">
        <f>'GMT Glossary'!$B$3</f>
        <v>6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15:00</v>
      </c>
    </row>
    <row r="3" spans="1:9" x14ac:dyDescent="0.25">
      <c r="A3" s="46">
        <v>45552</v>
      </c>
      <c r="B3" s="38">
        <v>0.375</v>
      </c>
      <c r="C3" s="49" t="s">
        <v>8</v>
      </c>
      <c r="D3" s="35" t="s">
        <v>108</v>
      </c>
      <c r="E3" s="9" t="s">
        <v>72</v>
      </c>
      <c r="F3" s="8">
        <f>(INT(Table_Kazakhstan[[#This Row],[Date]]) - DATE(1970, 1, 1)) * 86400000</f>
        <v>1726531200000</v>
      </c>
      <c r="G3" s="10">
        <f>'GMT Glossary'!$B$3</f>
        <v>6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15:00</v>
      </c>
    </row>
    <row r="4" spans="1:9" x14ac:dyDescent="0.25">
      <c r="A4" s="50">
        <v>45552</v>
      </c>
      <c r="B4" s="47">
        <v>0.45833333333333331</v>
      </c>
      <c r="C4" s="59" t="s">
        <v>8</v>
      </c>
      <c r="D4" s="35" t="s">
        <v>195</v>
      </c>
      <c r="E4" s="9" t="s">
        <v>21</v>
      </c>
      <c r="F4" s="8">
        <f>(INT(Table_Kazakhstan[[#This Row],[Date]]) - DATE(1970, 1, 1)) * 86400000</f>
        <v>1726531200000</v>
      </c>
      <c r="G4" s="10">
        <f>'GMT Glossary'!$B$3</f>
        <v>6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17:00</v>
      </c>
    </row>
    <row r="5" spans="1:9" x14ac:dyDescent="0.25">
      <c r="A5" s="46">
        <v>45552</v>
      </c>
      <c r="B5" s="38">
        <v>0.45833333333333331</v>
      </c>
      <c r="C5" s="49" t="s">
        <v>8</v>
      </c>
      <c r="D5" s="55" t="s">
        <v>229</v>
      </c>
      <c r="E5" s="9" t="s">
        <v>72</v>
      </c>
      <c r="F5" s="8">
        <f>(INT(Table_Kazakhstan[[#This Row],[Date]]) - DATE(1970, 1, 1)) * 86400000</f>
        <v>1726531200000</v>
      </c>
      <c r="G5">
        <f>'GMT Glossary'!$B$3</f>
        <v>6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17:00</v>
      </c>
    </row>
    <row r="6" spans="1:9" x14ac:dyDescent="0.25">
      <c r="A6" s="50">
        <v>45552</v>
      </c>
      <c r="B6" s="47">
        <v>0.54166666666666663</v>
      </c>
      <c r="C6" s="59" t="s">
        <v>8</v>
      </c>
      <c r="D6" s="35" t="s">
        <v>129</v>
      </c>
      <c r="E6" s="9" t="s">
        <v>21</v>
      </c>
      <c r="F6" s="8">
        <f>(INT(Table_Kazakhstan[[#This Row],[Date]]) - DATE(1970, 1, 1)) * 86400000</f>
        <v>1726531200000</v>
      </c>
      <c r="G6">
        <f>'GMT Glossary'!$B$3</f>
        <v>6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19:00</v>
      </c>
    </row>
    <row r="7" spans="1:9" x14ac:dyDescent="0.25">
      <c r="A7" s="46">
        <v>45552</v>
      </c>
      <c r="B7" s="38">
        <v>0.54166666666666663</v>
      </c>
      <c r="C7" s="49" t="s">
        <v>8</v>
      </c>
      <c r="D7" s="55" t="s">
        <v>230</v>
      </c>
      <c r="E7" s="9" t="s">
        <v>72</v>
      </c>
      <c r="F7" s="8">
        <f>(INT(Table_Kazakhstan[[#This Row],[Date]]) - DATE(1970, 1, 1)) * 86400000</f>
        <v>1726531200000</v>
      </c>
      <c r="G7" s="10">
        <f>'GMT Glossary'!$B$3</f>
        <v>6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19:00</v>
      </c>
    </row>
    <row r="8" spans="1:9" x14ac:dyDescent="0.25">
      <c r="A8" s="50">
        <v>45552</v>
      </c>
      <c r="B8" s="47">
        <v>0.625</v>
      </c>
      <c r="C8" s="59" t="s">
        <v>8</v>
      </c>
      <c r="D8" s="35" t="s">
        <v>79</v>
      </c>
      <c r="E8" s="9" t="s">
        <v>21</v>
      </c>
      <c r="F8" s="8">
        <f>(INT(Table_Kazakhstan[[#This Row],[Date]]) - DATE(1970, 1, 1)) * 86400000</f>
        <v>1726531200000</v>
      </c>
      <c r="G8" s="10">
        <f>'GMT Glossary'!$B$3</f>
        <v>6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21:00</v>
      </c>
    </row>
    <row r="9" spans="1:9" x14ac:dyDescent="0.25">
      <c r="A9" s="46">
        <v>45552</v>
      </c>
      <c r="B9" s="38">
        <v>0.625</v>
      </c>
      <c r="C9" s="49" t="s">
        <v>8</v>
      </c>
      <c r="D9" s="35" t="s">
        <v>88</v>
      </c>
      <c r="E9" s="9" t="s">
        <v>72</v>
      </c>
      <c r="F9" s="8">
        <f>(INT(Table_Kazakhstan[[#This Row],[Date]]) - DATE(1970, 1, 1)) * 86400000</f>
        <v>1726531200000</v>
      </c>
      <c r="G9">
        <f>'GMT Glossary'!$B$3</f>
        <v>6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21:00</v>
      </c>
    </row>
    <row r="10" spans="1:9" x14ac:dyDescent="0.25">
      <c r="A10" s="50">
        <v>45552</v>
      </c>
      <c r="B10" s="47">
        <v>0.70833333333333337</v>
      </c>
      <c r="C10" s="59" t="s">
        <v>8</v>
      </c>
      <c r="D10" s="35" t="s">
        <v>43</v>
      </c>
      <c r="E10" s="9" t="s">
        <v>21</v>
      </c>
      <c r="F10" s="8">
        <f>(INT(Table_Kazakhstan[[#This Row],[Date]]) - DATE(1970, 1, 1)) * 86400000</f>
        <v>1726531200000</v>
      </c>
      <c r="G10">
        <f>'GMT Glossary'!$B$3</f>
        <v>6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23:00</v>
      </c>
    </row>
    <row r="11" spans="1:9" x14ac:dyDescent="0.25">
      <c r="A11" s="46">
        <v>45552</v>
      </c>
      <c r="B11" s="38">
        <v>0.70833333333333337</v>
      </c>
      <c r="C11" s="49" t="s">
        <v>8</v>
      </c>
      <c r="D11" s="55" t="s">
        <v>93</v>
      </c>
      <c r="E11" s="9" t="s">
        <v>72</v>
      </c>
      <c r="F11" s="8">
        <f>(INT(Table_Kazakhstan[[#This Row],[Date]]) - DATE(1970, 1, 1)) * 86400000</f>
        <v>1726531200000</v>
      </c>
      <c r="G11" s="10">
        <f>'GMT Glossary'!$B$3</f>
        <v>6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23:00</v>
      </c>
    </row>
    <row r="12" spans="1:9" x14ac:dyDescent="0.25">
      <c r="A12" s="46">
        <v>45552</v>
      </c>
      <c r="B12" s="38">
        <v>0.78125</v>
      </c>
      <c r="C12" s="49" t="s">
        <v>8</v>
      </c>
      <c r="D12" s="61" t="s">
        <v>231</v>
      </c>
      <c r="E12" s="9" t="s">
        <v>72</v>
      </c>
      <c r="F12" s="8">
        <f>(INT(Table_Kazakhstan[[#This Row],[Date]]) - DATE(1970, 1, 1)) * 86400000</f>
        <v>1726531200000</v>
      </c>
      <c r="G12">
        <f>'GMT Glossary'!$B$3</f>
        <v>6</v>
      </c>
      <c r="H12" s="2" t="str">
        <f>TEXT(IF(B12&lt;0, A12+1+((B12+(G12/24))-(INT(B12+(G12/24)))), A12+(B12+(G12/24))), "yyyy-mm-dd")</f>
        <v>2024-09-18</v>
      </c>
      <c r="I12" s="2" t="str">
        <f>TEXT(IF(B12&lt;0, A12+1+((B12+(G12/24))-(INT(B12+(G12/24)))), A12+(B12+(G12/24))), "hh:mm")</f>
        <v>00:45</v>
      </c>
    </row>
    <row r="13" spans="1:9" x14ac:dyDescent="0.25">
      <c r="A13" s="50">
        <v>45552</v>
      </c>
      <c r="B13" s="47">
        <v>0.79166666666666663</v>
      </c>
      <c r="C13" s="59" t="s">
        <v>8</v>
      </c>
      <c r="D13" s="56" t="s">
        <v>196</v>
      </c>
      <c r="E13" s="9" t="s">
        <v>21</v>
      </c>
      <c r="F13" s="8">
        <f>(INT(Table_Kazakhstan[[#This Row],[Date]]) - DATE(1970, 1, 1)) * 86400000</f>
        <v>1726531200000</v>
      </c>
      <c r="G13" s="10">
        <f>'GMT Glossary'!$B$3</f>
        <v>6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01:00</v>
      </c>
    </row>
    <row r="14" spans="1:9" x14ac:dyDescent="0.25">
      <c r="A14" s="50">
        <v>45552</v>
      </c>
      <c r="B14" s="47">
        <v>0.875</v>
      </c>
      <c r="C14" s="59" t="s">
        <v>8</v>
      </c>
      <c r="D14" s="35" t="s">
        <v>197</v>
      </c>
      <c r="E14" s="9" t="s">
        <v>21</v>
      </c>
      <c r="F14" s="8">
        <f>(INT(Table_Kazakhstan[[#This Row],[Date]]) - DATE(1970, 1, 1)) * 86400000</f>
        <v>1726531200000</v>
      </c>
      <c r="G14">
        <f>'GMT Glossary'!$B$3</f>
        <v>6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03:00</v>
      </c>
    </row>
    <row r="15" spans="1:9" x14ac:dyDescent="0.25">
      <c r="A15" s="46">
        <v>45552</v>
      </c>
      <c r="B15" s="38">
        <v>0.875</v>
      </c>
      <c r="C15" s="49" t="s">
        <v>8</v>
      </c>
      <c r="D15" s="35" t="s">
        <v>89</v>
      </c>
      <c r="E15" s="9" t="s">
        <v>72</v>
      </c>
      <c r="F15" s="8">
        <f>(INT(Table_Kazakhstan[[#This Row],[Date]]) - DATE(1970, 1, 1)) * 86400000</f>
        <v>1726531200000</v>
      </c>
      <c r="G15" s="10">
        <f>'GMT Glossary'!$B$3</f>
        <v>6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03:00</v>
      </c>
    </row>
    <row r="16" spans="1:9" x14ac:dyDescent="0.25">
      <c r="A16" s="50">
        <v>45552</v>
      </c>
      <c r="B16" s="47">
        <v>0.95833333333333337</v>
      </c>
      <c r="C16" s="59" t="s">
        <v>8</v>
      </c>
      <c r="D16" s="35" t="s">
        <v>198</v>
      </c>
      <c r="E16" s="9" t="s">
        <v>21</v>
      </c>
      <c r="F16" s="8">
        <f>(INT(Table_Kazakhstan[[#This Row],[Date]]) - DATE(1970, 1, 1)) * 86400000</f>
        <v>1726531200000</v>
      </c>
      <c r="G16" s="10">
        <f>'GMT Glossary'!$B$3</f>
        <v>6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05:00</v>
      </c>
    </row>
    <row r="17" spans="1:9" x14ac:dyDescent="0.25">
      <c r="A17" s="46">
        <v>45552</v>
      </c>
      <c r="B17" s="38">
        <v>0.95833333333333337</v>
      </c>
      <c r="C17" s="49" t="s">
        <v>8</v>
      </c>
      <c r="D17" s="55" t="s">
        <v>232</v>
      </c>
      <c r="E17" s="9" t="s">
        <v>72</v>
      </c>
      <c r="F17" s="8">
        <f>(INT(Table_Kazakhstan[[#This Row],[Date]]) - DATE(1970, 1, 1)) * 86400000</f>
        <v>1726531200000</v>
      </c>
      <c r="G17">
        <f>'GMT Glossary'!$B$3</f>
        <v>6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05:00</v>
      </c>
    </row>
    <row r="18" spans="1:9" x14ac:dyDescent="0.25">
      <c r="A18" s="50">
        <v>45553</v>
      </c>
      <c r="B18" s="47">
        <v>4.1666666666666664E-2</v>
      </c>
      <c r="C18" s="59" t="s">
        <v>8</v>
      </c>
      <c r="D18" s="35" t="s">
        <v>74</v>
      </c>
      <c r="E18" s="9" t="s">
        <v>21</v>
      </c>
      <c r="F18" s="8">
        <f>(INT(Table_Kazakhstan[[#This Row],[Date]]) - DATE(1970, 1, 1)) * 86400000</f>
        <v>1726617600000</v>
      </c>
      <c r="G18">
        <f>'GMT Glossary'!$B$3</f>
        <v>6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07:00</v>
      </c>
    </row>
    <row r="19" spans="1:9" x14ac:dyDescent="0.25">
      <c r="A19" s="50">
        <v>45553</v>
      </c>
      <c r="B19" s="47">
        <v>4.1666666666666664E-2</v>
      </c>
      <c r="C19" s="59" t="s">
        <v>8</v>
      </c>
      <c r="D19" s="35" t="s">
        <v>75</v>
      </c>
      <c r="E19" s="9" t="s">
        <v>21</v>
      </c>
      <c r="F19" s="8">
        <f>(INT(Table_Kazakhstan[[#This Row],[Date]]) - DATE(1970, 1, 1)) * 86400000</f>
        <v>1726617600000</v>
      </c>
      <c r="G19" s="10">
        <f>'GMT Glossary'!$B$3</f>
        <v>6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07:00</v>
      </c>
    </row>
    <row r="20" spans="1:9" x14ac:dyDescent="0.25">
      <c r="A20" s="46">
        <v>45553</v>
      </c>
      <c r="B20" s="38">
        <v>4.1666666666666664E-2</v>
      </c>
      <c r="C20" s="49" t="s">
        <v>8</v>
      </c>
      <c r="D20" s="35" t="s">
        <v>102</v>
      </c>
      <c r="E20" s="9" t="s">
        <v>72</v>
      </c>
      <c r="F20" s="8">
        <f>(INT(Table_Kazakhstan[[#This Row],[Date]]) - DATE(1970, 1, 1)) * 86400000</f>
        <v>1726617600000</v>
      </c>
      <c r="G20" s="10">
        <f>'GMT Glossary'!$B$3</f>
        <v>6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07:00</v>
      </c>
    </row>
    <row r="21" spans="1:9" x14ac:dyDescent="0.25">
      <c r="A21" s="50">
        <v>45553</v>
      </c>
      <c r="B21" s="47">
        <v>0.125</v>
      </c>
      <c r="C21" s="59" t="s">
        <v>8</v>
      </c>
      <c r="D21" s="58" t="s">
        <v>77</v>
      </c>
      <c r="E21" s="9" t="s">
        <v>21</v>
      </c>
      <c r="F21" s="8">
        <f>(INT(Table_Kazakhstan[[#This Row],[Date]]) - DATE(1970, 1, 1)) * 86400000</f>
        <v>1726617600000</v>
      </c>
      <c r="G21" s="10">
        <f>'GMT Glossary'!$B$3</f>
        <v>6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09:00</v>
      </c>
    </row>
    <row r="22" spans="1:9" x14ac:dyDescent="0.25">
      <c r="A22" s="46">
        <v>45553</v>
      </c>
      <c r="B22" s="38">
        <v>0.125</v>
      </c>
      <c r="C22" s="49" t="s">
        <v>401</v>
      </c>
      <c r="D22" s="35" t="s">
        <v>81</v>
      </c>
      <c r="E22" s="9" t="s">
        <v>72</v>
      </c>
      <c r="F22" s="8">
        <f>(INT(Table_Kazakhstan[[#This Row],[Date]]) - DATE(1970, 1, 1)) * 86400000</f>
        <v>1726617600000</v>
      </c>
      <c r="G22">
        <f>'GMT Glossary'!$B$3</f>
        <v>6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09:00</v>
      </c>
    </row>
    <row r="23" spans="1:9" x14ac:dyDescent="0.25">
      <c r="A23" s="50">
        <v>45553</v>
      </c>
      <c r="B23" s="47">
        <v>0.20833333333333334</v>
      </c>
      <c r="C23" s="59" t="s">
        <v>8</v>
      </c>
      <c r="D23" s="35" t="s">
        <v>80</v>
      </c>
      <c r="E23" s="9" t="s">
        <v>21</v>
      </c>
      <c r="F23" s="8">
        <f>(INT(Table_Kazakhstan[[#This Row],[Date]]) - DATE(1970, 1, 1)) * 86400000</f>
        <v>1726617600000</v>
      </c>
      <c r="G23" s="10">
        <f>'GMT Glossary'!$B$3</f>
        <v>6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11:00</v>
      </c>
    </row>
    <row r="24" spans="1:9" x14ac:dyDescent="0.25">
      <c r="A24" s="46">
        <v>45553</v>
      </c>
      <c r="B24" s="38">
        <v>0.25</v>
      </c>
      <c r="C24" s="49" t="s">
        <v>402</v>
      </c>
      <c r="D24" s="55" t="s">
        <v>82</v>
      </c>
      <c r="E24" s="9" t="s">
        <v>72</v>
      </c>
      <c r="F24" s="8">
        <f>(INT(Table_Kazakhstan[[#This Row],[Date]]) - DATE(1970, 1, 1)) * 86400000</f>
        <v>1726617600000</v>
      </c>
      <c r="G24" s="10">
        <f>'GMT Glossary'!$B$3</f>
        <v>6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12:00</v>
      </c>
    </row>
    <row r="25" spans="1:9" x14ac:dyDescent="0.25">
      <c r="A25" s="50">
        <v>45553</v>
      </c>
      <c r="B25" s="47">
        <v>0.29166666666666669</v>
      </c>
      <c r="C25" s="59" t="s">
        <v>8</v>
      </c>
      <c r="D25" s="35" t="s">
        <v>199</v>
      </c>
      <c r="E25" s="9" t="s">
        <v>21</v>
      </c>
      <c r="F25" s="8">
        <f>(INT(Table_Kazakhstan[[#This Row],[Date]]) - DATE(1970, 1, 1)) * 86400000</f>
        <v>1726617600000</v>
      </c>
      <c r="G25">
        <f>'GMT Glossary'!$B$3</f>
        <v>6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13:00</v>
      </c>
    </row>
    <row r="26" spans="1:9" x14ac:dyDescent="0.25">
      <c r="A26" s="50">
        <v>45553</v>
      </c>
      <c r="B26" s="47">
        <v>0.375</v>
      </c>
      <c r="C26" s="59" t="s">
        <v>8</v>
      </c>
      <c r="D26" s="35" t="s">
        <v>200</v>
      </c>
      <c r="E26" s="9" t="s">
        <v>21</v>
      </c>
      <c r="F26" s="8">
        <f>(INT(Table_Kazakhstan[[#This Row],[Date]]) - DATE(1970, 1, 1)) * 86400000</f>
        <v>1726617600000</v>
      </c>
      <c r="G26">
        <f>'GMT Glossary'!$B$3</f>
        <v>6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15:00</v>
      </c>
    </row>
    <row r="27" spans="1:9" x14ac:dyDescent="0.25">
      <c r="A27" s="46">
        <v>45553</v>
      </c>
      <c r="B27" s="38">
        <v>0.375</v>
      </c>
      <c r="C27" s="49" t="s">
        <v>8</v>
      </c>
      <c r="D27" s="55" t="s">
        <v>90</v>
      </c>
      <c r="E27" s="9" t="s">
        <v>72</v>
      </c>
      <c r="F27" s="8">
        <f>(INT(Table_Kazakhstan[[#This Row],[Date]]) - DATE(1970, 1, 1)) * 86400000</f>
        <v>1726617600000</v>
      </c>
      <c r="G27" s="10">
        <f>'GMT Glossary'!$B$3</f>
        <v>6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15:00</v>
      </c>
    </row>
    <row r="28" spans="1:9" x14ac:dyDescent="0.25">
      <c r="A28" s="50">
        <v>45553</v>
      </c>
      <c r="B28" s="47">
        <v>0.41666666666666669</v>
      </c>
      <c r="C28" s="59" t="s">
        <v>8</v>
      </c>
      <c r="D28" s="35" t="s">
        <v>99</v>
      </c>
      <c r="E28" s="9" t="s">
        <v>21</v>
      </c>
      <c r="F28" s="8">
        <f>(INT(Table_Kazakhstan[[#This Row],[Date]]) - DATE(1970, 1, 1)) * 86400000</f>
        <v>1726617600000</v>
      </c>
      <c r="G28" s="10">
        <f>'GMT Glossary'!$B$3</f>
        <v>6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16:00</v>
      </c>
    </row>
    <row r="29" spans="1:9" x14ac:dyDescent="0.25">
      <c r="A29" s="50">
        <v>45553</v>
      </c>
      <c r="B29" s="47">
        <v>0.45833333333333331</v>
      </c>
      <c r="C29" s="59" t="s">
        <v>8</v>
      </c>
      <c r="D29" s="35" t="s">
        <v>201</v>
      </c>
      <c r="E29" s="9" t="s">
        <v>21</v>
      </c>
      <c r="F29" s="8">
        <f>(INT(Table_Kazakhstan[[#This Row],[Date]]) - DATE(1970, 1, 1)) * 86400000</f>
        <v>1726617600000</v>
      </c>
      <c r="G29">
        <f>'GMT Glossary'!$B$3</f>
        <v>6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17:00</v>
      </c>
    </row>
    <row r="30" spans="1:9" x14ac:dyDescent="0.25">
      <c r="A30" s="46">
        <v>45553</v>
      </c>
      <c r="B30" s="38">
        <v>0.45833333333333331</v>
      </c>
      <c r="C30" s="49" t="s">
        <v>8</v>
      </c>
      <c r="D30" s="35" t="s">
        <v>108</v>
      </c>
      <c r="E30" s="9" t="s">
        <v>72</v>
      </c>
      <c r="F30" s="8">
        <f>(INT(Table_Kazakhstan[[#This Row],[Date]]) - DATE(1970, 1, 1)) * 86400000</f>
        <v>1726617600000</v>
      </c>
      <c r="G30">
        <f>'GMT Glossary'!$B$3</f>
        <v>6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17:00</v>
      </c>
    </row>
    <row r="31" spans="1:9" x14ac:dyDescent="0.25">
      <c r="A31" s="50">
        <v>45553</v>
      </c>
      <c r="B31" s="47">
        <v>0.5</v>
      </c>
      <c r="C31" s="59" t="s">
        <v>8</v>
      </c>
      <c r="D31" s="35" t="s">
        <v>202</v>
      </c>
      <c r="E31" s="9" t="s">
        <v>21</v>
      </c>
      <c r="F31" s="8">
        <f>(INT(Table_Kazakhstan[[#This Row],[Date]]) - DATE(1970, 1, 1)) * 86400000</f>
        <v>1726617600000</v>
      </c>
      <c r="G31" s="10">
        <f>'GMT Glossary'!$B$3</f>
        <v>6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18:00</v>
      </c>
    </row>
    <row r="32" spans="1:9" x14ac:dyDescent="0.25">
      <c r="A32" s="50">
        <v>45553</v>
      </c>
      <c r="B32" s="47">
        <v>0.54166666666666663</v>
      </c>
      <c r="C32" s="59" t="s">
        <v>8</v>
      </c>
      <c r="D32" s="35" t="s">
        <v>203</v>
      </c>
      <c r="E32" s="9" t="s">
        <v>21</v>
      </c>
      <c r="F32" s="8">
        <f>(INT(Table_Kazakhstan[[#This Row],[Date]]) - DATE(1970, 1, 1)) * 86400000</f>
        <v>1726617600000</v>
      </c>
      <c r="G32">
        <f>'GMT Glossary'!$B$3</f>
        <v>6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19:00</v>
      </c>
    </row>
    <row r="33" spans="1:9" x14ac:dyDescent="0.25">
      <c r="A33" s="46">
        <v>45553</v>
      </c>
      <c r="B33" s="38">
        <v>0.54166666666666663</v>
      </c>
      <c r="C33" s="49" t="s">
        <v>8</v>
      </c>
      <c r="D33" s="35" t="s">
        <v>35</v>
      </c>
      <c r="E33" s="9" t="s">
        <v>72</v>
      </c>
      <c r="F33" s="8">
        <f>(INT(Table_Kazakhstan[[#This Row],[Date]]) - DATE(1970, 1, 1)) * 86400000</f>
        <v>1726617600000</v>
      </c>
      <c r="G33" s="10">
        <f>'GMT Glossary'!$B$3</f>
        <v>6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19:00</v>
      </c>
    </row>
    <row r="34" spans="1:9" x14ac:dyDescent="0.25">
      <c r="A34" s="50">
        <v>45553</v>
      </c>
      <c r="B34" s="47">
        <v>0.625</v>
      </c>
      <c r="C34" s="59" t="s">
        <v>8</v>
      </c>
      <c r="D34" s="58" t="s">
        <v>74</v>
      </c>
      <c r="E34" s="9" t="s">
        <v>21</v>
      </c>
      <c r="F34" s="8">
        <f>(INT(Table_Kazakhstan[[#This Row],[Date]]) - DATE(1970, 1, 1)) * 86400000</f>
        <v>1726617600000</v>
      </c>
      <c r="G34">
        <f>'GMT Glossary'!$B$3</f>
        <v>6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21:00</v>
      </c>
    </row>
    <row r="35" spans="1:9" x14ac:dyDescent="0.25">
      <c r="A35" s="46">
        <v>45553</v>
      </c>
      <c r="B35" s="38">
        <v>0.625</v>
      </c>
      <c r="C35" s="49" t="s">
        <v>8</v>
      </c>
      <c r="D35" s="55" t="s">
        <v>86</v>
      </c>
      <c r="E35" s="9" t="s">
        <v>72</v>
      </c>
      <c r="F35" s="8">
        <f>(INT(Table_Kazakhstan[[#This Row],[Date]]) - DATE(1970, 1, 1)) * 86400000</f>
        <v>1726617600000</v>
      </c>
      <c r="G35">
        <f>'GMT Glossary'!$B$3</f>
        <v>6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21:00</v>
      </c>
    </row>
    <row r="36" spans="1:9" x14ac:dyDescent="0.25">
      <c r="A36" s="50">
        <v>45553</v>
      </c>
      <c r="B36" s="47">
        <v>0.70833333333333337</v>
      </c>
      <c r="C36" s="59" t="s">
        <v>8</v>
      </c>
      <c r="D36" s="35" t="s">
        <v>115</v>
      </c>
      <c r="E36" s="9" t="s">
        <v>21</v>
      </c>
      <c r="F36" s="8">
        <f>(INT(Table_Kazakhstan[[#This Row],[Date]]) - DATE(1970, 1, 1)) * 86400000</f>
        <v>1726617600000</v>
      </c>
      <c r="G36" s="10">
        <f>'GMT Glossary'!$B$3</f>
        <v>6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23:00</v>
      </c>
    </row>
    <row r="37" spans="1:9" x14ac:dyDescent="0.25">
      <c r="A37" s="46">
        <v>45553</v>
      </c>
      <c r="B37" s="38">
        <v>0.70833333333333337</v>
      </c>
      <c r="C37" s="49" t="s">
        <v>8</v>
      </c>
      <c r="D37" s="61" t="s">
        <v>126</v>
      </c>
      <c r="E37" s="9" t="s">
        <v>72</v>
      </c>
      <c r="F37" s="8">
        <f>(INT(Table_Kazakhstan[[#This Row],[Date]]) - DATE(1970, 1, 1)) * 86400000</f>
        <v>1726617600000</v>
      </c>
      <c r="G37" s="10">
        <f>'GMT Glossary'!$B$3</f>
        <v>6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23:00</v>
      </c>
    </row>
    <row r="38" spans="1:9" x14ac:dyDescent="0.25">
      <c r="A38" s="50">
        <v>45553</v>
      </c>
      <c r="B38" s="47">
        <v>0.79166666666666663</v>
      </c>
      <c r="C38" s="59" t="s">
        <v>8</v>
      </c>
      <c r="D38" s="56" t="s">
        <v>204</v>
      </c>
      <c r="E38" s="9" t="s">
        <v>21</v>
      </c>
      <c r="F38" s="8">
        <f>(INT(Table_Kazakhstan[[#This Row],[Date]]) - DATE(1970, 1, 1)) * 86400000</f>
        <v>1726617600000</v>
      </c>
      <c r="G38">
        <f>'GMT Glossary'!$B$3</f>
        <v>6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01:00</v>
      </c>
    </row>
    <row r="39" spans="1:9" x14ac:dyDescent="0.25">
      <c r="A39" s="46">
        <v>45553</v>
      </c>
      <c r="B39" s="38">
        <v>0.79166666666666663</v>
      </c>
      <c r="C39" s="49" t="s">
        <v>8</v>
      </c>
      <c r="D39" s="55" t="s">
        <v>64</v>
      </c>
      <c r="E39" s="9" t="s">
        <v>72</v>
      </c>
      <c r="F39" s="8">
        <f>(INT(Table_Kazakhstan[[#This Row],[Date]]) - DATE(1970, 1, 1)) * 86400000</f>
        <v>1726617600000</v>
      </c>
      <c r="G39">
        <f>'GMT Glossary'!$B$3</f>
        <v>6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01:00</v>
      </c>
    </row>
    <row r="40" spans="1:9" x14ac:dyDescent="0.25">
      <c r="A40" s="50">
        <v>45553</v>
      </c>
      <c r="B40" s="47">
        <v>0.875</v>
      </c>
      <c r="C40" s="59" t="s">
        <v>8</v>
      </c>
      <c r="D40" s="35" t="s">
        <v>205</v>
      </c>
      <c r="E40" s="9" t="s">
        <v>21</v>
      </c>
      <c r="F40" s="8">
        <f>(INT(Table_Kazakhstan[[#This Row],[Date]]) - DATE(1970, 1, 1)) * 86400000</f>
        <v>1726617600000</v>
      </c>
      <c r="G40" s="10">
        <f>'GMT Glossary'!$B$3</f>
        <v>6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03:00</v>
      </c>
    </row>
    <row r="41" spans="1:9" x14ac:dyDescent="0.25">
      <c r="A41" s="46">
        <v>45553</v>
      </c>
      <c r="B41" s="38">
        <v>0.875</v>
      </c>
      <c r="C41" s="49" t="s">
        <v>8</v>
      </c>
      <c r="D41" s="35" t="s">
        <v>88</v>
      </c>
      <c r="E41" s="9" t="s">
        <v>72</v>
      </c>
      <c r="F41" s="8">
        <f>(INT(Table_Kazakhstan[[#This Row],[Date]]) - DATE(1970, 1, 1)) * 86400000</f>
        <v>1726617600000</v>
      </c>
      <c r="G41" s="10">
        <f>'GMT Glossary'!$B$3</f>
        <v>6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03:00</v>
      </c>
    </row>
    <row r="42" spans="1:9" x14ac:dyDescent="0.25">
      <c r="A42" s="50">
        <v>45553</v>
      </c>
      <c r="B42" s="47">
        <v>0.95833333333333337</v>
      </c>
      <c r="C42" s="59" t="s">
        <v>8</v>
      </c>
      <c r="D42" s="35" t="s">
        <v>73</v>
      </c>
      <c r="E42" s="9" t="s">
        <v>21</v>
      </c>
      <c r="F42" s="8">
        <f>(INT(Table_Kazakhstan[[#This Row],[Date]]) - DATE(1970, 1, 1)) * 86400000</f>
        <v>1726617600000</v>
      </c>
      <c r="G42">
        <f>'GMT Glossary'!$B$3</f>
        <v>6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05:00</v>
      </c>
    </row>
    <row r="43" spans="1:9" x14ac:dyDescent="0.25">
      <c r="A43" s="46">
        <v>45553</v>
      </c>
      <c r="B43" s="38">
        <v>0.95833333333333337</v>
      </c>
      <c r="C43" s="49" t="s">
        <v>8</v>
      </c>
      <c r="D43" s="55" t="s">
        <v>40</v>
      </c>
      <c r="E43" s="9" t="s">
        <v>72</v>
      </c>
      <c r="F43" s="8">
        <f>(INT(Table_Kazakhstan[[#This Row],[Date]]) - DATE(1970, 1, 1)) * 86400000</f>
        <v>1726617600000</v>
      </c>
      <c r="G43" s="10">
        <f>'GMT Glossary'!$B$3</f>
        <v>6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05:00</v>
      </c>
    </row>
    <row r="44" spans="1:9" x14ac:dyDescent="0.25">
      <c r="A44" s="46">
        <v>45554</v>
      </c>
      <c r="B44" s="38">
        <v>4.1666666666666664E-2</v>
      </c>
      <c r="C44" s="49" t="s">
        <v>402</v>
      </c>
      <c r="D44" s="55" t="s">
        <v>91</v>
      </c>
      <c r="E44" s="9" t="s">
        <v>72</v>
      </c>
      <c r="F44" s="8">
        <f>(INT(Table_Kazakhstan[[#This Row],[Date]]) - DATE(1970, 1, 1)) * 86400000</f>
        <v>1726704000000</v>
      </c>
      <c r="G44">
        <f>'GMT Glossary'!$B$3</f>
        <v>6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07:00</v>
      </c>
    </row>
    <row r="45" spans="1:9" x14ac:dyDescent="0.25">
      <c r="A45" s="50">
        <v>45554</v>
      </c>
      <c r="B45" s="47">
        <v>0.125</v>
      </c>
      <c r="C45" s="59" t="s">
        <v>8</v>
      </c>
      <c r="D45" s="35" t="s">
        <v>78</v>
      </c>
      <c r="E45" s="9" t="s">
        <v>21</v>
      </c>
      <c r="F45" s="8">
        <f>(INT(Table_Kazakhstan[[#This Row],[Date]]) - DATE(1970, 1, 1)) * 86400000</f>
        <v>1726704000000</v>
      </c>
      <c r="G45">
        <f>'GMT Glossary'!$B$3</f>
        <v>6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09:00</v>
      </c>
    </row>
    <row r="46" spans="1:9" x14ac:dyDescent="0.25">
      <c r="A46" s="46">
        <v>45554</v>
      </c>
      <c r="B46" s="38">
        <v>0.16666666666666666</v>
      </c>
      <c r="C46" s="49" t="s">
        <v>401</v>
      </c>
      <c r="D46" s="58" t="s">
        <v>81</v>
      </c>
      <c r="E46" s="9" t="s">
        <v>72</v>
      </c>
      <c r="F46" s="8">
        <f>(INT(Table_Kazakhstan[[#This Row],[Date]]) - DATE(1970, 1, 1)) * 86400000</f>
        <v>1726704000000</v>
      </c>
      <c r="G46">
        <f>'GMT Glossary'!$B$3</f>
        <v>6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10:00</v>
      </c>
    </row>
    <row r="47" spans="1:9" x14ac:dyDescent="0.25">
      <c r="A47" s="50">
        <v>45554</v>
      </c>
      <c r="B47" s="47">
        <v>0.20833333333333334</v>
      </c>
      <c r="C47" s="59" t="s">
        <v>8</v>
      </c>
      <c r="D47" s="58" t="s">
        <v>195</v>
      </c>
      <c r="E47" s="9" t="s">
        <v>21</v>
      </c>
      <c r="F47" s="8">
        <f>(INT(Table_Kazakhstan[[#This Row],[Date]]) - DATE(1970, 1, 1)) * 86400000</f>
        <v>1726704000000</v>
      </c>
      <c r="G47">
        <f>'GMT Glossary'!$B$3</f>
        <v>6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11:00</v>
      </c>
    </row>
    <row r="48" spans="1:9" x14ac:dyDescent="0.25">
      <c r="A48" s="50">
        <v>45554</v>
      </c>
      <c r="B48" s="47">
        <v>0.29166666666666669</v>
      </c>
      <c r="C48" s="59" t="s">
        <v>8</v>
      </c>
      <c r="D48" s="35" t="s">
        <v>79</v>
      </c>
      <c r="E48" s="9" t="s">
        <v>21</v>
      </c>
      <c r="F48" s="8">
        <f>(INT(Table_Kazakhstan[[#This Row],[Date]]) - DATE(1970, 1, 1)) * 86400000</f>
        <v>1726704000000</v>
      </c>
      <c r="G48" s="10">
        <f>'GMT Glossary'!$B$3</f>
        <v>6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13:00</v>
      </c>
    </row>
    <row r="49" spans="1:9" x14ac:dyDescent="0.25">
      <c r="A49" s="46">
        <v>45554</v>
      </c>
      <c r="B49" s="38">
        <v>0.29166666666666669</v>
      </c>
      <c r="C49" s="49" t="s">
        <v>8</v>
      </c>
      <c r="D49" s="55" t="s">
        <v>233</v>
      </c>
      <c r="E49" s="9" t="s">
        <v>72</v>
      </c>
      <c r="F49" s="8">
        <f>(INT(Table_Kazakhstan[[#This Row],[Date]]) - DATE(1970, 1, 1)) * 86400000</f>
        <v>1726704000000</v>
      </c>
      <c r="G49" s="10">
        <f>'GMT Glossary'!$B$3</f>
        <v>6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13:00</v>
      </c>
    </row>
    <row r="50" spans="1:9" x14ac:dyDescent="0.25">
      <c r="A50" s="50">
        <v>45554</v>
      </c>
      <c r="B50" s="47">
        <v>0.375</v>
      </c>
      <c r="C50" s="59" t="s">
        <v>8</v>
      </c>
      <c r="D50" s="35" t="s">
        <v>200</v>
      </c>
      <c r="E50" s="9" t="s">
        <v>21</v>
      </c>
      <c r="F50" s="8">
        <f>(INT(Table_Kazakhstan[[#This Row],[Date]]) - DATE(1970, 1, 1)) * 86400000</f>
        <v>1726704000000</v>
      </c>
      <c r="G50">
        <f>'GMT Glossary'!$B$3</f>
        <v>6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15:00</v>
      </c>
    </row>
    <row r="51" spans="1:9" x14ac:dyDescent="0.25">
      <c r="A51" s="46">
        <v>45554</v>
      </c>
      <c r="B51" s="38">
        <v>0.375</v>
      </c>
      <c r="C51" s="49" t="s">
        <v>8</v>
      </c>
      <c r="D51" s="35" t="s">
        <v>102</v>
      </c>
      <c r="E51" s="9" t="s">
        <v>72</v>
      </c>
      <c r="F51" s="8">
        <f>(INT(Table_Kazakhstan[[#This Row],[Date]]) - DATE(1970, 1, 1)) * 86400000</f>
        <v>1726704000000</v>
      </c>
      <c r="G51">
        <f>'GMT Glossary'!$B$3</f>
        <v>6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15:00</v>
      </c>
    </row>
    <row r="52" spans="1:9" x14ac:dyDescent="0.25">
      <c r="A52" s="50">
        <v>45554</v>
      </c>
      <c r="B52" s="47">
        <v>0.41666666666666669</v>
      </c>
      <c r="C52" s="59" t="s">
        <v>8</v>
      </c>
      <c r="D52" s="35" t="s">
        <v>99</v>
      </c>
      <c r="E52" s="9" t="s">
        <v>21</v>
      </c>
      <c r="F52" s="8">
        <f>(INT(Table_Kazakhstan[[#This Row],[Date]]) - DATE(1970, 1, 1)) * 86400000</f>
        <v>1726704000000</v>
      </c>
      <c r="G52">
        <f>'GMT Glossary'!$B$3</f>
        <v>6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16:00</v>
      </c>
    </row>
    <row r="53" spans="1:9" x14ac:dyDescent="0.25">
      <c r="A53" s="50">
        <v>45554</v>
      </c>
      <c r="B53" s="47">
        <v>0.45833333333333331</v>
      </c>
      <c r="C53" s="59" t="s">
        <v>8</v>
      </c>
      <c r="D53" s="35" t="s">
        <v>201</v>
      </c>
      <c r="E53" s="9" t="s">
        <v>21</v>
      </c>
      <c r="F53" s="8">
        <f>(INT(Table_Kazakhstan[[#This Row],[Date]]) - DATE(1970, 1, 1)) * 86400000</f>
        <v>1726704000000</v>
      </c>
      <c r="G53" s="10">
        <f>'GMT Glossary'!$B$3</f>
        <v>6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17:00</v>
      </c>
    </row>
    <row r="54" spans="1:9" x14ac:dyDescent="0.25">
      <c r="A54" s="46">
        <v>45554</v>
      </c>
      <c r="B54" s="38">
        <v>0.45833333333333331</v>
      </c>
      <c r="C54" s="49" t="s">
        <v>8</v>
      </c>
      <c r="D54" s="55" t="s">
        <v>84</v>
      </c>
      <c r="E54" s="9" t="s">
        <v>72</v>
      </c>
      <c r="F54" s="8">
        <f>(INT(Table_Kazakhstan[[#This Row],[Date]]) - DATE(1970, 1, 1)) * 86400000</f>
        <v>1726704000000</v>
      </c>
      <c r="G54" s="10">
        <f>'GMT Glossary'!$B$3</f>
        <v>6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17:00</v>
      </c>
    </row>
    <row r="55" spans="1:9" x14ac:dyDescent="0.25">
      <c r="A55" s="50">
        <v>45554</v>
      </c>
      <c r="B55" s="47">
        <v>0.5</v>
      </c>
      <c r="C55" s="59" t="s">
        <v>8</v>
      </c>
      <c r="D55" s="58" t="s">
        <v>202</v>
      </c>
      <c r="E55" s="9" t="s">
        <v>21</v>
      </c>
      <c r="F55" s="8">
        <f>(INT(Table_Kazakhstan[[#This Row],[Date]]) - DATE(1970, 1, 1)) * 86400000</f>
        <v>1726704000000</v>
      </c>
      <c r="G55">
        <f>'GMT Glossary'!$B$3</f>
        <v>6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18:00</v>
      </c>
    </row>
    <row r="56" spans="1:9" x14ac:dyDescent="0.25">
      <c r="A56" s="50">
        <v>45554</v>
      </c>
      <c r="B56" s="47">
        <v>0.54166666666666663</v>
      </c>
      <c r="C56" s="59" t="s">
        <v>8</v>
      </c>
      <c r="D56" s="58" t="s">
        <v>206</v>
      </c>
      <c r="E56" s="9" t="s">
        <v>21</v>
      </c>
      <c r="F56" s="8">
        <f>(INT(Table_Kazakhstan[[#This Row],[Date]]) - DATE(1970, 1, 1)) * 86400000</f>
        <v>1726704000000</v>
      </c>
      <c r="G56">
        <f>'GMT Glossary'!$B$3</f>
        <v>6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19:00</v>
      </c>
    </row>
    <row r="57" spans="1:9" x14ac:dyDescent="0.25">
      <c r="A57" s="46">
        <v>45554</v>
      </c>
      <c r="B57" s="38">
        <v>0.54166666666666663</v>
      </c>
      <c r="C57" s="49" t="s">
        <v>8</v>
      </c>
      <c r="D57" s="58" t="s">
        <v>35</v>
      </c>
      <c r="E57" s="9" t="s">
        <v>72</v>
      </c>
      <c r="F57" s="8">
        <f>(INT(Table_Kazakhstan[[#This Row],[Date]]) - DATE(1970, 1, 1)) * 86400000</f>
        <v>1726704000000</v>
      </c>
      <c r="G57">
        <f>'GMT Glossary'!$B$3</f>
        <v>6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19:00</v>
      </c>
    </row>
    <row r="58" spans="1:9" x14ac:dyDescent="0.25">
      <c r="A58" s="50">
        <v>45554</v>
      </c>
      <c r="B58" s="47">
        <v>0.625</v>
      </c>
      <c r="C58" s="59" t="s">
        <v>8</v>
      </c>
      <c r="D58" s="58" t="s">
        <v>43</v>
      </c>
      <c r="E58" s="9" t="s">
        <v>21</v>
      </c>
      <c r="F58" s="8">
        <f>(INT(Table_Kazakhstan[[#This Row],[Date]]) - DATE(1970, 1, 1)) * 86400000</f>
        <v>1726704000000</v>
      </c>
      <c r="G58" s="10">
        <f>'GMT Glossary'!$B$3</f>
        <v>6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21:00</v>
      </c>
    </row>
    <row r="59" spans="1:9" x14ac:dyDescent="0.25">
      <c r="A59" s="46">
        <v>45554</v>
      </c>
      <c r="B59" s="38">
        <v>0.625</v>
      </c>
      <c r="C59" s="49" t="s">
        <v>8</v>
      </c>
      <c r="D59" s="55" t="s">
        <v>234</v>
      </c>
      <c r="E59" s="9" t="s">
        <v>72</v>
      </c>
      <c r="F59" s="8">
        <f>(INT(Table_Kazakhstan[[#This Row],[Date]]) - DATE(1970, 1, 1)) * 86400000</f>
        <v>1726704000000</v>
      </c>
      <c r="G59" s="10">
        <f>'GMT Glossary'!$B$3</f>
        <v>6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21:00</v>
      </c>
    </row>
    <row r="60" spans="1:9" x14ac:dyDescent="0.25">
      <c r="A60" s="50">
        <v>45554</v>
      </c>
      <c r="B60" s="47">
        <v>0.70833333333333337</v>
      </c>
      <c r="C60" s="59" t="s">
        <v>8</v>
      </c>
      <c r="D60" s="56" t="s">
        <v>207</v>
      </c>
      <c r="E60" s="9" t="s">
        <v>21</v>
      </c>
      <c r="F60" s="8">
        <f>(INT(Table_Kazakhstan[[#This Row],[Date]]) - DATE(1970, 1, 1)) * 86400000</f>
        <v>1726704000000</v>
      </c>
      <c r="G60">
        <f>'GMT Glossary'!$B$3</f>
        <v>6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23:00</v>
      </c>
    </row>
    <row r="61" spans="1:9" x14ac:dyDescent="0.25">
      <c r="A61" s="46">
        <v>45554</v>
      </c>
      <c r="B61" s="38">
        <v>0.70833333333333337</v>
      </c>
      <c r="C61" s="49" t="s">
        <v>8</v>
      </c>
      <c r="D61" s="35" t="s">
        <v>89</v>
      </c>
      <c r="E61" s="9" t="s">
        <v>72</v>
      </c>
      <c r="F61" s="8">
        <f>(INT(Table_Kazakhstan[[#This Row],[Date]]) - DATE(1970, 1, 1)) * 86400000</f>
        <v>1726704000000</v>
      </c>
      <c r="G61">
        <f>'GMT Glossary'!$B$3</f>
        <v>6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23:00</v>
      </c>
    </row>
    <row r="62" spans="1:9" x14ac:dyDescent="0.25">
      <c r="A62" s="50">
        <v>45554</v>
      </c>
      <c r="B62" s="47">
        <v>0.79166666666666663</v>
      </c>
      <c r="C62" s="59" t="s">
        <v>8</v>
      </c>
      <c r="D62" s="35" t="s">
        <v>197</v>
      </c>
      <c r="E62" s="9" t="s">
        <v>21</v>
      </c>
      <c r="F62" s="8">
        <f>(INT(Table_Kazakhstan[[#This Row],[Date]]) - DATE(1970, 1, 1)) * 86400000</f>
        <v>1726704000000</v>
      </c>
      <c r="G62" s="10">
        <f>'GMT Glossary'!$B$3</f>
        <v>6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01:00</v>
      </c>
    </row>
    <row r="63" spans="1:9" x14ac:dyDescent="0.25">
      <c r="A63" s="46">
        <v>45554</v>
      </c>
      <c r="B63" s="38">
        <v>0.79166666666666663</v>
      </c>
      <c r="C63" s="49" t="s">
        <v>8</v>
      </c>
      <c r="D63" s="55" t="s">
        <v>42</v>
      </c>
      <c r="E63" s="9" t="s">
        <v>72</v>
      </c>
      <c r="F63" s="8">
        <f>(INT(Table_Kazakhstan[[#This Row],[Date]]) - DATE(1970, 1, 1)) * 86400000</f>
        <v>1726704000000</v>
      </c>
      <c r="G63" s="10">
        <f>'GMT Glossary'!$B$3</f>
        <v>6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01:00</v>
      </c>
    </row>
    <row r="64" spans="1:9" x14ac:dyDescent="0.25">
      <c r="A64" s="50">
        <v>45554</v>
      </c>
      <c r="B64" s="47">
        <v>0.875</v>
      </c>
      <c r="C64" s="59" t="s">
        <v>8</v>
      </c>
      <c r="D64" s="35" t="s">
        <v>77</v>
      </c>
      <c r="E64" s="9" t="s">
        <v>21</v>
      </c>
      <c r="F64" s="8">
        <f>(INT(Table_Kazakhstan[[#This Row],[Date]]) - DATE(1970, 1, 1)) * 86400000</f>
        <v>1726704000000</v>
      </c>
      <c r="G64">
        <f>'GMT Glossary'!$B$3</f>
        <v>6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03:00</v>
      </c>
    </row>
    <row r="65" spans="1:9" x14ac:dyDescent="0.25">
      <c r="A65" s="46">
        <v>45554</v>
      </c>
      <c r="B65" s="38">
        <v>0.875</v>
      </c>
      <c r="C65" s="49" t="s">
        <v>8</v>
      </c>
      <c r="D65" s="35" t="s">
        <v>88</v>
      </c>
      <c r="E65" s="9" t="s">
        <v>72</v>
      </c>
      <c r="F65" s="8">
        <f>(INT(Table_Kazakhstan[[#This Row],[Date]]) - DATE(1970, 1, 1)) * 86400000</f>
        <v>1726704000000</v>
      </c>
      <c r="G65">
        <f>'GMT Glossary'!$B$3</f>
        <v>6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03:00</v>
      </c>
    </row>
    <row r="66" spans="1:9" x14ac:dyDescent="0.25">
      <c r="A66" s="50">
        <v>45554</v>
      </c>
      <c r="B66" s="47">
        <v>0.95833333333333337</v>
      </c>
      <c r="C66" s="59" t="s">
        <v>8</v>
      </c>
      <c r="D66" s="58" t="s">
        <v>76</v>
      </c>
      <c r="E66" s="9" t="s">
        <v>21</v>
      </c>
      <c r="F66" s="8">
        <f>(INT(Table_Kazakhstan[[#This Row],[Date]]) - DATE(1970, 1, 1)) * 86400000</f>
        <v>1726704000000</v>
      </c>
      <c r="G66" s="10">
        <f>'GMT Glossary'!$B$3</f>
        <v>6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05:00</v>
      </c>
    </row>
    <row r="67" spans="1:9" x14ac:dyDescent="0.25">
      <c r="A67" s="46">
        <v>45554</v>
      </c>
      <c r="B67" s="38">
        <v>0.95833333333333337</v>
      </c>
      <c r="C67" s="49" t="s">
        <v>8</v>
      </c>
      <c r="D67" s="55" t="s">
        <v>93</v>
      </c>
      <c r="E67" s="9" t="s">
        <v>72</v>
      </c>
      <c r="F67" s="8">
        <f>(INT(Table_Kazakhstan[[#This Row],[Date]]) - DATE(1970, 1, 1)) * 86400000</f>
        <v>1726704000000</v>
      </c>
      <c r="G67" s="10">
        <f>'GMT Glossary'!$B$3</f>
        <v>6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05:00</v>
      </c>
    </row>
    <row r="68" spans="1:9" x14ac:dyDescent="0.25">
      <c r="A68" s="50">
        <v>45555</v>
      </c>
      <c r="B68" s="47">
        <v>4.1666666666666664E-2</v>
      </c>
      <c r="C68" s="59" t="s">
        <v>8</v>
      </c>
      <c r="D68" s="58" t="s">
        <v>198</v>
      </c>
      <c r="E68" s="9" t="s">
        <v>21</v>
      </c>
      <c r="F68" s="8">
        <f>(INT(Table_Kazakhstan[[#This Row],[Date]]) - DATE(1970, 1, 1)) * 86400000</f>
        <v>1726790400000</v>
      </c>
      <c r="G68">
        <f>'GMT Glossary'!$B$3</f>
        <v>6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07:00</v>
      </c>
    </row>
    <row r="69" spans="1:9" x14ac:dyDescent="0.25">
      <c r="A69" s="46">
        <v>45555</v>
      </c>
      <c r="B69" s="38">
        <v>4.1666666666666664E-2</v>
      </c>
      <c r="C69" s="49" t="s">
        <v>402</v>
      </c>
      <c r="D69" s="55" t="s">
        <v>83</v>
      </c>
      <c r="E69" s="9" t="s">
        <v>72</v>
      </c>
      <c r="F69" s="8">
        <f>(INT(Table_Kazakhstan[[#This Row],[Date]]) - DATE(1970, 1, 1)) * 86400000</f>
        <v>1726790400000</v>
      </c>
      <c r="G69">
        <f>'GMT Glossary'!$B$3</f>
        <v>6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07:00</v>
      </c>
    </row>
    <row r="70" spans="1:9" x14ac:dyDescent="0.25">
      <c r="A70" s="50">
        <v>45555</v>
      </c>
      <c r="B70" s="47">
        <v>0.125</v>
      </c>
      <c r="C70" s="59" t="s">
        <v>8</v>
      </c>
      <c r="D70" s="35" t="s">
        <v>74</v>
      </c>
      <c r="E70" s="9" t="s">
        <v>21</v>
      </c>
      <c r="F70" s="8">
        <f>(INT(Table_Kazakhstan[[#This Row],[Date]]) - DATE(1970, 1, 1)) * 86400000</f>
        <v>1726790400000</v>
      </c>
      <c r="G70" s="10">
        <f>'GMT Glossary'!$B$3</f>
        <v>6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09:00</v>
      </c>
    </row>
    <row r="71" spans="1:9" x14ac:dyDescent="0.25">
      <c r="A71" s="46">
        <v>45555</v>
      </c>
      <c r="B71" s="38">
        <v>0.125</v>
      </c>
      <c r="C71" s="49" t="s">
        <v>8</v>
      </c>
      <c r="D71" s="55" t="s">
        <v>235</v>
      </c>
      <c r="E71" s="9" t="s">
        <v>72</v>
      </c>
      <c r="F71" s="8">
        <f>(INT(Table_Kazakhstan[[#This Row],[Date]]) - DATE(1970, 1, 1)) * 86400000</f>
        <v>1726790400000</v>
      </c>
      <c r="G71" s="10">
        <f>'GMT Glossary'!$B$3</f>
        <v>6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09:00</v>
      </c>
    </row>
    <row r="72" spans="1:9" x14ac:dyDescent="0.25">
      <c r="A72" s="50">
        <v>45555</v>
      </c>
      <c r="B72" s="47">
        <v>0.20833333333333334</v>
      </c>
      <c r="C72" s="59" t="s">
        <v>8</v>
      </c>
      <c r="D72" s="35" t="s">
        <v>80</v>
      </c>
      <c r="E72" s="9" t="s">
        <v>21</v>
      </c>
      <c r="F72" s="8">
        <f>(INT(Table_Kazakhstan[[#This Row],[Date]]) - DATE(1970, 1, 1)) * 86400000</f>
        <v>1726790400000</v>
      </c>
      <c r="G72">
        <f>'GMT Glossary'!$B$3</f>
        <v>6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11:00</v>
      </c>
    </row>
    <row r="73" spans="1:9" x14ac:dyDescent="0.25">
      <c r="A73" s="46">
        <v>45555</v>
      </c>
      <c r="B73" s="38">
        <v>0.20833333333333334</v>
      </c>
      <c r="C73" s="49" t="s">
        <v>398</v>
      </c>
      <c r="D73" s="56" t="s">
        <v>236</v>
      </c>
      <c r="E73" s="9" t="s">
        <v>72</v>
      </c>
      <c r="F73" s="8">
        <f>(INT(Table_Kazakhstan[[#This Row],[Date]]) - DATE(1970, 1, 1)) * 86400000</f>
        <v>1726790400000</v>
      </c>
      <c r="G73">
        <f>'GMT Glossary'!$B$3</f>
        <v>6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11:00</v>
      </c>
    </row>
    <row r="74" spans="1:9" x14ac:dyDescent="0.25">
      <c r="A74" s="46">
        <v>45555</v>
      </c>
      <c r="B74" s="38">
        <v>0.27083333333333331</v>
      </c>
      <c r="C74" s="49" t="s">
        <v>398</v>
      </c>
      <c r="D74" s="56" t="s">
        <v>237</v>
      </c>
      <c r="E74" s="9" t="s">
        <v>72</v>
      </c>
      <c r="F74" s="8">
        <f>(INT(Table_Kazakhstan[[#This Row],[Date]]) - DATE(1970, 1, 1)) * 86400000</f>
        <v>1726790400000</v>
      </c>
      <c r="G74" s="10">
        <f>'GMT Glossary'!$B$3</f>
        <v>6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12:30</v>
      </c>
    </row>
    <row r="75" spans="1:9" x14ac:dyDescent="0.25">
      <c r="A75" s="50">
        <v>45555</v>
      </c>
      <c r="B75" s="47">
        <v>0.29166666666666669</v>
      </c>
      <c r="C75" s="59" t="s">
        <v>8</v>
      </c>
      <c r="D75" s="35" t="s">
        <v>205</v>
      </c>
      <c r="E75" s="9" t="s">
        <v>21</v>
      </c>
      <c r="F75" s="8">
        <f>(INT(Table_Kazakhstan[[#This Row],[Date]]) - DATE(1970, 1, 1)) * 86400000</f>
        <v>1726790400000</v>
      </c>
      <c r="G75" s="10">
        <f>'GMT Glossary'!$B$3</f>
        <v>6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13:00</v>
      </c>
    </row>
    <row r="76" spans="1:9" x14ac:dyDescent="0.25">
      <c r="A76" s="46">
        <v>45555</v>
      </c>
      <c r="B76" s="38">
        <v>0.33333333333333331</v>
      </c>
      <c r="C76" s="49" t="s">
        <v>398</v>
      </c>
      <c r="D76" s="56" t="s">
        <v>238</v>
      </c>
      <c r="E76" s="9" t="s">
        <v>72</v>
      </c>
      <c r="F76" s="8">
        <f>(INT(Table_Kazakhstan[[#This Row],[Date]]) - DATE(1970, 1, 1)) * 86400000</f>
        <v>1726790400000</v>
      </c>
      <c r="G76">
        <f>'GMT Glossary'!$B$3</f>
        <v>6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14:00</v>
      </c>
    </row>
    <row r="77" spans="1:9" x14ac:dyDescent="0.25">
      <c r="A77" s="50">
        <v>45555</v>
      </c>
      <c r="B77" s="47">
        <v>0.375</v>
      </c>
      <c r="C77" s="59" t="s">
        <v>8</v>
      </c>
      <c r="D77" s="35" t="s">
        <v>203</v>
      </c>
      <c r="E77" s="9" t="s">
        <v>21</v>
      </c>
      <c r="F77" s="8">
        <f>(INT(Table_Kazakhstan[[#This Row],[Date]]) - DATE(1970, 1, 1)) * 86400000</f>
        <v>1726790400000</v>
      </c>
      <c r="G77">
        <f>'GMT Glossary'!$B$3</f>
        <v>6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15:00</v>
      </c>
    </row>
    <row r="78" spans="1:9" x14ac:dyDescent="0.25">
      <c r="A78" s="46">
        <v>45555</v>
      </c>
      <c r="B78" s="38">
        <v>0.41666666666666669</v>
      </c>
      <c r="C78" s="49" t="s">
        <v>398</v>
      </c>
      <c r="D78" s="56" t="s">
        <v>239</v>
      </c>
      <c r="E78" s="9" t="s">
        <v>72</v>
      </c>
      <c r="F78" s="8">
        <f>(INT(Table_Kazakhstan[[#This Row],[Date]]) - DATE(1970, 1, 1)) * 86400000</f>
        <v>1726790400000</v>
      </c>
      <c r="G78" s="10">
        <f>'GMT Glossary'!$B$3</f>
        <v>6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16:00</v>
      </c>
    </row>
    <row r="79" spans="1:9" x14ac:dyDescent="0.25">
      <c r="A79" s="50">
        <v>45555</v>
      </c>
      <c r="B79" s="47">
        <v>0.45833333333333331</v>
      </c>
      <c r="C79" s="59" t="s">
        <v>8</v>
      </c>
      <c r="D79" s="35" t="s">
        <v>73</v>
      </c>
      <c r="E79" s="9" t="s">
        <v>21</v>
      </c>
      <c r="F79" s="8">
        <f>(INT(Table_Kazakhstan[[#This Row],[Date]]) - DATE(1970, 1, 1)) * 86400000</f>
        <v>1726790400000</v>
      </c>
      <c r="G79" s="10">
        <f>'GMT Glossary'!$B$3</f>
        <v>6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17:00</v>
      </c>
    </row>
    <row r="80" spans="1:9" x14ac:dyDescent="0.25">
      <c r="A80" s="50">
        <v>45555</v>
      </c>
      <c r="B80" s="47">
        <v>0.54166666666666663</v>
      </c>
      <c r="C80" s="59" t="s">
        <v>8</v>
      </c>
      <c r="D80" s="35" t="s">
        <v>78</v>
      </c>
      <c r="E80" s="9" t="s">
        <v>21</v>
      </c>
      <c r="F80" s="8">
        <f>(INT(Table_Kazakhstan[[#This Row],[Date]]) - DATE(1970, 1, 1)) * 86400000</f>
        <v>1726790400000</v>
      </c>
      <c r="G80" s="10">
        <f>'GMT Glossary'!$B$3</f>
        <v>6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19:00</v>
      </c>
    </row>
    <row r="81" spans="1:9" x14ac:dyDescent="0.25">
      <c r="A81" s="46">
        <v>45555</v>
      </c>
      <c r="B81" s="38">
        <v>0.54166666666666663</v>
      </c>
      <c r="C81" s="49" t="s">
        <v>8</v>
      </c>
      <c r="D81" s="55" t="s">
        <v>232</v>
      </c>
      <c r="E81" s="9" t="s">
        <v>72</v>
      </c>
      <c r="F81" s="8">
        <f>(INT(Table_Kazakhstan[[#This Row],[Date]]) - DATE(1970, 1, 1)) * 86400000</f>
        <v>1726790400000</v>
      </c>
      <c r="G81">
        <f>'GMT Glossary'!$B$3</f>
        <v>6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19:00</v>
      </c>
    </row>
    <row r="82" spans="1:9" x14ac:dyDescent="0.25">
      <c r="A82" s="50">
        <v>45555</v>
      </c>
      <c r="B82" s="47">
        <v>0.625</v>
      </c>
      <c r="C82" s="59" t="s">
        <v>8</v>
      </c>
      <c r="D82" s="35" t="s">
        <v>59</v>
      </c>
      <c r="E82" s="9" t="s">
        <v>21</v>
      </c>
      <c r="F82" s="8">
        <f>(INT(Table_Kazakhstan[[#This Row],[Date]]) - DATE(1970, 1, 1)) * 86400000</f>
        <v>1726790400000</v>
      </c>
      <c r="G82">
        <f>'GMT Glossary'!$B$3</f>
        <v>6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21:00</v>
      </c>
    </row>
    <row r="83" spans="1:9" x14ac:dyDescent="0.25">
      <c r="A83" s="46">
        <v>45555</v>
      </c>
      <c r="B83" s="38">
        <v>0.64583333333333337</v>
      </c>
      <c r="C83" s="49" t="s">
        <v>399</v>
      </c>
      <c r="D83" s="56" t="s">
        <v>131</v>
      </c>
      <c r="E83" s="9" t="s">
        <v>72</v>
      </c>
      <c r="F83" s="8">
        <f>(INT(Table_Kazakhstan[[#This Row],[Date]]) - DATE(1970, 1, 1)) * 86400000</f>
        <v>1726790400000</v>
      </c>
      <c r="G83" s="10">
        <f>'GMT Glossary'!$B$3</f>
        <v>6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21:30</v>
      </c>
    </row>
    <row r="84" spans="1:9" x14ac:dyDescent="0.25">
      <c r="A84" s="50">
        <v>45555</v>
      </c>
      <c r="B84" s="47">
        <v>0.6875</v>
      </c>
      <c r="C84" s="59" t="s">
        <v>8</v>
      </c>
      <c r="D84" s="56" t="s">
        <v>208</v>
      </c>
      <c r="E84" s="9" t="s">
        <v>21</v>
      </c>
      <c r="F84" s="8">
        <f>(INT(Table_Kazakhstan[[#This Row],[Date]]) - DATE(1970, 1, 1)) * 86400000</f>
        <v>1726790400000</v>
      </c>
      <c r="G84" s="10">
        <f>'GMT Glossary'!$B$3</f>
        <v>6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22:30</v>
      </c>
    </row>
    <row r="85" spans="1:9" x14ac:dyDescent="0.25">
      <c r="A85" s="50">
        <v>45555</v>
      </c>
      <c r="B85" s="47">
        <v>0.78125</v>
      </c>
      <c r="C85" s="59" t="s">
        <v>8</v>
      </c>
      <c r="D85" s="56" t="s">
        <v>209</v>
      </c>
      <c r="E85" s="9" t="s">
        <v>21</v>
      </c>
      <c r="F85" s="8">
        <f>(INT(Table_Kazakhstan[[#This Row],[Date]]) - DATE(1970, 1, 1)) * 86400000</f>
        <v>1726790400000</v>
      </c>
      <c r="G85">
        <f>'GMT Glossary'!$B$3</f>
        <v>6</v>
      </c>
      <c r="H85" s="2" t="str">
        <f>TEXT(IF(B85&lt;0, A85+1+((B85+(G85/24))-(INT(B85+(G85/24)))), A85+(B85+(G85/24))), "yyyy-mm-dd")</f>
        <v>2024-09-21</v>
      </c>
      <c r="I85" s="2" t="str">
        <f>TEXT(IF(B85&lt;0, A85+1+((B85+(G85/24))-(INT(B85+(G85/24)))), A85+(B85+(G85/24))), "hh:mm")</f>
        <v>00:45</v>
      </c>
    </row>
    <row r="86" spans="1:9" x14ac:dyDescent="0.25">
      <c r="A86" s="46">
        <v>45555</v>
      </c>
      <c r="B86" s="38">
        <v>0.79166666666666663</v>
      </c>
      <c r="C86" s="49" t="s">
        <v>8</v>
      </c>
      <c r="D86" s="55" t="s">
        <v>90</v>
      </c>
      <c r="E86" s="9" t="s">
        <v>72</v>
      </c>
      <c r="F86" s="8">
        <f>(INT(Table_Kazakhstan[[#This Row],[Date]]) - DATE(1970, 1, 1)) * 86400000</f>
        <v>1726790400000</v>
      </c>
      <c r="G86">
        <f>'GMT Glossary'!$B$3</f>
        <v>6</v>
      </c>
      <c r="H86" s="2" t="str">
        <f>TEXT(IF(B86&lt;0, A86+1+((B86+(G86/24))-(INT(B86+(G86/24)))), A86+(B86+(G86/24))), "yyyy-mm-dd")</f>
        <v>2024-09-21</v>
      </c>
      <c r="I86" s="2" t="str">
        <f>TEXT(IF(B86&lt;0, A86+1+((B86+(G86/24))-(INT(B86+(G86/24)))), A86+(B86+(G86/24))), "hh:mm")</f>
        <v>01:00</v>
      </c>
    </row>
    <row r="87" spans="1:9" x14ac:dyDescent="0.25">
      <c r="A87" s="50">
        <v>45555</v>
      </c>
      <c r="B87" s="47">
        <v>0.875</v>
      </c>
      <c r="C87" s="59" t="s">
        <v>8</v>
      </c>
      <c r="D87" s="35" t="s">
        <v>79</v>
      </c>
      <c r="E87" s="9" t="s">
        <v>21</v>
      </c>
      <c r="F87" s="8">
        <f>(INT(Table_Kazakhstan[[#This Row],[Date]]) - DATE(1970, 1, 1)) * 86400000</f>
        <v>1726790400000</v>
      </c>
      <c r="G87">
        <f>'GMT Glossary'!$B$3</f>
        <v>6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03:00</v>
      </c>
    </row>
    <row r="88" spans="1:9" x14ac:dyDescent="0.25">
      <c r="A88" s="46">
        <v>45555</v>
      </c>
      <c r="B88" s="38">
        <v>0.875</v>
      </c>
      <c r="C88" s="49" t="s">
        <v>8</v>
      </c>
      <c r="D88" s="55" t="s">
        <v>64</v>
      </c>
      <c r="E88" s="9" t="s">
        <v>72</v>
      </c>
      <c r="F88" s="8">
        <f>(INT(Table_Kazakhstan[[#This Row],[Date]]) - DATE(1970, 1, 1)) * 86400000</f>
        <v>1726790400000</v>
      </c>
      <c r="G88" s="10">
        <f>'GMT Glossary'!$B$3</f>
        <v>6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03:00</v>
      </c>
    </row>
    <row r="89" spans="1:9" x14ac:dyDescent="0.25">
      <c r="A89" s="63">
        <v>45555</v>
      </c>
      <c r="B89" s="88">
        <v>0.95833333333333337</v>
      </c>
      <c r="C89" s="86" t="s">
        <v>8</v>
      </c>
      <c r="D89" s="58" t="s">
        <v>206</v>
      </c>
      <c r="E89" s="9" t="s">
        <v>21</v>
      </c>
      <c r="F89" s="8">
        <f>(INT(Table_Kazakhstan[[#This Row],[Date]]) - DATE(1970, 1, 1)) * 86400000</f>
        <v>1726790400000</v>
      </c>
      <c r="G89" s="10">
        <f>'GMT Glossary'!$B$3</f>
        <v>6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05:00</v>
      </c>
    </row>
    <row r="90" spans="1:9" x14ac:dyDescent="0.25">
      <c r="A90" s="46">
        <v>45555</v>
      </c>
      <c r="B90" s="38">
        <v>0.95833333333333337</v>
      </c>
      <c r="C90" s="49" t="s">
        <v>8</v>
      </c>
      <c r="D90" s="58" t="s">
        <v>88</v>
      </c>
      <c r="E90" s="9" t="s">
        <v>72</v>
      </c>
      <c r="F90" s="8">
        <f>(INT(Table_Kazakhstan[[#This Row],[Date]]) - DATE(1970, 1, 1)) * 86400000</f>
        <v>1726790400000</v>
      </c>
      <c r="G90">
        <f>'GMT Glossary'!$B$3</f>
        <v>6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05:00</v>
      </c>
    </row>
    <row r="91" spans="1:9" x14ac:dyDescent="0.25">
      <c r="A91" s="63">
        <v>45556</v>
      </c>
      <c r="B91" s="88">
        <v>4.1666666666666664E-2</v>
      </c>
      <c r="C91" s="86" t="s">
        <v>8</v>
      </c>
      <c r="D91" s="35" t="s">
        <v>199</v>
      </c>
      <c r="E91" s="9" t="s">
        <v>21</v>
      </c>
      <c r="F91" s="8">
        <f>(INT(Table_Kazakhstan[[#This Row],[Date]]) - DATE(1970, 1, 1)) * 86400000</f>
        <v>1726876800000</v>
      </c>
      <c r="G91">
        <f>'GMT Glossary'!$B$3</f>
        <v>6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07:00</v>
      </c>
    </row>
    <row r="92" spans="1:9" x14ac:dyDescent="0.25">
      <c r="A92" s="46">
        <v>45556</v>
      </c>
      <c r="B92" s="38">
        <v>4.1666666666666664E-2</v>
      </c>
      <c r="C92" s="49" t="s">
        <v>8</v>
      </c>
      <c r="D92" s="53" t="s">
        <v>86</v>
      </c>
      <c r="E92" s="9" t="s">
        <v>72</v>
      </c>
      <c r="F92" s="8">
        <f>(INT(Table_Kazakhstan[[#This Row],[Date]]) - DATE(1970, 1, 1)) * 86400000</f>
        <v>1726876800000</v>
      </c>
      <c r="G92" s="10">
        <f>'GMT Glossary'!$B$3</f>
        <v>6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07:00</v>
      </c>
    </row>
    <row r="93" spans="1:9" x14ac:dyDescent="0.25">
      <c r="A93" s="63">
        <v>45556</v>
      </c>
      <c r="B93" s="88">
        <v>0.125</v>
      </c>
      <c r="C93" s="86" t="s">
        <v>8</v>
      </c>
      <c r="D93" s="58" t="s">
        <v>77</v>
      </c>
      <c r="E93" s="9" t="s">
        <v>21</v>
      </c>
      <c r="F93" s="8">
        <f>(INT(Table_Kazakhstan[[#This Row],[Date]]) - DATE(1970, 1, 1)) * 86400000</f>
        <v>1726876800000</v>
      </c>
      <c r="G93" s="10">
        <f>'GMT Glossary'!$B$3</f>
        <v>6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09:00</v>
      </c>
    </row>
    <row r="94" spans="1:9" x14ac:dyDescent="0.25">
      <c r="A94" s="46">
        <v>45556</v>
      </c>
      <c r="B94" s="38">
        <v>0.125</v>
      </c>
      <c r="C94" s="49" t="s">
        <v>8</v>
      </c>
      <c r="D94" s="55" t="s">
        <v>40</v>
      </c>
      <c r="E94" s="9" t="s">
        <v>72</v>
      </c>
      <c r="F94" s="8">
        <f>(INT(Table_Kazakhstan[[#This Row],[Date]]) - DATE(1970, 1, 1)) * 86400000</f>
        <v>1726876800000</v>
      </c>
      <c r="G94">
        <f>'GMT Glossary'!$B$3</f>
        <v>6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09:00</v>
      </c>
    </row>
    <row r="95" spans="1:9" x14ac:dyDescent="0.25">
      <c r="A95" s="63">
        <v>45556</v>
      </c>
      <c r="B95" s="88">
        <v>0.20833333333333334</v>
      </c>
      <c r="C95" s="86" t="s">
        <v>8</v>
      </c>
      <c r="D95" s="58" t="s">
        <v>75</v>
      </c>
      <c r="E95" s="9" t="s">
        <v>21</v>
      </c>
      <c r="F95" s="8">
        <f>(INT(Table_Kazakhstan[[#This Row],[Date]]) - DATE(1970, 1, 1)) * 86400000</f>
        <v>1726876800000</v>
      </c>
      <c r="G95">
        <f>'GMT Glossary'!$B$3</f>
        <v>6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11:00</v>
      </c>
    </row>
    <row r="96" spans="1:9" x14ac:dyDescent="0.25">
      <c r="A96" s="46">
        <v>45556</v>
      </c>
      <c r="B96" s="38">
        <v>0.20833333333333334</v>
      </c>
      <c r="C96" s="49" t="s">
        <v>402</v>
      </c>
      <c r="D96" s="55" t="s">
        <v>91</v>
      </c>
      <c r="E96" s="9" t="s">
        <v>72</v>
      </c>
      <c r="F96" s="8">
        <f>(INT(Table_Kazakhstan[[#This Row],[Date]]) - DATE(1970, 1, 1)) * 86400000</f>
        <v>1726876800000</v>
      </c>
      <c r="G96" s="10">
        <f>'GMT Glossary'!$B$3</f>
        <v>6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11:00</v>
      </c>
    </row>
    <row r="97" spans="1:9" x14ac:dyDescent="0.25">
      <c r="A97" s="63">
        <v>45556</v>
      </c>
      <c r="B97" s="88">
        <v>0.29166666666666669</v>
      </c>
      <c r="C97" s="86" t="s">
        <v>8</v>
      </c>
      <c r="D97" s="35" t="s">
        <v>76</v>
      </c>
      <c r="E97" s="9" t="s">
        <v>21</v>
      </c>
      <c r="F97" s="8">
        <f>(INT(Table_Kazakhstan[[#This Row],[Date]]) - DATE(1970, 1, 1)) * 86400000</f>
        <v>1726876800000</v>
      </c>
      <c r="G97">
        <f>'GMT Glossary'!$B$3</f>
        <v>6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13:00</v>
      </c>
    </row>
    <row r="98" spans="1:9" x14ac:dyDescent="0.25">
      <c r="A98" s="46">
        <v>45556</v>
      </c>
      <c r="B98" s="38">
        <v>0.29166666666666669</v>
      </c>
      <c r="C98" s="49" t="s">
        <v>398</v>
      </c>
      <c r="D98" s="56" t="s">
        <v>240</v>
      </c>
      <c r="E98" s="9" t="s">
        <v>72</v>
      </c>
      <c r="F98" s="8">
        <f>(INT(Table_Kazakhstan[[#This Row],[Date]]) - DATE(1970, 1, 1)) * 86400000</f>
        <v>1726876800000</v>
      </c>
      <c r="G98">
        <f>'GMT Glossary'!$B$3</f>
        <v>6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13:00</v>
      </c>
    </row>
    <row r="99" spans="1:9" x14ac:dyDescent="0.25">
      <c r="A99" s="46">
        <v>45556</v>
      </c>
      <c r="B99" s="38">
        <v>0.35416666666666669</v>
      </c>
      <c r="C99" s="49" t="s">
        <v>398</v>
      </c>
      <c r="D99" s="56" t="s">
        <v>241</v>
      </c>
      <c r="E99" s="9" t="s">
        <v>72</v>
      </c>
      <c r="F99" s="8">
        <f>(INT(Table_Kazakhstan[[#This Row],[Date]]) - DATE(1970, 1, 1)) * 86400000</f>
        <v>1726876800000</v>
      </c>
      <c r="G99" s="10">
        <f>'GMT Glossary'!$B$3</f>
        <v>6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14:30</v>
      </c>
    </row>
    <row r="100" spans="1:9" x14ac:dyDescent="0.25">
      <c r="A100" s="63">
        <v>45556</v>
      </c>
      <c r="B100" s="88">
        <v>0.375</v>
      </c>
      <c r="C100" s="86" t="s">
        <v>8</v>
      </c>
      <c r="D100" s="35" t="s">
        <v>74</v>
      </c>
      <c r="E100" s="9" t="s">
        <v>21</v>
      </c>
      <c r="F100" s="8">
        <f>(INT(Table_Kazakhstan[[#This Row],[Date]]) - DATE(1970, 1, 1)) * 86400000</f>
        <v>1726876800000</v>
      </c>
      <c r="G100" s="10">
        <f>'GMT Glossary'!$B$3</f>
        <v>6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15:00</v>
      </c>
    </row>
    <row r="101" spans="1:9" x14ac:dyDescent="0.25">
      <c r="A101" s="46">
        <v>45556</v>
      </c>
      <c r="B101" s="38">
        <v>0.45833333333333331</v>
      </c>
      <c r="C101" s="49" t="s">
        <v>8</v>
      </c>
      <c r="D101" s="55" t="s">
        <v>139</v>
      </c>
      <c r="E101" s="9" t="s">
        <v>72</v>
      </c>
      <c r="F101" s="8">
        <f>(INT(Table_Kazakhstan[[#This Row],[Date]]) - DATE(1970, 1, 1)) * 86400000</f>
        <v>1726876800000</v>
      </c>
      <c r="G101">
        <f>'GMT Glossary'!$B$3</f>
        <v>6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17:00</v>
      </c>
    </row>
    <row r="102" spans="1:9" x14ac:dyDescent="0.25">
      <c r="A102" s="63">
        <v>45556</v>
      </c>
      <c r="B102" s="88">
        <v>0.47916666666666669</v>
      </c>
      <c r="C102" s="86" t="s">
        <v>8</v>
      </c>
      <c r="D102" s="56" t="s">
        <v>210</v>
      </c>
      <c r="E102" s="9" t="s">
        <v>21</v>
      </c>
      <c r="F102" s="8">
        <f>(INT(Table_Kazakhstan[[#This Row],[Date]]) - DATE(1970, 1, 1)) * 86400000</f>
        <v>1726876800000</v>
      </c>
      <c r="G102">
        <f>'GMT Glossary'!$B$3</f>
        <v>6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17:30</v>
      </c>
    </row>
    <row r="103" spans="1:9" x14ac:dyDescent="0.25">
      <c r="A103" s="46">
        <v>45556</v>
      </c>
      <c r="B103" s="38">
        <v>0.54166666666666663</v>
      </c>
      <c r="C103" s="49" t="s">
        <v>402</v>
      </c>
      <c r="D103" s="56" t="s">
        <v>242</v>
      </c>
      <c r="E103" s="9" t="s">
        <v>72</v>
      </c>
      <c r="F103" s="8">
        <f>(INT(Table_Kazakhstan[[#This Row],[Date]]) - DATE(1970, 1, 1)) * 86400000</f>
        <v>1726876800000</v>
      </c>
      <c r="G103" s="10">
        <f>'GMT Glossary'!$B$3</f>
        <v>6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19:00</v>
      </c>
    </row>
    <row r="104" spans="1:9" x14ac:dyDescent="0.25">
      <c r="A104" s="63">
        <v>45556</v>
      </c>
      <c r="B104" s="88">
        <v>0.58333333333333337</v>
      </c>
      <c r="C104" s="86" t="s">
        <v>8</v>
      </c>
      <c r="D104" s="56" t="s">
        <v>211</v>
      </c>
      <c r="E104" s="9" t="s">
        <v>21</v>
      </c>
      <c r="F104" s="8">
        <f>(INT(Table_Kazakhstan[[#This Row],[Date]]) - DATE(1970, 1, 1)) * 86400000</f>
        <v>1726876800000</v>
      </c>
      <c r="G104">
        <f>'GMT Glossary'!$B$3</f>
        <v>6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20:00</v>
      </c>
    </row>
    <row r="105" spans="1:9" x14ac:dyDescent="0.25">
      <c r="A105" s="46">
        <v>45556</v>
      </c>
      <c r="B105" s="38">
        <v>0.58333333333333337</v>
      </c>
      <c r="C105" s="49" t="s">
        <v>8</v>
      </c>
      <c r="D105" s="56" t="s">
        <v>243</v>
      </c>
      <c r="E105" s="9" t="s">
        <v>72</v>
      </c>
      <c r="F105" s="8">
        <f>(INT(Table_Kazakhstan[[#This Row],[Date]]) - DATE(1970, 1, 1)) * 86400000</f>
        <v>1726876800000</v>
      </c>
      <c r="G105">
        <f>'GMT Glossary'!$B$3</f>
        <v>6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20:00</v>
      </c>
    </row>
    <row r="106" spans="1:9" x14ac:dyDescent="0.25">
      <c r="A106" s="46">
        <v>45556</v>
      </c>
      <c r="B106" s="38">
        <v>0.66666666666666663</v>
      </c>
      <c r="C106" s="49" t="s">
        <v>8</v>
      </c>
      <c r="D106" s="61" t="s">
        <v>136</v>
      </c>
      <c r="E106" s="9" t="s">
        <v>72</v>
      </c>
      <c r="F106" s="8">
        <f>(INT(Table_Kazakhstan[[#This Row],[Date]]) - DATE(1970, 1, 1)) * 86400000</f>
        <v>1726876800000</v>
      </c>
      <c r="G106" s="10">
        <f>'GMT Glossary'!$B$3</f>
        <v>6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22:00</v>
      </c>
    </row>
    <row r="107" spans="1:9" x14ac:dyDescent="0.25">
      <c r="A107" s="63">
        <v>45556</v>
      </c>
      <c r="B107" s="88">
        <v>0.6875</v>
      </c>
      <c r="C107" s="86" t="s">
        <v>8</v>
      </c>
      <c r="D107" s="56" t="s">
        <v>212</v>
      </c>
      <c r="E107" s="9" t="s">
        <v>21</v>
      </c>
      <c r="F107" s="8">
        <f>(INT(Table_Kazakhstan[[#This Row],[Date]]) - DATE(1970, 1, 1)) * 86400000</f>
        <v>1726876800000</v>
      </c>
      <c r="G107" s="10">
        <f>'GMT Glossary'!$B$3</f>
        <v>6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22:30</v>
      </c>
    </row>
    <row r="108" spans="1:9" x14ac:dyDescent="0.25">
      <c r="A108" s="63">
        <v>45556</v>
      </c>
      <c r="B108" s="88">
        <v>0.79166666666666663</v>
      </c>
      <c r="C108" s="86" t="s">
        <v>8</v>
      </c>
      <c r="D108" s="56" t="s">
        <v>213</v>
      </c>
      <c r="E108" s="9" t="s">
        <v>21</v>
      </c>
      <c r="F108" s="8">
        <f>(INT(Table_Kazakhstan[[#This Row],[Date]]) - DATE(1970, 1, 1)) * 86400000</f>
        <v>1726876800000</v>
      </c>
      <c r="G108">
        <f>'GMT Glossary'!$B$3</f>
        <v>6</v>
      </c>
      <c r="H108" s="2" t="str">
        <f>TEXT(IF(B108&lt;0, A108+1+((B108+(G108/24))-(INT(B108+(G108/24)))), A108+(B108+(G108/24))), "yyyy-mm-dd")</f>
        <v>2024-09-22</v>
      </c>
      <c r="I108" s="2" t="str">
        <f>TEXT(IF(B108&lt;0, A108+1+((B108+(G108/24))-(INT(B108+(G108/24)))), A108+(B108+(G108/24))), "hh:mm")</f>
        <v>01:00</v>
      </c>
    </row>
    <row r="109" spans="1:9" x14ac:dyDescent="0.25">
      <c r="A109" s="46">
        <v>45556</v>
      </c>
      <c r="B109" s="38">
        <v>0.79166666666666663</v>
      </c>
      <c r="C109" s="49" t="s">
        <v>8</v>
      </c>
      <c r="D109" s="61" t="s">
        <v>137</v>
      </c>
      <c r="E109" s="9" t="s">
        <v>72</v>
      </c>
      <c r="F109" s="8">
        <f>(INT(Table_Kazakhstan[[#This Row],[Date]]) - DATE(1970, 1, 1)) * 86400000</f>
        <v>1726876800000</v>
      </c>
      <c r="G109">
        <f>'GMT Glossary'!$B$3</f>
        <v>6</v>
      </c>
      <c r="H109" s="2" t="str">
        <f>TEXT(IF(B109&lt;0, A109+1+((B109+(G109/24))-(INT(B109+(G109/24)))), A109+(B109+(G109/24))), "yyyy-mm-dd")</f>
        <v>2024-09-22</v>
      </c>
      <c r="I109" s="2" t="str">
        <f>TEXT(IF(B109&lt;0, A109+1+((B109+(G109/24))-(INT(B109+(G109/24)))), A109+(B109+(G109/24))), "hh:mm")</f>
        <v>01:00</v>
      </c>
    </row>
    <row r="110" spans="1:9" x14ac:dyDescent="0.25">
      <c r="A110" s="63">
        <v>45556</v>
      </c>
      <c r="B110" s="88">
        <v>0.875</v>
      </c>
      <c r="C110" s="86" t="s">
        <v>8</v>
      </c>
      <c r="D110" s="35" t="s">
        <v>79</v>
      </c>
      <c r="E110" s="9" t="s">
        <v>21</v>
      </c>
      <c r="F110" s="8">
        <f>(INT(Table_Kazakhstan[[#This Row],[Date]]) - DATE(1970, 1, 1)) * 86400000</f>
        <v>1726876800000</v>
      </c>
      <c r="G110" s="10">
        <f>'GMT Glossary'!$B$3</f>
        <v>6</v>
      </c>
      <c r="H110" s="2" t="str">
        <f>TEXT(IF(B110&lt;0, A110+1+((B110+(G110/24))-(INT(B110+(G110/24)))), A110+(B110+(G110/24))), "yyyy-mm-dd")</f>
        <v>2024-09-22</v>
      </c>
      <c r="I110" s="2" t="str">
        <f>TEXT(IF(B110&lt;0, A110+1+((B110+(G110/24))-(INT(B110+(G110/24)))), A110+(B110+(G110/24))), "hh:mm")</f>
        <v>03:00</v>
      </c>
    </row>
    <row r="111" spans="1:9" x14ac:dyDescent="0.25">
      <c r="A111" s="46">
        <v>45556</v>
      </c>
      <c r="B111" s="38">
        <v>0.875</v>
      </c>
      <c r="C111" s="49" t="s">
        <v>8</v>
      </c>
      <c r="D111" s="58" t="s">
        <v>244</v>
      </c>
      <c r="E111" s="9" t="s">
        <v>72</v>
      </c>
      <c r="F111" s="8">
        <f>(INT(Table_Kazakhstan[[#This Row],[Date]]) - DATE(1970, 1, 1)) * 86400000</f>
        <v>1726876800000</v>
      </c>
      <c r="G111">
        <f>'GMT Glossary'!$B$3</f>
        <v>6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03:00</v>
      </c>
    </row>
    <row r="112" spans="1:9" x14ac:dyDescent="0.25">
      <c r="A112" s="63">
        <v>45556</v>
      </c>
      <c r="B112" s="88">
        <v>0.95833333333333337</v>
      </c>
      <c r="C112" s="86" t="s">
        <v>8</v>
      </c>
      <c r="D112" s="35" t="s">
        <v>214</v>
      </c>
      <c r="E112" s="9" t="s">
        <v>21</v>
      </c>
      <c r="F112" s="8">
        <f>(INT(Table_Kazakhstan[[#This Row],[Date]]) - DATE(1970, 1, 1)) * 86400000</f>
        <v>1726876800000</v>
      </c>
      <c r="G112">
        <f>'GMT Glossary'!$B$3</f>
        <v>6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05:00</v>
      </c>
    </row>
    <row r="113" spans="1:9" x14ac:dyDescent="0.25">
      <c r="A113" s="46">
        <v>45556</v>
      </c>
      <c r="B113" s="38">
        <v>0.95833333333333337</v>
      </c>
      <c r="C113" s="49" t="s">
        <v>8</v>
      </c>
      <c r="D113" s="53" t="s">
        <v>64</v>
      </c>
      <c r="E113" s="9" t="s">
        <v>72</v>
      </c>
      <c r="F113" s="8">
        <f>(INT(Table_Kazakhstan[[#This Row],[Date]]) - DATE(1970, 1, 1)) * 86400000</f>
        <v>1726876800000</v>
      </c>
      <c r="G113" s="10">
        <f>'GMT Glossary'!$B$3</f>
        <v>6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05:00</v>
      </c>
    </row>
    <row r="114" spans="1:9" x14ac:dyDescent="0.25">
      <c r="A114" s="63">
        <v>45557</v>
      </c>
      <c r="B114" s="88">
        <v>4.1666666666666664E-2</v>
      </c>
      <c r="C114" s="86" t="s">
        <v>8</v>
      </c>
      <c r="D114" s="35" t="s">
        <v>77</v>
      </c>
      <c r="E114" s="9" t="s">
        <v>21</v>
      </c>
      <c r="F114" s="8">
        <f>(INT(Table_Kazakhstan[[#This Row],[Date]]) - DATE(1970, 1, 1)) * 86400000</f>
        <v>1726963200000</v>
      </c>
      <c r="G114" s="10">
        <f>'GMT Glossary'!$B$3</f>
        <v>6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07:00</v>
      </c>
    </row>
    <row r="115" spans="1:9" x14ac:dyDescent="0.25">
      <c r="A115" s="46">
        <v>45557</v>
      </c>
      <c r="B115" s="38">
        <v>4.1666666666666664E-2</v>
      </c>
      <c r="C115" s="49" t="s">
        <v>8</v>
      </c>
      <c r="D115" s="53" t="s">
        <v>139</v>
      </c>
      <c r="E115" s="9" t="s">
        <v>72</v>
      </c>
      <c r="F115" s="8">
        <f>(INT(Table_Kazakhstan[[#This Row],[Date]]) - DATE(1970, 1, 1)) * 86400000</f>
        <v>1726963200000</v>
      </c>
      <c r="G115">
        <f>'GMT Glossary'!$B$3</f>
        <v>6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07:00</v>
      </c>
    </row>
    <row r="116" spans="1:9" x14ac:dyDescent="0.25">
      <c r="A116" s="63">
        <v>45557</v>
      </c>
      <c r="B116" s="88">
        <v>0.125</v>
      </c>
      <c r="C116" s="86" t="s">
        <v>8</v>
      </c>
      <c r="D116" s="35" t="s">
        <v>195</v>
      </c>
      <c r="E116" s="9" t="s">
        <v>21</v>
      </c>
      <c r="F116" s="8">
        <f>(INT(Table_Kazakhstan[[#This Row],[Date]]) - DATE(1970, 1, 1)) * 86400000</f>
        <v>1726963200000</v>
      </c>
      <c r="G116">
        <f>'GMT Glossary'!$B$3</f>
        <v>6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09:00</v>
      </c>
    </row>
    <row r="117" spans="1:9" x14ac:dyDescent="0.25">
      <c r="A117" s="46">
        <v>45557</v>
      </c>
      <c r="B117" s="38">
        <v>0.125</v>
      </c>
      <c r="C117" s="49" t="s">
        <v>8</v>
      </c>
      <c r="D117" s="58" t="s">
        <v>244</v>
      </c>
      <c r="E117" s="9" t="s">
        <v>72</v>
      </c>
      <c r="F117" s="8">
        <f>(INT(Table_Kazakhstan[[#This Row],[Date]]) - DATE(1970, 1, 1)) * 86400000</f>
        <v>1726963200000</v>
      </c>
      <c r="G117" s="10">
        <f>'GMT Glossary'!$B$3</f>
        <v>6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09:00</v>
      </c>
    </row>
    <row r="118" spans="1:9" x14ac:dyDescent="0.25">
      <c r="A118" s="63">
        <v>45557</v>
      </c>
      <c r="B118" s="88">
        <v>0.20833333333333334</v>
      </c>
      <c r="C118" s="86" t="s">
        <v>8</v>
      </c>
      <c r="D118" s="58" t="s">
        <v>129</v>
      </c>
      <c r="E118" s="9" t="s">
        <v>21</v>
      </c>
      <c r="F118" s="8">
        <f>(INT(Table_Kazakhstan[[#This Row],[Date]]) - DATE(1970, 1, 1)) * 86400000</f>
        <v>1726963200000</v>
      </c>
      <c r="G118" s="10">
        <f>'GMT Glossary'!$B$3</f>
        <v>6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11:00</v>
      </c>
    </row>
    <row r="119" spans="1:9" x14ac:dyDescent="0.25">
      <c r="A119" s="46">
        <v>45557</v>
      </c>
      <c r="B119" s="38">
        <v>0.20833333333333334</v>
      </c>
      <c r="C119" s="49" t="s">
        <v>402</v>
      </c>
      <c r="D119" s="53" t="s">
        <v>85</v>
      </c>
      <c r="E119" s="9" t="s">
        <v>72</v>
      </c>
      <c r="F119" s="8">
        <f>(INT(Table_Kazakhstan[[#This Row],[Date]]) - DATE(1970, 1, 1)) * 86400000</f>
        <v>1726963200000</v>
      </c>
      <c r="G119">
        <f>'GMT Glossary'!$B$3</f>
        <v>6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11:00</v>
      </c>
    </row>
    <row r="120" spans="1:9" x14ac:dyDescent="0.25">
      <c r="A120" s="63">
        <v>45557</v>
      </c>
      <c r="B120" s="88">
        <v>0.29166666666666669</v>
      </c>
      <c r="C120" s="86" t="s">
        <v>8</v>
      </c>
      <c r="D120" s="58" t="s">
        <v>74</v>
      </c>
      <c r="E120" s="9" t="s">
        <v>21</v>
      </c>
      <c r="F120" s="8">
        <f>(INT(Table_Kazakhstan[[#This Row],[Date]]) - DATE(1970, 1, 1)) * 86400000</f>
        <v>1726963200000</v>
      </c>
      <c r="G120">
        <f>'GMT Glossary'!$B$3</f>
        <v>6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13:00</v>
      </c>
    </row>
    <row r="121" spans="1:9" x14ac:dyDescent="0.25">
      <c r="A121" s="46">
        <v>45557</v>
      </c>
      <c r="B121" s="38">
        <v>0.29166666666666669</v>
      </c>
      <c r="C121" s="49" t="s">
        <v>398</v>
      </c>
      <c r="D121" s="56" t="s">
        <v>245</v>
      </c>
      <c r="E121" s="9" t="s">
        <v>72</v>
      </c>
      <c r="F121" s="8">
        <f>(INT(Table_Kazakhstan[[#This Row],[Date]]) - DATE(1970, 1, 1)) * 86400000</f>
        <v>1726963200000</v>
      </c>
      <c r="G121" s="10">
        <f>'GMT Glossary'!$B$3</f>
        <v>6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13:00</v>
      </c>
    </row>
    <row r="122" spans="1:9" x14ac:dyDescent="0.25">
      <c r="A122" s="63">
        <v>45557</v>
      </c>
      <c r="B122" s="88">
        <v>0.375</v>
      </c>
      <c r="C122" s="86" t="s">
        <v>8</v>
      </c>
      <c r="D122" s="58" t="s">
        <v>59</v>
      </c>
      <c r="E122" s="9" t="s">
        <v>21</v>
      </c>
      <c r="F122" s="8">
        <f>(INT(Table_Kazakhstan[[#This Row],[Date]]) - DATE(1970, 1, 1)) * 86400000</f>
        <v>1726963200000</v>
      </c>
      <c r="G122" s="10">
        <f>'GMT Glossary'!$B$3</f>
        <v>6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15:00</v>
      </c>
    </row>
    <row r="123" spans="1:9" x14ac:dyDescent="0.25">
      <c r="A123" s="46">
        <v>45557</v>
      </c>
      <c r="B123" s="38">
        <v>0.375</v>
      </c>
      <c r="C123" s="49" t="s">
        <v>8</v>
      </c>
      <c r="D123" s="55" t="s">
        <v>141</v>
      </c>
      <c r="E123" s="9" t="s">
        <v>72</v>
      </c>
      <c r="F123" s="8">
        <f>(INT(Table_Kazakhstan[[#This Row],[Date]]) - DATE(1970, 1, 1)) * 86400000</f>
        <v>1726963200000</v>
      </c>
      <c r="G123">
        <f>'GMT Glossary'!$B$3</f>
        <v>6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15:00</v>
      </c>
    </row>
    <row r="124" spans="1:9" x14ac:dyDescent="0.25">
      <c r="A124" s="63">
        <v>45557</v>
      </c>
      <c r="B124" s="88">
        <v>0.4375</v>
      </c>
      <c r="C124" s="86" t="s">
        <v>8</v>
      </c>
      <c r="D124" s="56" t="s">
        <v>215</v>
      </c>
      <c r="E124" s="9" t="s">
        <v>21</v>
      </c>
      <c r="F124" s="8">
        <f>(INT(Table_Kazakhstan[[#This Row],[Date]]) - DATE(1970, 1, 1)) * 86400000</f>
        <v>1726963200000</v>
      </c>
      <c r="G124">
        <f>'GMT Glossary'!$B$3</f>
        <v>6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16:30</v>
      </c>
    </row>
    <row r="125" spans="1:9" x14ac:dyDescent="0.25">
      <c r="A125" s="46">
        <v>45557</v>
      </c>
      <c r="B125" s="38">
        <v>0.5</v>
      </c>
      <c r="C125" s="49" t="s">
        <v>402</v>
      </c>
      <c r="D125" s="61" t="s">
        <v>246</v>
      </c>
      <c r="E125" s="9" t="s">
        <v>72</v>
      </c>
      <c r="F125" s="8">
        <f>(INT(Table_Kazakhstan[[#This Row],[Date]]) - DATE(1970, 1, 1)) * 86400000</f>
        <v>1726963200000</v>
      </c>
      <c r="G125" s="10">
        <f>'GMT Glossary'!$B$3</f>
        <v>6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18:00</v>
      </c>
    </row>
    <row r="126" spans="1:9" x14ac:dyDescent="0.25">
      <c r="A126" s="63">
        <v>45557</v>
      </c>
      <c r="B126" s="88">
        <v>0.54166666666666663</v>
      </c>
      <c r="C126" s="86" t="s">
        <v>8</v>
      </c>
      <c r="D126" s="56" t="s">
        <v>216</v>
      </c>
      <c r="E126" s="9" t="s">
        <v>21</v>
      </c>
      <c r="F126" s="8">
        <f>(INT(Table_Kazakhstan[[#This Row],[Date]]) - DATE(1970, 1, 1)) * 86400000</f>
        <v>1726963200000</v>
      </c>
      <c r="G126" s="10">
        <f>'GMT Glossary'!$B$3</f>
        <v>6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19:00</v>
      </c>
    </row>
    <row r="127" spans="1:9" x14ac:dyDescent="0.25">
      <c r="A127" s="46">
        <v>45557</v>
      </c>
      <c r="B127" s="38">
        <v>0.59375</v>
      </c>
      <c r="C127" s="49" t="s">
        <v>8</v>
      </c>
      <c r="D127" s="61" t="s">
        <v>247</v>
      </c>
      <c r="E127" s="9" t="s">
        <v>72</v>
      </c>
      <c r="F127" s="8">
        <f>(INT(Table_Kazakhstan[[#This Row],[Date]]) - DATE(1970, 1, 1)) * 86400000</f>
        <v>1726963200000</v>
      </c>
      <c r="G127">
        <f>'GMT Glossary'!$B$3</f>
        <v>6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20:15</v>
      </c>
    </row>
    <row r="128" spans="1:9" x14ac:dyDescent="0.25">
      <c r="A128" s="63">
        <v>45557</v>
      </c>
      <c r="B128" s="88">
        <v>0.64583333333333337</v>
      </c>
      <c r="C128" s="86" t="s">
        <v>8</v>
      </c>
      <c r="D128" s="56" t="s">
        <v>217</v>
      </c>
      <c r="E128" s="9" t="s">
        <v>21</v>
      </c>
      <c r="F128" s="8">
        <f>(INT(Table_Kazakhstan[[#This Row],[Date]]) - DATE(1970, 1, 1)) * 86400000</f>
        <v>1726963200000</v>
      </c>
      <c r="G128">
        <f>'GMT Glossary'!$B$3</f>
        <v>6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21:30</v>
      </c>
    </row>
    <row r="129" spans="1:9" x14ac:dyDescent="0.25">
      <c r="A129" s="46">
        <v>45557</v>
      </c>
      <c r="B129" s="38">
        <v>0.6875</v>
      </c>
      <c r="C129" s="49" t="s">
        <v>8</v>
      </c>
      <c r="D129" s="61" t="s">
        <v>248</v>
      </c>
      <c r="E129" s="9" t="s">
        <v>72</v>
      </c>
      <c r="F129" s="8">
        <f>(INT(Table_Kazakhstan[[#This Row],[Date]]) - DATE(1970, 1, 1)) * 86400000</f>
        <v>1726963200000</v>
      </c>
      <c r="G129" s="10">
        <f>'GMT Glossary'!$B$3</f>
        <v>6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22:30</v>
      </c>
    </row>
    <row r="130" spans="1:9" x14ac:dyDescent="0.25">
      <c r="A130" s="63">
        <v>45557</v>
      </c>
      <c r="B130" s="88">
        <v>0.78125</v>
      </c>
      <c r="C130" s="86" t="s">
        <v>8</v>
      </c>
      <c r="D130" s="56" t="s">
        <v>218</v>
      </c>
      <c r="E130" s="9" t="s">
        <v>21</v>
      </c>
      <c r="F130" s="8">
        <f>(INT(Table_Kazakhstan[[#This Row],[Date]]) - DATE(1970, 1, 1)) * 86400000</f>
        <v>1726963200000</v>
      </c>
      <c r="G130" s="10">
        <f>'GMT Glossary'!$B$3</f>
        <v>6</v>
      </c>
      <c r="H130" s="2" t="str">
        <f>TEXT(IF(B130&lt;0, A130+1+((B130+(G130/24))-(INT(B130+(G130/24)))), A130+(B130+(G130/24))), "yyyy-mm-dd")</f>
        <v>2024-09-23</v>
      </c>
      <c r="I130" s="2" t="str">
        <f>TEXT(IF(B130&lt;0, A130+1+((B130+(G130/24))-(INT(B130+(G130/24)))), A130+(B130+(G130/24))), "hh:mm")</f>
        <v>00:45</v>
      </c>
    </row>
    <row r="131" spans="1:9" x14ac:dyDescent="0.25">
      <c r="A131" s="46">
        <v>45557</v>
      </c>
      <c r="B131" s="38">
        <v>0.78125</v>
      </c>
      <c r="C131" s="49" t="s">
        <v>8</v>
      </c>
      <c r="D131" s="61" t="s">
        <v>249</v>
      </c>
      <c r="E131" s="9" t="s">
        <v>72</v>
      </c>
      <c r="F131" s="8">
        <f>(INT(Table_Kazakhstan[[#This Row],[Date]]) - DATE(1970, 1, 1)) * 86400000</f>
        <v>1726963200000</v>
      </c>
      <c r="G131">
        <f>'GMT Glossary'!$B$3</f>
        <v>6</v>
      </c>
      <c r="H131" s="2" t="str">
        <f>TEXT(IF(B131&lt;0, A131+1+((B131+(G131/24))-(INT(B131+(G131/24)))), A131+(B131+(G131/24))), "yyyy-mm-dd")</f>
        <v>2024-09-23</v>
      </c>
      <c r="I131" s="2" t="str">
        <f>TEXT(IF(B131&lt;0, A131+1+((B131+(G131/24))-(INT(B131+(G131/24)))), A131+(B131+(G131/24))), "hh:mm")</f>
        <v>00:45</v>
      </c>
    </row>
    <row r="132" spans="1:9" x14ac:dyDescent="0.25">
      <c r="A132" s="63">
        <v>45557</v>
      </c>
      <c r="B132" s="88">
        <v>0.875</v>
      </c>
      <c r="C132" s="86" t="s">
        <v>8</v>
      </c>
      <c r="D132" s="58" t="s">
        <v>219</v>
      </c>
      <c r="E132" s="9" t="s">
        <v>21</v>
      </c>
      <c r="F132" s="8">
        <f>(INT(Table_Kazakhstan[[#This Row],[Date]]) - DATE(1970, 1, 1)) * 86400000</f>
        <v>1726963200000</v>
      </c>
      <c r="G132">
        <f>'GMT Glossary'!$B$3</f>
        <v>6</v>
      </c>
      <c r="H132" s="2" t="str">
        <f>TEXT(IF(B132&lt;0, A132+1+((B132+(G132/24))-(INT(B132+(G132/24)))), A132+(B132+(G132/24))), "yyyy-mm-dd")</f>
        <v>2024-09-23</v>
      </c>
      <c r="I132" s="2" t="str">
        <f>TEXT(IF(B132&lt;0, A132+1+((B132+(G132/24))-(INT(B132+(G132/24)))), A132+(B132+(G132/24))), "hh:mm")</f>
        <v>03:00</v>
      </c>
    </row>
    <row r="133" spans="1:9" x14ac:dyDescent="0.25">
      <c r="A133" s="46">
        <v>45557</v>
      </c>
      <c r="B133" s="38">
        <v>0.875</v>
      </c>
      <c r="C133" s="49" t="s">
        <v>8</v>
      </c>
      <c r="D133" s="55" t="s">
        <v>141</v>
      </c>
      <c r="E133" s="9" t="s">
        <v>72</v>
      </c>
      <c r="F133" s="8">
        <f>(INT(Table_Kazakhstan[[#This Row],[Date]]) - DATE(1970, 1, 1)) * 86400000</f>
        <v>1726963200000</v>
      </c>
      <c r="G133" s="10">
        <f>'GMT Glossary'!$B$3</f>
        <v>6</v>
      </c>
      <c r="H133" s="2" t="str">
        <f>TEXT(IF(B133&lt;0, A133+1+((B133+(G133/24))-(INT(B133+(G133/24)))), A133+(B133+(G133/24))), "yyyy-mm-dd")</f>
        <v>2024-09-23</v>
      </c>
      <c r="I133" s="2" t="str">
        <f>TEXT(IF(B133&lt;0, A133+1+((B133+(G133/24))-(INT(B133+(G133/24)))), A133+(B133+(G133/24))), "hh:mm")</f>
        <v>03:00</v>
      </c>
    </row>
    <row r="134" spans="1:9" x14ac:dyDescent="0.25">
      <c r="A134" s="63">
        <v>45557</v>
      </c>
      <c r="B134" s="88">
        <v>0.95833333333333337</v>
      </c>
      <c r="C134" s="86" t="s">
        <v>8</v>
      </c>
      <c r="D134" s="58" t="s">
        <v>220</v>
      </c>
      <c r="E134" s="9" t="s">
        <v>21</v>
      </c>
      <c r="F134" s="8">
        <f>(INT(Table_Kazakhstan[[#This Row],[Date]]) - DATE(1970, 1, 1)) * 86400000</f>
        <v>1726963200000</v>
      </c>
      <c r="G134" s="10">
        <f>'GMT Glossary'!$B$3</f>
        <v>6</v>
      </c>
      <c r="H134" s="2" t="str">
        <f>TEXT(IF(B134&lt;0, A134+1+((B134+(G134/24))-(INT(B134+(G134/24)))), A134+(B134+(G134/24))), "yyyy-mm-dd")</f>
        <v>2024-09-23</v>
      </c>
      <c r="I134" s="2" t="str">
        <f>TEXT(IF(B134&lt;0, A134+1+((B134+(G134/24))-(INT(B134+(G134/24)))), A134+(B134+(G134/24))), "hh:mm")</f>
        <v>05:00</v>
      </c>
    </row>
    <row r="135" spans="1:9" x14ac:dyDescent="0.25">
      <c r="A135" s="46">
        <v>45557</v>
      </c>
      <c r="B135" s="38">
        <v>0.97916666666666663</v>
      </c>
      <c r="C135" s="49" t="s">
        <v>398</v>
      </c>
      <c r="D135" s="55" t="s">
        <v>92</v>
      </c>
      <c r="E135" s="9" t="s">
        <v>72</v>
      </c>
      <c r="F135" s="8">
        <f>(INT(Table_Kazakhstan[[#This Row],[Date]]) - DATE(1970, 1, 1)) * 86400000</f>
        <v>1726963200000</v>
      </c>
      <c r="G135">
        <f>'GMT Glossary'!$B$3</f>
        <v>6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05:30</v>
      </c>
    </row>
    <row r="136" spans="1:9" x14ac:dyDescent="0.25">
      <c r="A136" s="63">
        <v>45558</v>
      </c>
      <c r="B136" s="88">
        <v>4.1666666666666664E-2</v>
      </c>
      <c r="C136" s="86" t="s">
        <v>8</v>
      </c>
      <c r="D136" s="58" t="s">
        <v>221</v>
      </c>
      <c r="E136" s="9" t="s">
        <v>21</v>
      </c>
      <c r="F136" s="8">
        <f>(INT(Table_Kazakhstan[[#This Row],[Date]]) - DATE(1970, 1, 1)) * 86400000</f>
        <v>1727049600000</v>
      </c>
      <c r="G136">
        <f>'GMT Glossary'!$B$3</f>
        <v>6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07:00</v>
      </c>
    </row>
    <row r="137" spans="1:9" x14ac:dyDescent="0.25">
      <c r="A137" s="46">
        <v>45558</v>
      </c>
      <c r="B137" s="38">
        <v>8.3333333333333329E-2</v>
      </c>
      <c r="C137" s="49" t="s">
        <v>401</v>
      </c>
      <c r="D137" s="58" t="s">
        <v>87</v>
      </c>
      <c r="E137" s="9" t="s">
        <v>72</v>
      </c>
      <c r="F137" s="8">
        <f>(INT(Table_Kazakhstan[[#This Row],[Date]]) - DATE(1970, 1, 1)) * 86400000</f>
        <v>1727049600000</v>
      </c>
      <c r="G137" s="10">
        <f>'GMT Glossary'!$B$3</f>
        <v>6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08:00</v>
      </c>
    </row>
    <row r="138" spans="1:9" x14ac:dyDescent="0.25">
      <c r="A138" s="63">
        <v>45558</v>
      </c>
      <c r="B138" s="88">
        <v>0.125</v>
      </c>
      <c r="C138" s="86" t="s">
        <v>8</v>
      </c>
      <c r="D138" s="58" t="s">
        <v>222</v>
      </c>
      <c r="E138" s="9" t="s">
        <v>21</v>
      </c>
      <c r="F138" s="8">
        <f>(INT(Table_Kazakhstan[[#This Row],[Date]]) - DATE(1970, 1, 1)) * 86400000</f>
        <v>1727049600000</v>
      </c>
      <c r="G138" s="10">
        <f>'GMT Glossary'!$B$3</f>
        <v>6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09:00</v>
      </c>
    </row>
    <row r="139" spans="1:9" x14ac:dyDescent="0.25">
      <c r="A139" s="63">
        <v>45558</v>
      </c>
      <c r="B139" s="88">
        <v>0.20833333333333334</v>
      </c>
      <c r="C139" s="86" t="s">
        <v>8</v>
      </c>
      <c r="D139" s="35" t="s">
        <v>223</v>
      </c>
      <c r="E139" s="9" t="s">
        <v>21</v>
      </c>
      <c r="F139" s="8">
        <f>(INT(Table_Kazakhstan[[#This Row],[Date]]) - DATE(1970, 1, 1)) * 86400000</f>
        <v>1727049600000</v>
      </c>
      <c r="G139" s="10">
        <f>'GMT Glossary'!$B$3</f>
        <v>6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11:00</v>
      </c>
    </row>
    <row r="140" spans="1:9" x14ac:dyDescent="0.25">
      <c r="A140" s="46">
        <v>45558</v>
      </c>
      <c r="B140" s="38">
        <v>0.20833333333333334</v>
      </c>
      <c r="C140" s="49" t="s">
        <v>8</v>
      </c>
      <c r="D140" s="58" t="s">
        <v>250</v>
      </c>
      <c r="E140" s="9" t="s">
        <v>72</v>
      </c>
      <c r="F140" s="8">
        <f>(INT(Table_Kazakhstan[[#This Row],[Date]]) - DATE(1970, 1, 1)) * 86400000</f>
        <v>1727049600000</v>
      </c>
      <c r="G140">
        <f>'GMT Glossary'!$B$3</f>
        <v>6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11:00</v>
      </c>
    </row>
    <row r="141" spans="1:9" x14ac:dyDescent="0.25">
      <c r="A141" s="63">
        <v>45558</v>
      </c>
      <c r="B141" s="88">
        <v>0.29166666666666669</v>
      </c>
      <c r="C141" s="86" t="s">
        <v>8</v>
      </c>
      <c r="D141" s="58" t="s">
        <v>219</v>
      </c>
      <c r="E141" s="9" t="s">
        <v>21</v>
      </c>
      <c r="F141" s="8">
        <f>(INT(Table_Kazakhstan[[#This Row],[Date]]) - DATE(1970, 1, 1)) * 86400000</f>
        <v>1727049600000</v>
      </c>
      <c r="G141">
        <f>'GMT Glossary'!$B$3</f>
        <v>6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13:00</v>
      </c>
    </row>
    <row r="142" spans="1:9" x14ac:dyDescent="0.25">
      <c r="A142" s="46">
        <v>45558</v>
      </c>
      <c r="B142" s="38">
        <v>0.29166666666666669</v>
      </c>
      <c r="C142" s="49" t="s">
        <v>8</v>
      </c>
      <c r="D142" s="35" t="s">
        <v>251</v>
      </c>
      <c r="E142" s="9" t="s">
        <v>72</v>
      </c>
      <c r="F142" s="8">
        <f>(INT(Table_Kazakhstan[[#This Row],[Date]]) - DATE(1970, 1, 1)) * 86400000</f>
        <v>1727049600000</v>
      </c>
      <c r="G142" s="10">
        <f>'GMT Glossary'!$B$3</f>
        <v>6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13:00</v>
      </c>
    </row>
    <row r="143" spans="1:9" x14ac:dyDescent="0.25">
      <c r="A143" s="63">
        <v>45558</v>
      </c>
      <c r="B143" s="88">
        <v>0.375</v>
      </c>
      <c r="C143" s="86" t="s">
        <v>8</v>
      </c>
      <c r="D143" s="58" t="s">
        <v>224</v>
      </c>
      <c r="E143" s="9" t="s">
        <v>21</v>
      </c>
      <c r="F143" s="8">
        <f>(INT(Table_Kazakhstan[[#This Row],[Date]]) - DATE(1970, 1, 1)) * 86400000</f>
        <v>1727049600000</v>
      </c>
      <c r="G143" s="10">
        <f>'GMT Glossary'!$B$3</f>
        <v>6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15:00</v>
      </c>
    </row>
    <row r="144" spans="1:9" x14ac:dyDescent="0.25">
      <c r="A144" s="46">
        <v>45558</v>
      </c>
      <c r="B144" s="38">
        <v>0.375</v>
      </c>
      <c r="C144" s="49" t="s">
        <v>8</v>
      </c>
      <c r="D144" s="55" t="s">
        <v>252</v>
      </c>
      <c r="E144" s="9" t="s">
        <v>72</v>
      </c>
      <c r="F144" s="8">
        <f>(INT(Table_Kazakhstan[[#This Row],[Date]]) - DATE(1970, 1, 1)) * 86400000</f>
        <v>1727049600000</v>
      </c>
      <c r="G144">
        <f>'GMT Glossary'!$B$3</f>
        <v>6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15:00</v>
      </c>
    </row>
    <row r="145" spans="1:9" x14ac:dyDescent="0.25">
      <c r="A145" s="63">
        <v>45558</v>
      </c>
      <c r="B145" s="88">
        <v>0.45833333333333331</v>
      </c>
      <c r="C145" s="86" t="s">
        <v>8</v>
      </c>
      <c r="D145" s="58" t="s">
        <v>225</v>
      </c>
      <c r="E145" s="9" t="s">
        <v>21</v>
      </c>
      <c r="F145" s="8">
        <f>(INT(Table_Kazakhstan[[#This Row],[Date]]) - DATE(1970, 1, 1)) * 86400000</f>
        <v>1727049600000</v>
      </c>
      <c r="G145">
        <f>'GMT Glossary'!$B$3</f>
        <v>6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17:00</v>
      </c>
    </row>
    <row r="146" spans="1:9" x14ac:dyDescent="0.25">
      <c r="A146" s="46">
        <v>45558</v>
      </c>
      <c r="B146" s="38">
        <v>0.45833333333333331</v>
      </c>
      <c r="C146" s="49" t="s">
        <v>402</v>
      </c>
      <c r="D146" s="55" t="s">
        <v>91</v>
      </c>
      <c r="E146" s="9" t="s">
        <v>72</v>
      </c>
      <c r="F146" s="8">
        <f>(INT(Table_Kazakhstan[[#This Row],[Date]]) - DATE(1970, 1, 1)) * 86400000</f>
        <v>1727049600000</v>
      </c>
      <c r="G146" s="10">
        <f>'GMT Glossary'!$B$3</f>
        <v>6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17:00</v>
      </c>
    </row>
    <row r="147" spans="1:9" x14ac:dyDescent="0.25">
      <c r="A147" s="63">
        <v>45558</v>
      </c>
      <c r="B147" s="88">
        <v>0.54166666666666663</v>
      </c>
      <c r="C147" s="86" t="s">
        <v>8</v>
      </c>
      <c r="D147" s="58" t="s">
        <v>226</v>
      </c>
      <c r="E147" s="9" t="s">
        <v>21</v>
      </c>
      <c r="F147" s="8">
        <f>(INT(Table_Kazakhstan[[#This Row],[Date]]) - DATE(1970, 1, 1)) * 86400000</f>
        <v>1727049600000</v>
      </c>
      <c r="G147" s="10">
        <f>'GMT Glossary'!$B$3</f>
        <v>6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19:00</v>
      </c>
    </row>
    <row r="148" spans="1:9" x14ac:dyDescent="0.25">
      <c r="A148" s="46">
        <v>45558</v>
      </c>
      <c r="B148" s="38">
        <v>0.54166666666666663</v>
      </c>
      <c r="C148" s="49" t="s">
        <v>398</v>
      </c>
      <c r="D148" s="58" t="s">
        <v>92</v>
      </c>
      <c r="E148" s="9" t="s">
        <v>72</v>
      </c>
      <c r="F148" s="8">
        <f>(INT(Table_Kazakhstan[[#This Row],[Date]]) - DATE(1970, 1, 1)) * 86400000</f>
        <v>1727049600000</v>
      </c>
      <c r="G148">
        <f>'GMT Glossary'!$B$3</f>
        <v>6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19:00</v>
      </c>
    </row>
    <row r="149" spans="1:9" x14ac:dyDescent="0.25">
      <c r="A149" s="63">
        <v>45558</v>
      </c>
      <c r="B149" s="88">
        <v>0.625</v>
      </c>
      <c r="C149" s="86" t="s">
        <v>8</v>
      </c>
      <c r="D149" s="58" t="s">
        <v>223</v>
      </c>
      <c r="E149" s="9" t="s">
        <v>21</v>
      </c>
      <c r="F149" s="8">
        <f>(INT(Table_Kazakhstan[[#This Row],[Date]]) - DATE(1970, 1, 1)) * 86400000</f>
        <v>1727049600000</v>
      </c>
      <c r="G149">
        <f>'GMT Glossary'!$B$3</f>
        <v>6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21:00</v>
      </c>
    </row>
    <row r="150" spans="1:9" x14ac:dyDescent="0.25">
      <c r="A150" s="46">
        <v>45558</v>
      </c>
      <c r="B150" s="38">
        <v>0.625</v>
      </c>
      <c r="C150" s="49" t="s">
        <v>8</v>
      </c>
      <c r="D150" s="53" t="s">
        <v>253</v>
      </c>
      <c r="E150" s="9" t="s">
        <v>72</v>
      </c>
      <c r="F150" s="8">
        <f>(INT(Table_Kazakhstan[[#This Row],[Date]]) - DATE(1970, 1, 1)) * 86400000</f>
        <v>1727049600000</v>
      </c>
      <c r="G150" s="10">
        <f>'GMT Glossary'!$B$3</f>
        <v>6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21:00</v>
      </c>
    </row>
    <row r="151" spans="1:9" x14ac:dyDescent="0.25">
      <c r="A151" s="63">
        <v>45558</v>
      </c>
      <c r="B151" s="88">
        <v>0.70833333333333337</v>
      </c>
      <c r="C151" s="86" t="s">
        <v>8</v>
      </c>
      <c r="D151" s="58" t="s">
        <v>221</v>
      </c>
      <c r="E151" s="9" t="s">
        <v>21</v>
      </c>
      <c r="F151" s="8">
        <f>(INT(Table_Kazakhstan[[#This Row],[Date]]) - DATE(1970, 1, 1)) * 86400000</f>
        <v>1727049600000</v>
      </c>
      <c r="G151">
        <f>'GMT Glossary'!$B$3</f>
        <v>6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23:00</v>
      </c>
    </row>
    <row r="152" spans="1:9" x14ac:dyDescent="0.25">
      <c r="A152" s="46">
        <v>45558</v>
      </c>
      <c r="B152" s="38">
        <v>0.70833333333333337</v>
      </c>
      <c r="C152" s="49" t="s">
        <v>8</v>
      </c>
      <c r="D152" s="55" t="s">
        <v>254</v>
      </c>
      <c r="E152" s="9" t="s">
        <v>72</v>
      </c>
      <c r="F152" s="8">
        <f>(INT(Table_Kazakhstan[[#This Row],[Date]]) - DATE(1970, 1, 1)) * 86400000</f>
        <v>1727049600000</v>
      </c>
      <c r="G152">
        <f>'GMT Glossary'!$B$3</f>
        <v>6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23:00</v>
      </c>
    </row>
    <row r="153" spans="1:9" x14ac:dyDescent="0.25">
      <c r="A153" s="63">
        <v>45558</v>
      </c>
      <c r="B153" s="88">
        <v>0.78125</v>
      </c>
      <c r="C153" s="86" t="s">
        <v>8</v>
      </c>
      <c r="D153" s="56" t="s">
        <v>227</v>
      </c>
      <c r="E153" s="9" t="s">
        <v>21</v>
      </c>
      <c r="F153" s="8">
        <f>(INT(Table_Kazakhstan[[#This Row],[Date]]) - DATE(1970, 1, 1)) * 86400000</f>
        <v>1727049600000</v>
      </c>
      <c r="G153" s="10">
        <f>'GMT Glossary'!$B$3</f>
        <v>6</v>
      </c>
      <c r="H153" s="2" t="str">
        <f>TEXT(IF(B153&lt;0, A153+1+((B153+(G153/24))-(INT(B153+(G153/24)))), A153+(B153+(G153/24))), "yyyy-mm-dd")</f>
        <v>2024-09-24</v>
      </c>
      <c r="I153" s="2" t="str">
        <f>TEXT(IF(B153&lt;0, A153+1+((B153+(G153/24))-(INT(B153+(G153/24)))), A153+(B153+(G153/24))), "hh:mm")</f>
        <v>00:45</v>
      </c>
    </row>
    <row r="154" spans="1:9" x14ac:dyDescent="0.25">
      <c r="A154" s="46">
        <v>45558</v>
      </c>
      <c r="B154" s="38">
        <v>0.79166666666666663</v>
      </c>
      <c r="C154" s="49" t="s">
        <v>8</v>
      </c>
      <c r="D154" s="55" t="s">
        <v>141</v>
      </c>
      <c r="E154" s="9" t="s">
        <v>72</v>
      </c>
      <c r="F154" s="8">
        <f>(INT(Table_Kazakhstan[[#This Row],[Date]]) - DATE(1970, 1, 1)) * 86400000</f>
        <v>1727049600000</v>
      </c>
      <c r="G154" s="10">
        <f>'GMT Glossary'!$B$3</f>
        <v>6</v>
      </c>
      <c r="H154" s="2" t="str">
        <f>TEXT(IF(B154&lt;0, A154+1+((B154+(G154/24))-(INT(B154+(G154/24)))), A154+(B154+(G154/24))), "yyyy-mm-dd")</f>
        <v>2024-09-24</v>
      </c>
      <c r="I154" s="2" t="str">
        <f>TEXT(IF(B154&lt;0, A154+1+((B154+(G154/24))-(INT(B154+(G154/24)))), A154+(B154+(G154/24))), "hh:mm")</f>
        <v>01:00</v>
      </c>
    </row>
    <row r="155" spans="1:9" x14ac:dyDescent="0.25">
      <c r="A155" s="63">
        <v>45558</v>
      </c>
      <c r="B155" s="88">
        <v>0.875</v>
      </c>
      <c r="C155" s="86" t="s">
        <v>8</v>
      </c>
      <c r="D155" s="58" t="s">
        <v>225</v>
      </c>
      <c r="E155" s="9" t="s">
        <v>21</v>
      </c>
      <c r="F155" s="8">
        <f>(INT(Table_Kazakhstan[[#This Row],[Date]]) - DATE(1970, 1, 1)) * 86400000</f>
        <v>1727049600000</v>
      </c>
      <c r="G155">
        <f>'GMT Glossary'!$B$3</f>
        <v>6</v>
      </c>
      <c r="H155" s="2" t="str">
        <f>TEXT(IF(B155&lt;0, A155+1+((B155+(G155/24))-(INT(B155+(G155/24)))), A155+(B155+(G155/24))), "yyyy-mm-dd")</f>
        <v>2024-09-24</v>
      </c>
      <c r="I155" s="2" t="str">
        <f>TEXT(IF(B155&lt;0, A155+1+((B155+(G155/24))-(INT(B155+(G155/24)))), A155+(B155+(G155/24))), "hh:mm")</f>
        <v>03:00</v>
      </c>
    </row>
    <row r="156" spans="1:9" x14ac:dyDescent="0.25">
      <c r="A156" s="46">
        <v>45558</v>
      </c>
      <c r="B156" s="38">
        <v>0.875</v>
      </c>
      <c r="C156" s="49" t="s">
        <v>8</v>
      </c>
      <c r="D156" s="53" t="s">
        <v>139</v>
      </c>
      <c r="E156" s="9" t="s">
        <v>72</v>
      </c>
      <c r="F156" s="8">
        <f>(INT(Table_Kazakhstan[[#This Row],[Date]]) - DATE(1970, 1, 1)) * 86400000</f>
        <v>1727049600000</v>
      </c>
      <c r="G156">
        <f>'GMT Glossary'!$B$3</f>
        <v>6</v>
      </c>
      <c r="H156" s="2" t="str">
        <f>TEXT(IF(B156&lt;0, A156+1+((B156+(G156/24))-(INT(B156+(G156/24)))), A156+(B156+(G156/24))), "yyyy-mm-dd")</f>
        <v>2024-09-24</v>
      </c>
      <c r="I156" s="2" t="str">
        <f>TEXT(IF(B156&lt;0, A156+1+((B156+(G156/24))-(INT(B156+(G156/24)))), A156+(B156+(G156/24))), "hh:mm")</f>
        <v>03:00</v>
      </c>
    </row>
    <row r="157" spans="1:9" x14ac:dyDescent="0.25">
      <c r="A157" s="63">
        <v>45558</v>
      </c>
      <c r="B157" s="88">
        <v>0.95833333333333337</v>
      </c>
      <c r="C157" s="86" t="s">
        <v>8</v>
      </c>
      <c r="D157" s="35" t="s">
        <v>228</v>
      </c>
      <c r="E157" s="9" t="s">
        <v>21</v>
      </c>
      <c r="F157" s="8">
        <f>(INT(Table_Kazakhstan[[#This Row],[Date]]) - DATE(1970, 1, 1)) * 86400000</f>
        <v>1727049600000</v>
      </c>
      <c r="G157" s="10">
        <f>'GMT Glossary'!$B$3</f>
        <v>6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05:00</v>
      </c>
    </row>
    <row r="158" spans="1:9" x14ac:dyDescent="0.25">
      <c r="A158" s="46">
        <v>45558</v>
      </c>
      <c r="B158" s="38">
        <v>0.95833333333333337</v>
      </c>
      <c r="C158" s="49" t="s">
        <v>401</v>
      </c>
      <c r="D158" s="58" t="s">
        <v>87</v>
      </c>
      <c r="E158" s="9" t="s">
        <v>72</v>
      </c>
      <c r="F158" s="8">
        <f>(INT(Table_Kazakhstan[[#This Row],[Date]]) - DATE(1970, 1, 1)) * 86400000</f>
        <v>1727049600000</v>
      </c>
      <c r="G158">
        <f>'GMT Glossary'!$B$3</f>
        <v>6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05:00</v>
      </c>
    </row>
    <row r="159" spans="1:9" x14ac:dyDescent="0.25">
      <c r="A159" s="63">
        <v>45559</v>
      </c>
      <c r="B159" s="88">
        <v>4.1666666666666664E-2</v>
      </c>
      <c r="C159" s="86" t="s">
        <v>8</v>
      </c>
      <c r="D159" s="58" t="s">
        <v>224</v>
      </c>
      <c r="E159" s="9" t="s">
        <v>21</v>
      </c>
      <c r="F159" s="8">
        <f>(INT(Table_Kazakhstan[[#This Row],[Date]]) - DATE(1970, 1, 1)) * 86400000</f>
        <v>1727136000000</v>
      </c>
      <c r="G159">
        <f>'GMT Glossary'!$B$3</f>
        <v>6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07:00</v>
      </c>
    </row>
    <row r="160" spans="1:9" x14ac:dyDescent="0.25">
      <c r="A160" s="46">
        <v>45559</v>
      </c>
      <c r="B160" s="38">
        <v>8.3333333333333329E-2</v>
      </c>
      <c r="C160" s="49" t="s">
        <v>402</v>
      </c>
      <c r="D160" s="53" t="s">
        <v>91</v>
      </c>
      <c r="E160" s="9" t="s">
        <v>72</v>
      </c>
      <c r="F160" s="8">
        <f>(INT(Table_Kazakhstan[[#This Row],[Date]]) - DATE(1970, 1, 1)) * 86400000</f>
        <v>1727136000000</v>
      </c>
      <c r="G160" s="10">
        <f>'GMT Glossary'!$B$3</f>
        <v>6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08:00</v>
      </c>
    </row>
    <row r="161" spans="1:9" x14ac:dyDescent="0.25">
      <c r="A161" s="63">
        <v>45559</v>
      </c>
      <c r="B161" s="88">
        <v>0.125</v>
      </c>
      <c r="C161" s="86" t="s">
        <v>8</v>
      </c>
      <c r="D161" s="58" t="s">
        <v>220</v>
      </c>
      <c r="E161" s="9" t="s">
        <v>21</v>
      </c>
      <c r="F161" s="8">
        <f>(INT(Table_Kazakhstan[[#This Row],[Date]]) - DATE(1970, 1, 1)) * 86400000</f>
        <v>1727136000000</v>
      </c>
      <c r="G161">
        <f>'GMT Glossary'!$B$3</f>
        <v>6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09:00</v>
      </c>
    </row>
    <row r="162" spans="1:9" x14ac:dyDescent="0.25">
      <c r="A162" s="63">
        <v>45559</v>
      </c>
      <c r="B162" s="88">
        <v>0.20833333333333334</v>
      </c>
      <c r="C162" s="86" t="s">
        <v>8</v>
      </c>
      <c r="D162" s="35" t="s">
        <v>222</v>
      </c>
      <c r="E162" s="9" t="s">
        <v>21</v>
      </c>
      <c r="F162" s="8">
        <f>(INT(Table_Kazakhstan[[#This Row],[Date]]) - DATE(1970, 1, 1)) * 86400000</f>
        <v>1727136000000</v>
      </c>
      <c r="G162" s="10">
        <f>'GMT Glossary'!$B$3</f>
        <v>6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11:00</v>
      </c>
    </row>
    <row r="163" spans="1:9" x14ac:dyDescent="0.25">
      <c r="A163" s="46">
        <v>45559</v>
      </c>
      <c r="B163" s="38">
        <v>0.20833333333333334</v>
      </c>
      <c r="C163" s="49" t="s">
        <v>398</v>
      </c>
      <c r="D163" s="58" t="s">
        <v>92</v>
      </c>
      <c r="E163" s="9" t="s">
        <v>72</v>
      </c>
      <c r="F163" s="8">
        <f>(INT(Table_Kazakhstan[[#This Row],[Date]]) - DATE(1970, 1, 1)) * 86400000</f>
        <v>1727136000000</v>
      </c>
      <c r="G163" s="10">
        <f>'GMT Glossary'!$B$3</f>
        <v>6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11:00</v>
      </c>
    </row>
    <row r="164" spans="1:9" x14ac:dyDescent="0.25">
      <c r="A164" s="63">
        <v>45559</v>
      </c>
      <c r="B164" s="88">
        <v>0.29166666666666669</v>
      </c>
      <c r="C164" s="86" t="s">
        <v>8</v>
      </c>
      <c r="D164" s="35" t="s">
        <v>219</v>
      </c>
      <c r="E164" s="9" t="s">
        <v>21</v>
      </c>
      <c r="F164" s="8">
        <f>(INT(Table_Kazakhstan[[#This Row],[Date]]) - DATE(1970, 1, 1)) * 86400000</f>
        <v>1727136000000</v>
      </c>
      <c r="G164">
        <f>'GMT Glossary'!$B$3</f>
        <v>6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13:00</v>
      </c>
    </row>
    <row r="165" spans="1:9" x14ac:dyDescent="0.25">
      <c r="A165" s="39">
        <v>45559</v>
      </c>
      <c r="B165" s="57">
        <v>0.29166666666666669</v>
      </c>
      <c r="C165" s="48" t="s">
        <v>8</v>
      </c>
      <c r="D165" s="54" t="s">
        <v>252</v>
      </c>
      <c r="E165" s="9" t="s">
        <v>72</v>
      </c>
      <c r="F165" s="21">
        <f>(INT(Table_Kazakhstan[[#This Row],[Date]]) - DATE(1970, 1, 1)) * 86400000</f>
        <v>1727136000000</v>
      </c>
      <c r="G165" s="12">
        <f>'GMT Glossary'!$B$3</f>
        <v>6</v>
      </c>
      <c r="H165" s="18" t="str">
        <f>TEXT(IF(B165&lt;0, A165+1+((B165+(G165/24))-(INT(B165+(G165/24)))), A165+(B165+(G165/24))), "yyyy-mm-dd")</f>
        <v>2024-09-24</v>
      </c>
      <c r="I165" s="18" t="str">
        <f>TEXT(IF(B165&lt;0, A165+1+((B165+(G165/24))-(INT(B165+(G165/24)))), A165+(B165+(G165/24))), "hh:mm")</f>
        <v>13:00</v>
      </c>
    </row>
  </sheetData>
  <sortState ref="A2:I165">
    <sortCondition ref="A2:A165"/>
    <sortCondition ref="B2:B165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37D-3BBE-44F4-A510-88FE22114220}">
  <sheetPr codeName="Sheet8"/>
  <dimension ref="A1:I167"/>
  <sheetViews>
    <sheetView topLeftCell="A62" workbookViewId="0">
      <selection activeCell="G164" sqref="G164"/>
    </sheetView>
  </sheetViews>
  <sheetFormatPr defaultRowHeight="15" customHeight="1" x14ac:dyDescent="0.25"/>
  <cols>
    <col min="2" max="2" width="18.140625" customWidth="1"/>
    <col min="3" max="3" width="33" customWidth="1"/>
    <col min="4" max="4" width="71.7109375" bestFit="1" customWidth="1"/>
    <col min="5" max="5" width="47.5703125" bestFit="1" customWidth="1"/>
    <col min="6" max="6" width="29.28515625" style="8" customWidth="1"/>
    <col min="7" max="7" width="24" customWidth="1"/>
    <col min="8" max="8" width="28.5703125" customWidth="1"/>
    <col min="9" max="9" width="41.4257812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s="1" t="s">
        <v>7</v>
      </c>
    </row>
    <row r="2" spans="1:9" x14ac:dyDescent="0.25">
      <c r="A2" s="77">
        <v>45552</v>
      </c>
      <c r="B2" s="71">
        <v>0.375</v>
      </c>
      <c r="C2" s="80" t="s">
        <v>8</v>
      </c>
      <c r="D2" s="85" t="s">
        <v>73</v>
      </c>
      <c r="E2" s="9" t="s">
        <v>22</v>
      </c>
      <c r="F2" s="8">
        <f>(INT(Table_Ukraine[[#This Row],[Date]]) - DATE(1970, 1, 1)) * 86400000</f>
        <v>1726531200000</v>
      </c>
      <c r="G2">
        <f>'GMT Glossary'!$B$8</f>
        <v>3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12:00</v>
      </c>
    </row>
    <row r="3" spans="1:9" x14ac:dyDescent="0.25">
      <c r="A3" s="92">
        <v>45552</v>
      </c>
      <c r="B3" s="91">
        <v>0.375</v>
      </c>
      <c r="C3" s="89" t="s">
        <v>402</v>
      </c>
      <c r="D3" s="90" t="s">
        <v>98</v>
      </c>
      <c r="E3" s="9" t="s">
        <v>111</v>
      </c>
      <c r="F3" s="8">
        <f>(INT(Table_Ukraine[[#This Row],[Date]]) - DATE(1970, 1, 1)) * 86400000</f>
        <v>1726531200000</v>
      </c>
      <c r="G3" s="10">
        <f>'GMT Glossary'!$B$8</f>
        <v>3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12:00</v>
      </c>
    </row>
    <row r="4" spans="1:9" x14ac:dyDescent="0.25">
      <c r="A4" s="77">
        <v>45552</v>
      </c>
      <c r="B4" s="71">
        <v>0.45833333333333331</v>
      </c>
      <c r="C4" s="80" t="s">
        <v>8</v>
      </c>
      <c r="D4" s="85" t="s">
        <v>277</v>
      </c>
      <c r="E4" s="9" t="s">
        <v>22</v>
      </c>
      <c r="F4" s="8">
        <f>(INT(Table_Ukraine[[#This Row],[Date]]) - DATE(1970, 1, 1)) * 86400000</f>
        <v>1726531200000</v>
      </c>
      <c r="G4" s="10">
        <f>'GMT Glossary'!$B$8</f>
        <v>3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14:00</v>
      </c>
    </row>
    <row r="5" spans="1:9" x14ac:dyDescent="0.25">
      <c r="A5" s="92">
        <v>45552</v>
      </c>
      <c r="B5" s="91">
        <v>0.45833333333333331</v>
      </c>
      <c r="C5" s="89" t="s">
        <v>8</v>
      </c>
      <c r="D5" s="90" t="s">
        <v>33</v>
      </c>
      <c r="E5" s="9" t="s">
        <v>111</v>
      </c>
      <c r="F5" s="8">
        <f>(INT(Table_Ukraine[[#This Row],[Date]]) - DATE(1970, 1, 1)) * 86400000</f>
        <v>1726531200000</v>
      </c>
      <c r="G5" s="10">
        <f>'GMT Glossary'!$B$8</f>
        <v>3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14:00</v>
      </c>
    </row>
    <row r="6" spans="1:9" x14ac:dyDescent="0.25">
      <c r="A6" s="77">
        <v>45552</v>
      </c>
      <c r="B6" s="71">
        <v>0.54166666666666663</v>
      </c>
      <c r="C6" s="80" t="s">
        <v>8</v>
      </c>
      <c r="D6" s="85" t="s">
        <v>74</v>
      </c>
      <c r="E6" s="9" t="s">
        <v>22</v>
      </c>
      <c r="F6" s="8">
        <f>(INT(Table_Ukraine[[#This Row],[Date]]) - DATE(1970, 1, 1)) * 86400000</f>
        <v>1726531200000</v>
      </c>
      <c r="G6">
        <f>'GMT Glossary'!$B$8</f>
        <v>3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16:00</v>
      </c>
    </row>
    <row r="7" spans="1:9" x14ac:dyDescent="0.25">
      <c r="A7" s="92">
        <v>45552</v>
      </c>
      <c r="B7" s="91">
        <v>0.54166666666666663</v>
      </c>
      <c r="C7" s="89" t="s">
        <v>8</v>
      </c>
      <c r="D7" s="90" t="s">
        <v>110</v>
      </c>
      <c r="E7" s="9" t="s">
        <v>111</v>
      </c>
      <c r="F7" s="8">
        <f>(INT(Table_Ukraine[[#This Row],[Date]]) - DATE(1970, 1, 1)) * 86400000</f>
        <v>1726531200000</v>
      </c>
      <c r="G7" s="10">
        <f>'GMT Glossary'!$B$8</f>
        <v>3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16:00</v>
      </c>
    </row>
    <row r="8" spans="1:9" x14ac:dyDescent="0.25">
      <c r="A8" s="77">
        <v>45552</v>
      </c>
      <c r="B8" s="71">
        <v>0.625</v>
      </c>
      <c r="C8" s="80" t="s">
        <v>8</v>
      </c>
      <c r="D8" s="85" t="s">
        <v>95</v>
      </c>
      <c r="E8" s="9" t="s">
        <v>22</v>
      </c>
      <c r="F8" s="8">
        <f>(INT(Table_Ukraine[[#This Row],[Date]]) - DATE(1970, 1, 1)) * 86400000</f>
        <v>1726531200000</v>
      </c>
      <c r="G8" s="10">
        <f>'GMT Glossary'!$B$8</f>
        <v>3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18:00</v>
      </c>
    </row>
    <row r="9" spans="1:9" ht="14.25" customHeight="1" x14ac:dyDescent="0.25">
      <c r="A9" s="92">
        <v>45552</v>
      </c>
      <c r="B9" s="91">
        <v>0.625</v>
      </c>
      <c r="C9" s="89" t="s">
        <v>8</v>
      </c>
      <c r="D9" s="90" t="s">
        <v>65</v>
      </c>
      <c r="E9" s="9" t="s">
        <v>111</v>
      </c>
      <c r="F9" s="8">
        <f>(INT(Table_Ukraine[[#This Row],[Date]]) - DATE(1970, 1, 1)) * 86400000</f>
        <v>1726531200000</v>
      </c>
      <c r="G9" s="10">
        <f>'GMT Glossary'!$B$8</f>
        <v>3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18:00</v>
      </c>
    </row>
    <row r="10" spans="1:9" x14ac:dyDescent="0.25">
      <c r="A10" s="77">
        <v>45552</v>
      </c>
      <c r="B10" s="71">
        <v>0.70833333333333337</v>
      </c>
      <c r="C10" s="80" t="s">
        <v>8</v>
      </c>
      <c r="D10" s="85" t="s">
        <v>200</v>
      </c>
      <c r="E10" s="9" t="s">
        <v>22</v>
      </c>
      <c r="F10" s="8">
        <f>(INT(Table_Ukraine[[#This Row],[Date]]) - DATE(1970, 1, 1)) * 86400000</f>
        <v>1726531200000</v>
      </c>
      <c r="G10">
        <f>'GMT Glossary'!$B$8</f>
        <v>3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20:00</v>
      </c>
    </row>
    <row r="11" spans="1:9" x14ac:dyDescent="0.25">
      <c r="A11" s="92">
        <v>45552</v>
      </c>
      <c r="B11" s="91">
        <v>0.70833333333333337</v>
      </c>
      <c r="C11" s="89" t="s">
        <v>8</v>
      </c>
      <c r="D11" s="90" t="s">
        <v>369</v>
      </c>
      <c r="E11" s="9" t="s">
        <v>111</v>
      </c>
      <c r="F11" s="8">
        <f>(INT(Table_Ukraine[[#This Row],[Date]]) - DATE(1970, 1, 1)) * 86400000</f>
        <v>1726531200000</v>
      </c>
      <c r="G11" s="10">
        <f>'GMT Glossary'!$B$8</f>
        <v>3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20:00</v>
      </c>
    </row>
    <row r="12" spans="1:9" x14ac:dyDescent="0.25">
      <c r="A12" s="77">
        <v>45552</v>
      </c>
      <c r="B12" s="71">
        <v>0.75</v>
      </c>
      <c r="C12" s="80" t="s">
        <v>8</v>
      </c>
      <c r="D12" s="85" t="s">
        <v>99</v>
      </c>
      <c r="E12" s="9" t="s">
        <v>22</v>
      </c>
      <c r="F12" s="8">
        <f>(INT(Table_Ukraine[[#This Row],[Date]]) - DATE(1970, 1, 1)) * 86400000</f>
        <v>1726531200000</v>
      </c>
      <c r="G12" s="10">
        <f>'GMT Glossary'!$B$8</f>
        <v>3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21:00</v>
      </c>
    </row>
    <row r="13" spans="1:9" x14ac:dyDescent="0.25">
      <c r="A13" s="92">
        <v>45552</v>
      </c>
      <c r="B13" s="91">
        <v>0.78125</v>
      </c>
      <c r="C13" s="89" t="s">
        <v>8</v>
      </c>
      <c r="D13" s="87" t="s">
        <v>370</v>
      </c>
      <c r="E13" s="9" t="s">
        <v>111</v>
      </c>
      <c r="F13" s="8">
        <f>(INT(Table_Ukraine[[#This Row],[Date]]) - DATE(1970, 1, 1)) * 86400000</f>
        <v>1726531200000</v>
      </c>
      <c r="G13" s="10">
        <f>'GMT Glossary'!$B$8</f>
        <v>3</v>
      </c>
      <c r="H13" s="2" t="str">
        <f>TEXT(IF(B13&lt;0, A13+1+((B13+(G13/24))-(INT(B13+(G13/24)))), A13+(B13+(G13/24))), "yyyy-mm-dd")</f>
        <v>2024-09-17</v>
      </c>
      <c r="I13" s="2" t="str">
        <f>TEXT(IF(B13&lt;0, A13+1+((B13+(G13/24))-(INT(B13+(G13/24)))), A13+(B13+(G13/24))), "hh:mm")</f>
        <v>21:45</v>
      </c>
    </row>
    <row r="14" spans="1:9" x14ac:dyDescent="0.25">
      <c r="A14" s="77">
        <v>45552</v>
      </c>
      <c r="B14" s="71">
        <v>0.79166666666666663</v>
      </c>
      <c r="C14" s="80" t="s">
        <v>8</v>
      </c>
      <c r="D14" s="83" t="s">
        <v>352</v>
      </c>
      <c r="E14" s="9" t="s">
        <v>22</v>
      </c>
      <c r="F14" s="8">
        <f>(INT(Table_Ukraine[[#This Row],[Date]]) - DATE(1970, 1, 1)) * 86400000</f>
        <v>1726531200000</v>
      </c>
      <c r="G14">
        <f>'GMT Glossary'!$B$8</f>
        <v>3</v>
      </c>
      <c r="H14" s="2" t="str">
        <f>TEXT(IF(B14&lt;0, A14+1+((B14+(G14/24))-(INT(B14+(G14/24)))), A14+(B14+(G14/24))), "yyyy-mm-dd")</f>
        <v>2024-09-17</v>
      </c>
      <c r="I14" s="2" t="str">
        <f>TEXT(IF(B14&lt;0, A14+1+((B14+(G14/24))-(INT(B14+(G14/24)))), A14+(B14+(G14/24))), "hh:mm")</f>
        <v>22:00</v>
      </c>
    </row>
    <row r="15" spans="1:9" x14ac:dyDescent="0.25">
      <c r="A15" s="77">
        <v>45552</v>
      </c>
      <c r="B15" s="71">
        <v>0.875</v>
      </c>
      <c r="C15" s="80" t="s">
        <v>8</v>
      </c>
      <c r="D15" s="85" t="s">
        <v>77</v>
      </c>
      <c r="E15" s="9" t="s">
        <v>22</v>
      </c>
      <c r="F15" s="8">
        <f>(INT(Table_Ukraine[[#This Row],[Date]]) - DATE(1970, 1, 1)) * 86400000</f>
        <v>1726531200000</v>
      </c>
      <c r="G15" s="10">
        <f>'GMT Glossary'!$B$8</f>
        <v>3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00:00</v>
      </c>
    </row>
    <row r="16" spans="1:9" x14ac:dyDescent="0.25">
      <c r="A16" s="92">
        <v>45552</v>
      </c>
      <c r="B16" s="91">
        <v>0.875</v>
      </c>
      <c r="C16" s="89" t="s">
        <v>398</v>
      </c>
      <c r="D16" s="90" t="s">
        <v>367</v>
      </c>
      <c r="E16" s="9" t="s">
        <v>111</v>
      </c>
      <c r="F16" s="8">
        <f>(INT(Table_Ukraine[[#This Row],[Date]]) - DATE(1970, 1, 1)) * 86400000</f>
        <v>1726531200000</v>
      </c>
      <c r="G16" s="10">
        <f>'GMT Glossary'!$B$8</f>
        <v>3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00:00</v>
      </c>
    </row>
    <row r="17" spans="1:9" x14ac:dyDescent="0.25">
      <c r="A17" s="77">
        <v>45552</v>
      </c>
      <c r="B17" s="71">
        <v>0.95833333333333337</v>
      </c>
      <c r="C17" s="80" t="s">
        <v>8</v>
      </c>
      <c r="D17" s="85" t="s">
        <v>79</v>
      </c>
      <c r="E17" s="9" t="s">
        <v>22</v>
      </c>
      <c r="F17" s="8">
        <f>(INT(Table_Ukraine[[#This Row],[Date]]) - DATE(1970, 1, 1)) * 86400000</f>
        <v>1726531200000</v>
      </c>
      <c r="G17">
        <f>'GMT Glossary'!$B$8</f>
        <v>3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02:00</v>
      </c>
    </row>
    <row r="18" spans="1:9" x14ac:dyDescent="0.25">
      <c r="A18" s="92">
        <v>45553</v>
      </c>
      <c r="B18" s="91">
        <v>0</v>
      </c>
      <c r="C18" s="89" t="s">
        <v>8</v>
      </c>
      <c r="D18" s="90" t="s">
        <v>107</v>
      </c>
      <c r="E18" s="9" t="s">
        <v>111</v>
      </c>
      <c r="F18" s="8">
        <f>(INT(Table_Ukraine[[#This Row],[Date]]) - DATE(1970, 1, 1)) * 86400000</f>
        <v>1726617600000</v>
      </c>
      <c r="G18" s="10">
        <f>'GMT Glossary'!$B$8</f>
        <v>3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03:00</v>
      </c>
    </row>
    <row r="19" spans="1:9" x14ac:dyDescent="0.25">
      <c r="A19" s="77">
        <v>45553</v>
      </c>
      <c r="B19" s="71">
        <v>4.1666666666666664E-2</v>
      </c>
      <c r="C19" s="80" t="s">
        <v>8</v>
      </c>
      <c r="D19" s="85" t="s">
        <v>78</v>
      </c>
      <c r="E19" s="9" t="s">
        <v>22</v>
      </c>
      <c r="F19" s="8">
        <f>(INT(Table_Ukraine[[#This Row],[Date]]) - DATE(1970, 1, 1)) * 86400000</f>
        <v>1726617600000</v>
      </c>
      <c r="G19" s="10">
        <f>'GMT Glossary'!$B$8</f>
        <v>3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04:00</v>
      </c>
    </row>
    <row r="20" spans="1:9" x14ac:dyDescent="0.25">
      <c r="A20" s="92">
        <v>45553</v>
      </c>
      <c r="B20" s="91">
        <v>8.3333333333333329E-2</v>
      </c>
      <c r="C20" s="89" t="s">
        <v>8</v>
      </c>
      <c r="D20" s="90" t="s">
        <v>108</v>
      </c>
      <c r="E20" s="9" t="s">
        <v>111</v>
      </c>
      <c r="F20" s="8">
        <f>(INT(Table_Ukraine[[#This Row],[Date]]) - DATE(1970, 1, 1)) * 86400000</f>
        <v>1726617600000</v>
      </c>
      <c r="G20" s="10">
        <f>'GMT Glossary'!$B$8</f>
        <v>3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05:00</v>
      </c>
    </row>
    <row r="21" spans="1:9" x14ac:dyDescent="0.25">
      <c r="A21" s="77">
        <v>45553</v>
      </c>
      <c r="B21" s="71">
        <v>0.125</v>
      </c>
      <c r="C21" s="80" t="s">
        <v>8</v>
      </c>
      <c r="D21" s="85" t="s">
        <v>73</v>
      </c>
      <c r="E21" s="9" t="s">
        <v>22</v>
      </c>
      <c r="F21" s="8">
        <f>(INT(Table_Ukraine[[#This Row],[Date]]) - DATE(1970, 1, 1)) * 86400000</f>
        <v>1726617600000</v>
      </c>
      <c r="G21">
        <f>'GMT Glossary'!$B$8</f>
        <v>3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06:00</v>
      </c>
    </row>
    <row r="22" spans="1:9" x14ac:dyDescent="0.25">
      <c r="A22" s="92">
        <v>45553</v>
      </c>
      <c r="B22" s="91">
        <v>0.16666666666666666</v>
      </c>
      <c r="C22" s="89" t="s">
        <v>8</v>
      </c>
      <c r="D22" s="90" t="s">
        <v>103</v>
      </c>
      <c r="E22" s="9" t="s">
        <v>111</v>
      </c>
      <c r="F22" s="8">
        <f>(INT(Table_Ukraine[[#This Row],[Date]]) - DATE(1970, 1, 1)) * 86400000</f>
        <v>1726617600000</v>
      </c>
      <c r="G22" s="10">
        <f>'GMT Glossary'!$B$8</f>
        <v>3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07:00</v>
      </c>
    </row>
    <row r="23" spans="1:9" x14ac:dyDescent="0.25">
      <c r="A23" s="77">
        <v>45553</v>
      </c>
      <c r="B23" s="71">
        <v>0.20833333333333334</v>
      </c>
      <c r="C23" s="80" t="s">
        <v>8</v>
      </c>
      <c r="D23" s="85" t="s">
        <v>277</v>
      </c>
      <c r="E23" s="9" t="s">
        <v>22</v>
      </c>
      <c r="F23" s="8">
        <f>(INT(Table_Ukraine[[#This Row],[Date]]) - DATE(1970, 1, 1)) * 86400000</f>
        <v>1726617600000</v>
      </c>
      <c r="G23" s="10">
        <f>'GMT Glossary'!$B$8</f>
        <v>3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08:00</v>
      </c>
    </row>
    <row r="24" spans="1:9" x14ac:dyDescent="0.25">
      <c r="A24" s="92">
        <v>45553</v>
      </c>
      <c r="B24" s="91">
        <v>0.25</v>
      </c>
      <c r="C24" s="89" t="s">
        <v>8</v>
      </c>
      <c r="D24" s="90" t="s">
        <v>371</v>
      </c>
      <c r="E24" s="9" t="s">
        <v>111</v>
      </c>
      <c r="F24" s="8">
        <f>(INT(Table_Ukraine[[#This Row],[Date]]) - DATE(1970, 1, 1)) * 86400000</f>
        <v>1726617600000</v>
      </c>
      <c r="G24" s="10">
        <f>'GMT Glossary'!$B$8</f>
        <v>3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09:00</v>
      </c>
    </row>
    <row r="25" spans="1:9" x14ac:dyDescent="0.25">
      <c r="A25" s="77">
        <v>45553</v>
      </c>
      <c r="B25" s="71">
        <v>0.29166666666666669</v>
      </c>
      <c r="C25" s="80" t="s">
        <v>8</v>
      </c>
      <c r="D25" s="85" t="s">
        <v>74</v>
      </c>
      <c r="E25" s="9" t="s">
        <v>22</v>
      </c>
      <c r="F25" s="8">
        <f>(INT(Table_Ukraine[[#This Row],[Date]]) - DATE(1970, 1, 1)) * 86400000</f>
        <v>1726617600000</v>
      </c>
      <c r="G25">
        <f>'GMT Glossary'!$B$8</f>
        <v>3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10:00</v>
      </c>
    </row>
    <row r="26" spans="1:9" x14ac:dyDescent="0.25">
      <c r="A26" s="92">
        <v>45553</v>
      </c>
      <c r="B26" s="91">
        <v>0.29166666666666669</v>
      </c>
      <c r="C26" s="89" t="s">
        <v>8</v>
      </c>
      <c r="D26" s="90" t="s">
        <v>89</v>
      </c>
      <c r="E26" s="9" t="s">
        <v>111</v>
      </c>
      <c r="F26" s="8">
        <f>(INT(Table_Ukraine[[#This Row],[Date]]) - DATE(1970, 1, 1)) * 86400000</f>
        <v>1726617600000</v>
      </c>
      <c r="G26" s="10">
        <f>'GMT Glossary'!$B$8</f>
        <v>3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10:00</v>
      </c>
    </row>
    <row r="27" spans="1:9" x14ac:dyDescent="0.25">
      <c r="A27" s="77">
        <v>45553</v>
      </c>
      <c r="B27" s="71">
        <v>0.375</v>
      </c>
      <c r="C27" s="80" t="s">
        <v>8</v>
      </c>
      <c r="D27" s="85" t="s">
        <v>203</v>
      </c>
      <c r="E27" s="9" t="s">
        <v>22</v>
      </c>
      <c r="F27" s="8">
        <f>(INT(Table_Ukraine[[#This Row],[Date]]) - DATE(1970, 1, 1)) * 86400000</f>
        <v>1726617600000</v>
      </c>
      <c r="G27">
        <f>'GMT Glossary'!$B$8</f>
        <v>3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12:00</v>
      </c>
    </row>
    <row r="28" spans="1:9" x14ac:dyDescent="0.25">
      <c r="A28" s="92">
        <v>45553</v>
      </c>
      <c r="B28" s="91">
        <v>0.375</v>
      </c>
      <c r="C28" s="89" t="s">
        <v>8</v>
      </c>
      <c r="D28" s="90" t="s">
        <v>372</v>
      </c>
      <c r="E28" s="9" t="s">
        <v>111</v>
      </c>
      <c r="F28" s="8">
        <f>(INT(Table_Ukraine[[#This Row],[Date]]) - DATE(1970, 1, 1)) * 86400000</f>
        <v>1726617600000</v>
      </c>
      <c r="G28" s="10">
        <f>'GMT Glossary'!$B$8</f>
        <v>3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12:00</v>
      </c>
    </row>
    <row r="29" spans="1:9" x14ac:dyDescent="0.25">
      <c r="A29" s="77">
        <v>45553</v>
      </c>
      <c r="B29" s="71">
        <v>0.45833333333333331</v>
      </c>
      <c r="C29" s="80" t="s">
        <v>8</v>
      </c>
      <c r="D29" s="85" t="s">
        <v>200</v>
      </c>
      <c r="E29" s="9" t="s">
        <v>22</v>
      </c>
      <c r="F29" s="8">
        <f>(INT(Table_Ukraine[[#This Row],[Date]]) - DATE(1970, 1, 1)) * 86400000</f>
        <v>1726617600000</v>
      </c>
      <c r="G29" s="10">
        <f>'GMT Glossary'!$B$8</f>
        <v>3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14:00</v>
      </c>
    </row>
    <row r="30" spans="1:9" x14ac:dyDescent="0.25">
      <c r="A30" s="92">
        <v>45553</v>
      </c>
      <c r="B30" s="91">
        <v>0.45833333333333331</v>
      </c>
      <c r="C30" s="89" t="s">
        <v>402</v>
      </c>
      <c r="D30" s="90" t="s">
        <v>98</v>
      </c>
      <c r="E30" s="9" t="s">
        <v>111</v>
      </c>
      <c r="F30" s="8">
        <f>(INT(Table_Ukraine[[#This Row],[Date]]) - DATE(1970, 1, 1)) * 86400000</f>
        <v>1726617600000</v>
      </c>
      <c r="G30" s="10">
        <f>'GMT Glossary'!$B$8</f>
        <v>3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14:00</v>
      </c>
    </row>
    <row r="31" spans="1:9" x14ac:dyDescent="0.25">
      <c r="A31" s="77">
        <v>45553</v>
      </c>
      <c r="B31" s="71">
        <v>0.5</v>
      </c>
      <c r="C31" s="80" t="s">
        <v>8</v>
      </c>
      <c r="D31" s="85" t="s">
        <v>99</v>
      </c>
      <c r="E31" s="9" t="s">
        <v>22</v>
      </c>
      <c r="F31" s="8">
        <f>(INT(Table_Ukraine[[#This Row],[Date]]) - DATE(1970, 1, 1)) * 86400000</f>
        <v>1726617600000</v>
      </c>
      <c r="G31">
        <f>'GMT Glossary'!$B$8</f>
        <v>3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15:00</v>
      </c>
    </row>
    <row r="32" spans="1:9" x14ac:dyDescent="0.25">
      <c r="A32" s="77">
        <v>45553</v>
      </c>
      <c r="B32" s="71">
        <v>0.54166666666666663</v>
      </c>
      <c r="C32" s="80" t="s">
        <v>8</v>
      </c>
      <c r="D32" s="85" t="s">
        <v>109</v>
      </c>
      <c r="E32" s="9" t="s">
        <v>22</v>
      </c>
      <c r="F32" s="8">
        <f>(INT(Table_Ukraine[[#This Row],[Date]]) - DATE(1970, 1, 1)) * 86400000</f>
        <v>1726617600000</v>
      </c>
      <c r="G32" s="10">
        <f>'GMT Glossary'!$B$8</f>
        <v>3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16:00</v>
      </c>
    </row>
    <row r="33" spans="1:9" x14ac:dyDescent="0.25">
      <c r="A33" s="92">
        <v>45553</v>
      </c>
      <c r="B33" s="91">
        <v>0.54166666666666663</v>
      </c>
      <c r="C33" s="89" t="s">
        <v>8</v>
      </c>
      <c r="D33" s="90" t="s">
        <v>65</v>
      </c>
      <c r="E33" s="9" t="s">
        <v>111</v>
      </c>
      <c r="F33" s="8">
        <f>(INT(Table_Ukraine[[#This Row],[Date]]) - DATE(1970, 1, 1)) * 86400000</f>
        <v>1726617600000</v>
      </c>
      <c r="G33" s="10">
        <f>'GMT Glossary'!$B$8</f>
        <v>3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16:00</v>
      </c>
    </row>
    <row r="34" spans="1:9" x14ac:dyDescent="0.25">
      <c r="A34" s="77">
        <v>45553</v>
      </c>
      <c r="B34" s="71">
        <v>0.625</v>
      </c>
      <c r="C34" s="80" t="s">
        <v>8</v>
      </c>
      <c r="D34" s="85" t="s">
        <v>95</v>
      </c>
      <c r="E34" s="9" t="s">
        <v>22</v>
      </c>
      <c r="F34" s="8">
        <f>(INT(Table_Ukraine[[#This Row],[Date]]) - DATE(1970, 1, 1)) * 86400000</f>
        <v>1726617600000</v>
      </c>
      <c r="G34">
        <f>'GMT Glossary'!$B$8</f>
        <v>3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18:00</v>
      </c>
    </row>
    <row r="35" spans="1:9" x14ac:dyDescent="0.25">
      <c r="A35" s="92">
        <v>45553</v>
      </c>
      <c r="B35" s="91">
        <v>0.625</v>
      </c>
      <c r="C35" s="89" t="s">
        <v>404</v>
      </c>
      <c r="D35" s="90" t="s">
        <v>362</v>
      </c>
      <c r="E35" s="9" t="s">
        <v>111</v>
      </c>
      <c r="F35" s="8">
        <f>(INT(Table_Ukraine[[#This Row],[Date]]) - DATE(1970, 1, 1)) * 86400000</f>
        <v>1726617600000</v>
      </c>
      <c r="G35" s="10">
        <f>'GMT Glossary'!$B$8</f>
        <v>3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18:00</v>
      </c>
    </row>
    <row r="36" spans="1:9" x14ac:dyDescent="0.25">
      <c r="A36" s="77">
        <v>45553</v>
      </c>
      <c r="B36" s="71">
        <v>0.70833333333333337</v>
      </c>
      <c r="C36" s="80" t="s">
        <v>8</v>
      </c>
      <c r="D36" s="85" t="s">
        <v>77</v>
      </c>
      <c r="E36" s="9" t="s">
        <v>22</v>
      </c>
      <c r="F36" s="8">
        <f>(INT(Table_Ukraine[[#This Row],[Date]]) - DATE(1970, 1, 1)) * 86400000</f>
        <v>1726617600000</v>
      </c>
      <c r="G36" s="10">
        <f>'GMT Glossary'!$B$8</f>
        <v>3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20:00</v>
      </c>
    </row>
    <row r="37" spans="1:9" x14ac:dyDescent="0.25">
      <c r="A37" s="92">
        <v>45553</v>
      </c>
      <c r="B37" s="91">
        <v>0.70833333333333337</v>
      </c>
      <c r="C37" s="89" t="s">
        <v>404</v>
      </c>
      <c r="D37" s="90" t="s">
        <v>363</v>
      </c>
      <c r="E37" s="9" t="s">
        <v>111</v>
      </c>
      <c r="F37" s="8">
        <f>(INT(Table_Ukraine[[#This Row],[Date]]) - DATE(1970, 1, 1)) * 86400000</f>
        <v>1726617600000</v>
      </c>
      <c r="G37" s="10">
        <f>'GMT Glossary'!$B$8</f>
        <v>3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20:00</v>
      </c>
    </row>
    <row r="38" spans="1:9" x14ac:dyDescent="0.25">
      <c r="A38" s="77">
        <v>45553</v>
      </c>
      <c r="B38" s="71">
        <v>0.79166666666666663</v>
      </c>
      <c r="C38" s="80" t="s">
        <v>8</v>
      </c>
      <c r="D38" s="83" t="s">
        <v>353</v>
      </c>
      <c r="E38" s="9" t="s">
        <v>22</v>
      </c>
      <c r="F38" s="8">
        <f>(INT(Table_Ukraine[[#This Row],[Date]]) - DATE(1970, 1, 1)) * 86400000</f>
        <v>1726617600000</v>
      </c>
      <c r="G38">
        <f>'GMT Glossary'!$B$8</f>
        <v>3</v>
      </c>
      <c r="H38" s="2" t="str">
        <f>TEXT(IF(B38&lt;0, A38+1+((B38+(G38/24))-(INT(B38+(G38/24)))), A38+(B38+(G38/24))), "yyyy-mm-dd")</f>
        <v>2024-09-18</v>
      </c>
      <c r="I38" s="2" t="str">
        <f>TEXT(IF(B38&lt;0, A38+1+((B38+(G38/24))-(INT(B38+(G38/24)))), A38+(B38+(G38/24))), "hh:mm")</f>
        <v>22:00</v>
      </c>
    </row>
    <row r="39" spans="1:9" x14ac:dyDescent="0.25">
      <c r="A39" s="92">
        <v>45553</v>
      </c>
      <c r="B39" s="91">
        <v>0.79166666666666663</v>
      </c>
      <c r="C39" s="89" t="s">
        <v>398</v>
      </c>
      <c r="D39" s="90" t="s">
        <v>367</v>
      </c>
      <c r="E39" s="9" t="s">
        <v>111</v>
      </c>
      <c r="F39" s="8">
        <f>(INT(Table_Ukraine[[#This Row],[Date]]) - DATE(1970, 1, 1)) * 86400000</f>
        <v>1726617600000</v>
      </c>
      <c r="G39" s="10">
        <f>'GMT Glossary'!$B$8</f>
        <v>3</v>
      </c>
      <c r="H39" s="2" t="str">
        <f>TEXT(IF(B39&lt;0, A39+1+((B39+(G39/24))-(INT(B39+(G39/24)))), A39+(B39+(G39/24))), "yyyy-mm-dd")</f>
        <v>2024-09-18</v>
      </c>
      <c r="I39" s="2" t="str">
        <f>TEXT(IF(B39&lt;0, A39+1+((B39+(G39/24))-(INT(B39+(G39/24)))), A39+(B39+(G39/24))), "hh:mm")</f>
        <v>22:00</v>
      </c>
    </row>
    <row r="40" spans="1:9" x14ac:dyDescent="0.25">
      <c r="A40" s="77">
        <v>45553</v>
      </c>
      <c r="B40" s="71">
        <v>0.875</v>
      </c>
      <c r="C40" s="80" t="s">
        <v>8</v>
      </c>
      <c r="D40" s="85" t="s">
        <v>79</v>
      </c>
      <c r="E40" s="9" t="s">
        <v>22</v>
      </c>
      <c r="F40" s="8">
        <f>(INT(Table_Ukraine[[#This Row],[Date]]) - DATE(1970, 1, 1)) * 86400000</f>
        <v>1726617600000</v>
      </c>
      <c r="G40" s="10">
        <f>'GMT Glossary'!$B$8</f>
        <v>3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00:00</v>
      </c>
    </row>
    <row r="41" spans="1:9" x14ac:dyDescent="0.25">
      <c r="A41" s="92">
        <v>45553</v>
      </c>
      <c r="B41" s="91">
        <v>0.91666666666666663</v>
      </c>
      <c r="C41" s="89" t="s">
        <v>8</v>
      </c>
      <c r="D41" s="90" t="s">
        <v>33</v>
      </c>
      <c r="E41" s="9" t="s">
        <v>111</v>
      </c>
      <c r="F41" s="8">
        <f>(INT(Table_Ukraine[[#This Row],[Date]]) - DATE(1970, 1, 1)) * 86400000</f>
        <v>1726617600000</v>
      </c>
      <c r="G41" s="10">
        <f>'GMT Glossary'!$B$8</f>
        <v>3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01:00</v>
      </c>
    </row>
    <row r="42" spans="1:9" x14ac:dyDescent="0.25">
      <c r="A42" s="77">
        <v>45553</v>
      </c>
      <c r="B42" s="71">
        <v>0.95833333333333337</v>
      </c>
      <c r="C42" s="80" t="s">
        <v>8</v>
      </c>
      <c r="D42" s="90" t="s">
        <v>78</v>
      </c>
      <c r="E42" s="9" t="s">
        <v>22</v>
      </c>
      <c r="F42" s="8">
        <f>(INT(Table_Ukraine[[#This Row],[Date]]) - DATE(1970, 1, 1)) * 86400000</f>
        <v>1726617600000</v>
      </c>
      <c r="G42">
        <f>'GMT Glossary'!$B$8</f>
        <v>3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02:00</v>
      </c>
    </row>
    <row r="43" spans="1:9" x14ac:dyDescent="0.25">
      <c r="A43" s="92">
        <v>45554</v>
      </c>
      <c r="B43" s="91">
        <v>0</v>
      </c>
      <c r="C43" s="89" t="s">
        <v>8</v>
      </c>
      <c r="D43" s="90" t="s">
        <v>89</v>
      </c>
      <c r="E43" s="9" t="s">
        <v>111</v>
      </c>
      <c r="F43" s="8">
        <f>(INT(Table_Ukraine[[#This Row],[Date]]) - DATE(1970, 1, 1)) * 86400000</f>
        <v>1726704000000</v>
      </c>
      <c r="G43" s="10">
        <f>'GMT Glossary'!$B$8</f>
        <v>3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03:00</v>
      </c>
    </row>
    <row r="44" spans="1:9" x14ac:dyDescent="0.25">
      <c r="A44" s="77">
        <v>45554</v>
      </c>
      <c r="B44" s="71">
        <v>4.1666666666666664E-2</v>
      </c>
      <c r="C44" s="80" t="s">
        <v>8</v>
      </c>
      <c r="D44" s="85" t="s">
        <v>73</v>
      </c>
      <c r="E44" s="9" t="s">
        <v>22</v>
      </c>
      <c r="F44" s="8">
        <f>(INT(Table_Ukraine[[#This Row],[Date]]) - DATE(1970, 1, 1)) * 86400000</f>
        <v>1726704000000</v>
      </c>
      <c r="G44" s="10">
        <f>'GMT Glossary'!$B$8</f>
        <v>3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04:00</v>
      </c>
    </row>
    <row r="45" spans="1:9" x14ac:dyDescent="0.25">
      <c r="A45" s="92">
        <v>45554</v>
      </c>
      <c r="B45" s="91">
        <v>8.3333333333333329E-2</v>
      </c>
      <c r="C45" s="89" t="s">
        <v>8</v>
      </c>
      <c r="D45" s="90" t="s">
        <v>110</v>
      </c>
      <c r="E45" s="9" t="s">
        <v>111</v>
      </c>
      <c r="F45" s="8">
        <f>(INT(Table_Ukraine[[#This Row],[Date]]) - DATE(1970, 1, 1)) * 86400000</f>
        <v>1726704000000</v>
      </c>
      <c r="G45" s="10">
        <f>'GMT Glossary'!$B$8</f>
        <v>3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05:00</v>
      </c>
    </row>
    <row r="46" spans="1:9" x14ac:dyDescent="0.25">
      <c r="A46" s="77">
        <v>45554</v>
      </c>
      <c r="B46" s="71">
        <v>0.125</v>
      </c>
      <c r="C46" s="80" t="s">
        <v>8</v>
      </c>
      <c r="D46" s="85" t="s">
        <v>277</v>
      </c>
      <c r="E46" s="9" t="s">
        <v>22</v>
      </c>
      <c r="F46" s="8">
        <f>(INT(Table_Ukraine[[#This Row],[Date]]) - DATE(1970, 1, 1)) * 86400000</f>
        <v>1726704000000</v>
      </c>
      <c r="G46">
        <f>'GMT Glossary'!$B$8</f>
        <v>3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06:00</v>
      </c>
    </row>
    <row r="47" spans="1:9" x14ac:dyDescent="0.25">
      <c r="A47" s="92">
        <v>45554</v>
      </c>
      <c r="B47" s="91">
        <v>0.16666666666666666</v>
      </c>
      <c r="C47" s="89" t="s">
        <v>8</v>
      </c>
      <c r="D47" s="90" t="s">
        <v>107</v>
      </c>
      <c r="E47" s="9" t="s">
        <v>111</v>
      </c>
      <c r="F47" s="8">
        <f>(INT(Table_Ukraine[[#This Row],[Date]]) - DATE(1970, 1, 1)) * 86400000</f>
        <v>1726704000000</v>
      </c>
      <c r="G47" s="10">
        <f>'GMT Glossary'!$B$8</f>
        <v>3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07:00</v>
      </c>
    </row>
    <row r="48" spans="1:9" x14ac:dyDescent="0.25">
      <c r="A48" s="77">
        <v>45554</v>
      </c>
      <c r="B48" s="71">
        <v>0.20833333333333334</v>
      </c>
      <c r="C48" s="80" t="s">
        <v>8</v>
      </c>
      <c r="D48" s="85" t="s">
        <v>74</v>
      </c>
      <c r="E48" s="9" t="s">
        <v>22</v>
      </c>
      <c r="F48" s="8">
        <f>(INT(Table_Ukraine[[#This Row],[Date]]) - DATE(1970, 1, 1)) * 86400000</f>
        <v>1726704000000</v>
      </c>
      <c r="G48" s="10">
        <f>'GMT Glossary'!$B$8</f>
        <v>3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08:00</v>
      </c>
    </row>
    <row r="49" spans="1:9" x14ac:dyDescent="0.25">
      <c r="A49" s="92">
        <v>45554</v>
      </c>
      <c r="B49" s="91">
        <v>0.25</v>
      </c>
      <c r="C49" s="89" t="s">
        <v>8</v>
      </c>
      <c r="D49" s="90" t="s">
        <v>109</v>
      </c>
      <c r="E49" s="9" t="s">
        <v>111</v>
      </c>
      <c r="F49" s="8">
        <f>(INT(Table_Ukraine[[#This Row],[Date]]) - DATE(1970, 1, 1)) * 86400000</f>
        <v>1726704000000</v>
      </c>
      <c r="G49" s="10">
        <f>'GMT Glossary'!$B$8</f>
        <v>3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09:00</v>
      </c>
    </row>
    <row r="50" spans="1:9" x14ac:dyDescent="0.25">
      <c r="A50" s="77">
        <v>45554</v>
      </c>
      <c r="B50" s="71">
        <v>0.29166666666666669</v>
      </c>
      <c r="C50" s="80" t="s">
        <v>8</v>
      </c>
      <c r="D50" s="85" t="s">
        <v>203</v>
      </c>
      <c r="E50" s="9" t="s">
        <v>22</v>
      </c>
      <c r="F50" s="8">
        <f>(INT(Table_Ukraine[[#This Row],[Date]]) - DATE(1970, 1, 1)) * 86400000</f>
        <v>1726704000000</v>
      </c>
      <c r="G50">
        <f>'GMT Glossary'!$B$8</f>
        <v>3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10:00</v>
      </c>
    </row>
    <row r="51" spans="1:9" x14ac:dyDescent="0.25">
      <c r="A51" s="92">
        <v>45554</v>
      </c>
      <c r="B51" s="91">
        <v>0.33333333333333331</v>
      </c>
      <c r="C51" s="89" t="s">
        <v>8</v>
      </c>
      <c r="D51" s="90" t="s">
        <v>369</v>
      </c>
      <c r="E51" s="9" t="s">
        <v>111</v>
      </c>
      <c r="F51" s="8">
        <f>(INT(Table_Ukraine[[#This Row],[Date]]) - DATE(1970, 1, 1)) * 86400000</f>
        <v>1726704000000</v>
      </c>
      <c r="G51" s="10">
        <f>'GMT Glossary'!$B$8</f>
        <v>3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11:00</v>
      </c>
    </row>
    <row r="52" spans="1:9" x14ac:dyDescent="0.25">
      <c r="A52" s="77">
        <v>45554</v>
      </c>
      <c r="B52" s="71">
        <v>0.375</v>
      </c>
      <c r="C52" s="80" t="s">
        <v>8</v>
      </c>
      <c r="D52" s="85" t="s">
        <v>206</v>
      </c>
      <c r="E52" s="9" t="s">
        <v>22</v>
      </c>
      <c r="F52" s="8">
        <f>(INT(Table_Ukraine[[#This Row],[Date]]) - DATE(1970, 1, 1)) * 86400000</f>
        <v>1726704000000</v>
      </c>
      <c r="G52" s="10">
        <f>'GMT Glossary'!$B$8</f>
        <v>3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12:00</v>
      </c>
    </row>
    <row r="53" spans="1:9" x14ac:dyDescent="0.25">
      <c r="A53" s="92">
        <v>45554</v>
      </c>
      <c r="B53" s="91">
        <v>0.375</v>
      </c>
      <c r="C53" s="89" t="s">
        <v>402</v>
      </c>
      <c r="D53" s="90" t="s">
        <v>98</v>
      </c>
      <c r="E53" s="9" t="s">
        <v>111</v>
      </c>
      <c r="F53" s="8">
        <f>(INT(Table_Ukraine[[#This Row],[Date]]) - DATE(1970, 1, 1)) * 86400000</f>
        <v>1726704000000</v>
      </c>
      <c r="G53" s="10">
        <f>'GMT Glossary'!$B$8</f>
        <v>3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12:00</v>
      </c>
    </row>
    <row r="54" spans="1:9" x14ac:dyDescent="0.25">
      <c r="A54" s="77">
        <v>45554</v>
      </c>
      <c r="B54" s="71">
        <v>0.45833333333333331</v>
      </c>
      <c r="C54" s="80" t="s">
        <v>8</v>
      </c>
      <c r="D54" s="90" t="s">
        <v>95</v>
      </c>
      <c r="E54" s="9" t="s">
        <v>22</v>
      </c>
      <c r="F54" s="8">
        <f>(INT(Table_Ukraine[[#This Row],[Date]]) - DATE(1970, 1, 1)) * 86400000</f>
        <v>1726704000000</v>
      </c>
      <c r="G54">
        <f>'GMT Glossary'!$B$8</f>
        <v>3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14:00</v>
      </c>
    </row>
    <row r="55" spans="1:9" x14ac:dyDescent="0.25">
      <c r="A55" s="92">
        <v>45554</v>
      </c>
      <c r="B55" s="91">
        <v>0.45833333333333331</v>
      </c>
      <c r="C55" s="89" t="s">
        <v>8</v>
      </c>
      <c r="D55" s="90" t="s">
        <v>108</v>
      </c>
      <c r="E55" s="9" t="s">
        <v>111</v>
      </c>
      <c r="F55" s="8">
        <f>(INT(Table_Ukraine[[#This Row],[Date]]) - DATE(1970, 1, 1)) * 86400000</f>
        <v>1726704000000</v>
      </c>
      <c r="G55" s="10">
        <f>'GMT Glossary'!$B$8</f>
        <v>3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14:00</v>
      </c>
    </row>
    <row r="56" spans="1:9" x14ac:dyDescent="0.25">
      <c r="A56" s="77">
        <v>45554</v>
      </c>
      <c r="B56" s="71">
        <v>0.54166666666666663</v>
      </c>
      <c r="C56" s="80" t="s">
        <v>8</v>
      </c>
      <c r="D56" s="90" t="s">
        <v>77</v>
      </c>
      <c r="E56" s="9" t="s">
        <v>22</v>
      </c>
      <c r="F56" s="8">
        <f>(INT(Table_Ukraine[[#This Row],[Date]]) - DATE(1970, 1, 1)) * 86400000</f>
        <v>1726704000000</v>
      </c>
      <c r="G56" s="10">
        <f>'GMT Glossary'!$B$8</f>
        <v>3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16:00</v>
      </c>
    </row>
    <row r="57" spans="1:9" x14ac:dyDescent="0.25">
      <c r="A57" s="92">
        <v>45554</v>
      </c>
      <c r="B57" s="91">
        <v>0.54166666666666663</v>
      </c>
      <c r="C57" s="89" t="s">
        <v>8</v>
      </c>
      <c r="D57" s="90" t="s">
        <v>103</v>
      </c>
      <c r="E57" s="9" t="s">
        <v>111</v>
      </c>
      <c r="F57" s="8">
        <f>(INT(Table_Ukraine[[#This Row],[Date]]) - DATE(1970, 1, 1)) * 86400000</f>
        <v>1726704000000</v>
      </c>
      <c r="G57" s="10">
        <f>'GMT Glossary'!$B$8</f>
        <v>3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16:00</v>
      </c>
    </row>
    <row r="58" spans="1:9" x14ac:dyDescent="0.25">
      <c r="A58" s="77">
        <v>45554</v>
      </c>
      <c r="B58" s="71">
        <v>0.625</v>
      </c>
      <c r="C58" s="80" t="s">
        <v>8</v>
      </c>
      <c r="D58" s="90" t="s">
        <v>79</v>
      </c>
      <c r="E58" s="9" t="s">
        <v>22</v>
      </c>
      <c r="F58" s="8">
        <f>(INT(Table_Ukraine[[#This Row],[Date]]) - DATE(1970, 1, 1)) * 86400000</f>
        <v>1726704000000</v>
      </c>
      <c r="G58">
        <f>'GMT Glossary'!$B$8</f>
        <v>3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18:00</v>
      </c>
    </row>
    <row r="59" spans="1:9" x14ac:dyDescent="0.25">
      <c r="A59" s="92">
        <v>45554</v>
      </c>
      <c r="B59" s="91">
        <v>0.625</v>
      </c>
      <c r="C59" s="89" t="s">
        <v>404</v>
      </c>
      <c r="D59" s="90" t="s">
        <v>362</v>
      </c>
      <c r="E59" s="9" t="s">
        <v>111</v>
      </c>
      <c r="F59" s="8">
        <f>(INT(Table_Ukraine[[#This Row],[Date]]) - DATE(1970, 1, 1)) * 86400000</f>
        <v>1726704000000</v>
      </c>
      <c r="G59" s="10">
        <f>'GMT Glossary'!$B$8</f>
        <v>3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18:00</v>
      </c>
    </row>
    <row r="60" spans="1:9" x14ac:dyDescent="0.25">
      <c r="A60" s="77">
        <v>45554</v>
      </c>
      <c r="B60" s="71">
        <v>0.70833333333333337</v>
      </c>
      <c r="C60" s="80" t="s">
        <v>8</v>
      </c>
      <c r="D60" s="85" t="s">
        <v>200</v>
      </c>
      <c r="E60" s="9" t="s">
        <v>22</v>
      </c>
      <c r="F60" s="8">
        <f>(INT(Table_Ukraine[[#This Row],[Date]]) - DATE(1970, 1, 1)) * 86400000</f>
        <v>1726704000000</v>
      </c>
      <c r="G60">
        <f>'GMT Glossary'!$B$8</f>
        <v>3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20:00</v>
      </c>
    </row>
    <row r="61" spans="1:9" x14ac:dyDescent="0.25">
      <c r="A61" s="92">
        <v>45554</v>
      </c>
      <c r="B61" s="91">
        <v>0.70833333333333337</v>
      </c>
      <c r="C61" s="89" t="s">
        <v>8</v>
      </c>
      <c r="D61" s="90" t="s">
        <v>33</v>
      </c>
      <c r="E61" s="9" t="s">
        <v>111</v>
      </c>
      <c r="F61" s="8">
        <f>(INT(Table_Ukraine[[#This Row],[Date]]) - DATE(1970, 1, 1)) * 86400000</f>
        <v>1726704000000</v>
      </c>
      <c r="G61" s="10">
        <f>'GMT Glossary'!$B$8</f>
        <v>3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20:00</v>
      </c>
    </row>
    <row r="62" spans="1:9" x14ac:dyDescent="0.25">
      <c r="A62" s="77">
        <v>45554</v>
      </c>
      <c r="B62" s="71">
        <v>0.75</v>
      </c>
      <c r="C62" s="80" t="s">
        <v>8</v>
      </c>
      <c r="D62" s="85" t="s">
        <v>99</v>
      </c>
      <c r="E62" s="9" t="s">
        <v>22</v>
      </c>
      <c r="F62" s="8">
        <f>(INT(Table_Ukraine[[#This Row],[Date]]) - DATE(1970, 1, 1)) * 86400000</f>
        <v>1726704000000</v>
      </c>
      <c r="G62" s="10">
        <f>'GMT Glossary'!$B$8</f>
        <v>3</v>
      </c>
      <c r="H62" s="2" t="str">
        <f>TEXT(IF(B62&lt;0, A62+1+((B62+(G62/24))-(INT(B62+(G62/24)))), A62+(B62+(G62/24))), "yyyy-mm-dd")</f>
        <v>2024-09-19</v>
      </c>
      <c r="I62" s="2" t="str">
        <f>TEXT(IF(B62&lt;0, A62+1+((B62+(G62/24))-(INT(B62+(G62/24)))), A62+(B62+(G62/24))), "hh:mm")</f>
        <v>21:00</v>
      </c>
    </row>
    <row r="63" spans="1:9" x14ac:dyDescent="0.25">
      <c r="A63" s="77">
        <v>45554</v>
      </c>
      <c r="B63" s="71">
        <v>0.79166666666666663</v>
      </c>
      <c r="C63" s="80" t="s">
        <v>8</v>
      </c>
      <c r="D63" s="90" t="s">
        <v>78</v>
      </c>
      <c r="E63" s="9" t="s">
        <v>22</v>
      </c>
      <c r="F63" s="8">
        <f>(INT(Table_Ukraine[[#This Row],[Date]]) - DATE(1970, 1, 1)) * 86400000</f>
        <v>1726704000000</v>
      </c>
      <c r="G63">
        <f>'GMT Glossary'!$B$8</f>
        <v>3</v>
      </c>
      <c r="H63" s="2" t="str">
        <f>TEXT(IF(B63&lt;0, A63+1+((B63+(G63/24))-(INT(B63+(G63/24)))), A63+(B63+(G63/24))), "yyyy-mm-dd")</f>
        <v>2024-09-19</v>
      </c>
      <c r="I63" s="2" t="str">
        <f>TEXT(IF(B63&lt;0, A63+1+((B63+(G63/24))-(INT(B63+(G63/24)))), A63+(B63+(G63/24))), "hh:mm")</f>
        <v>22:00</v>
      </c>
    </row>
    <row r="64" spans="1:9" x14ac:dyDescent="0.25">
      <c r="A64" s="92">
        <v>45554</v>
      </c>
      <c r="B64" s="91">
        <v>0.79166666666666663</v>
      </c>
      <c r="C64" s="89" t="s">
        <v>8</v>
      </c>
      <c r="D64" s="90" t="s">
        <v>89</v>
      </c>
      <c r="E64" s="9" t="s">
        <v>111</v>
      </c>
      <c r="F64" s="8">
        <f>(INT(Table_Ukraine[[#This Row],[Date]]) - DATE(1970, 1, 1)) * 86400000</f>
        <v>1726704000000</v>
      </c>
      <c r="G64" s="10">
        <f>'GMT Glossary'!$B$8</f>
        <v>3</v>
      </c>
      <c r="H64" s="2" t="str">
        <f>TEXT(IF(B64&lt;0, A64+1+((B64+(G64/24))-(INT(B64+(G64/24)))), A64+(B64+(G64/24))), "yyyy-mm-dd")</f>
        <v>2024-09-19</v>
      </c>
      <c r="I64" s="2" t="str">
        <f>TEXT(IF(B64&lt;0, A64+1+((B64+(G64/24))-(INT(B64+(G64/24)))), A64+(B64+(G64/24))), "hh:mm")</f>
        <v>22:00</v>
      </c>
    </row>
    <row r="65" spans="1:9" x14ac:dyDescent="0.25">
      <c r="A65" s="77">
        <v>45554</v>
      </c>
      <c r="B65" s="71">
        <v>0.875</v>
      </c>
      <c r="C65" s="80" t="s">
        <v>8</v>
      </c>
      <c r="D65" s="90" t="s">
        <v>73</v>
      </c>
      <c r="E65" s="9" t="s">
        <v>22</v>
      </c>
      <c r="F65" s="8">
        <f>(INT(Table_Ukraine[[#This Row],[Date]]) - DATE(1970, 1, 1)) * 86400000</f>
        <v>1726704000000</v>
      </c>
      <c r="G65" s="10">
        <f>'GMT Glossary'!$B$8</f>
        <v>3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00:00</v>
      </c>
    </row>
    <row r="66" spans="1:9" x14ac:dyDescent="0.25">
      <c r="A66" s="92">
        <v>45554</v>
      </c>
      <c r="B66" s="91">
        <v>0.875</v>
      </c>
      <c r="C66" s="89" t="s">
        <v>8</v>
      </c>
      <c r="D66" s="90" t="s">
        <v>110</v>
      </c>
      <c r="E66" s="9" t="s">
        <v>111</v>
      </c>
      <c r="F66" s="8">
        <f>(INT(Table_Ukraine[[#This Row],[Date]]) - DATE(1970, 1, 1)) * 86400000</f>
        <v>1726704000000</v>
      </c>
      <c r="G66" s="10">
        <f>'GMT Glossary'!$B$8</f>
        <v>3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00:00</v>
      </c>
    </row>
    <row r="67" spans="1:9" x14ac:dyDescent="0.25">
      <c r="A67" s="77">
        <v>45554</v>
      </c>
      <c r="B67" s="71">
        <v>0.95833333333333337</v>
      </c>
      <c r="C67" s="80" t="s">
        <v>8</v>
      </c>
      <c r="D67" s="90" t="s">
        <v>277</v>
      </c>
      <c r="E67" s="9" t="s">
        <v>22</v>
      </c>
      <c r="F67" s="8">
        <f>(INT(Table_Ukraine[[#This Row],[Date]]) - DATE(1970, 1, 1)) * 86400000</f>
        <v>1726704000000</v>
      </c>
      <c r="G67">
        <f>'GMT Glossary'!$B$8</f>
        <v>3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02:00</v>
      </c>
    </row>
    <row r="68" spans="1:9" x14ac:dyDescent="0.25">
      <c r="A68" s="92">
        <v>45554</v>
      </c>
      <c r="B68" s="91">
        <v>0.95833333333333337</v>
      </c>
      <c r="C68" s="89" t="s">
        <v>8</v>
      </c>
      <c r="D68" s="90" t="s">
        <v>65</v>
      </c>
      <c r="E68" s="9" t="s">
        <v>111</v>
      </c>
      <c r="F68" s="8">
        <f>(INT(Table_Ukraine[[#This Row],[Date]]) - DATE(1970, 1, 1)) * 86400000</f>
        <v>1726704000000</v>
      </c>
      <c r="G68" s="10">
        <f>'GMT Glossary'!$B$8</f>
        <v>3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02:00</v>
      </c>
    </row>
    <row r="69" spans="1:9" x14ac:dyDescent="0.25">
      <c r="A69" s="77">
        <v>45555</v>
      </c>
      <c r="B69" s="71">
        <v>4.1666666666666664E-2</v>
      </c>
      <c r="C69" s="80" t="s">
        <v>8</v>
      </c>
      <c r="D69" s="90" t="s">
        <v>74</v>
      </c>
      <c r="E69" s="9" t="s">
        <v>22</v>
      </c>
      <c r="F69" s="8">
        <f>(INT(Table_Ukraine[[#This Row],[Date]]) - DATE(1970, 1, 1)) * 86400000</f>
        <v>1726790400000</v>
      </c>
      <c r="G69" s="10">
        <f>'GMT Glossary'!$B$8</f>
        <v>3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04:00</v>
      </c>
    </row>
    <row r="70" spans="1:9" x14ac:dyDescent="0.25">
      <c r="A70" s="92">
        <v>45555</v>
      </c>
      <c r="B70" s="91">
        <v>4.1666666666666664E-2</v>
      </c>
      <c r="C70" s="89" t="s">
        <v>398</v>
      </c>
      <c r="D70" s="90" t="s">
        <v>373</v>
      </c>
      <c r="E70" s="9" t="s">
        <v>111</v>
      </c>
      <c r="F70" s="8">
        <f>(INT(Table_Ukraine[[#This Row],[Date]]) - DATE(1970, 1, 1)) * 86400000</f>
        <v>1726790400000</v>
      </c>
      <c r="G70" s="10">
        <f>'GMT Glossary'!$B$8</f>
        <v>3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04:00</v>
      </c>
    </row>
    <row r="71" spans="1:9" x14ac:dyDescent="0.25">
      <c r="A71" s="77">
        <v>45555</v>
      </c>
      <c r="B71" s="71">
        <v>0.125</v>
      </c>
      <c r="C71" s="80" t="s">
        <v>8</v>
      </c>
      <c r="D71" s="90" t="s">
        <v>95</v>
      </c>
      <c r="E71" s="9" t="s">
        <v>22</v>
      </c>
      <c r="F71" s="8">
        <f>(INT(Table_Ukraine[[#This Row],[Date]]) - DATE(1970, 1, 1)) * 86400000</f>
        <v>1726790400000</v>
      </c>
      <c r="G71">
        <f>'GMT Glossary'!$B$8</f>
        <v>3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06:00</v>
      </c>
    </row>
    <row r="72" spans="1:9" x14ac:dyDescent="0.25">
      <c r="A72" s="92">
        <v>45555</v>
      </c>
      <c r="B72" s="91">
        <v>0.16666666666666666</v>
      </c>
      <c r="C72" s="89" t="s">
        <v>8</v>
      </c>
      <c r="D72" s="90" t="s">
        <v>369</v>
      </c>
      <c r="E72" s="9" t="s">
        <v>111</v>
      </c>
      <c r="F72" s="8">
        <f>(INT(Table_Ukraine[[#This Row],[Date]]) - DATE(1970, 1, 1)) * 86400000</f>
        <v>1726790400000</v>
      </c>
      <c r="G72" s="10">
        <f>'GMT Glossary'!$B$8</f>
        <v>3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07:00</v>
      </c>
    </row>
    <row r="73" spans="1:9" x14ac:dyDescent="0.25">
      <c r="A73" s="77">
        <v>45555</v>
      </c>
      <c r="B73" s="71">
        <v>0.20833333333333334</v>
      </c>
      <c r="C73" s="80" t="s">
        <v>404</v>
      </c>
      <c r="D73" s="90" t="s">
        <v>354</v>
      </c>
      <c r="E73" s="9" t="s">
        <v>22</v>
      </c>
      <c r="F73" s="8">
        <f>(INT(Table_Ukraine[[#This Row],[Date]]) - DATE(1970, 1, 1)) * 86400000</f>
        <v>1726790400000</v>
      </c>
      <c r="G73" s="10">
        <f>'GMT Glossary'!$B$8</f>
        <v>3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08:00</v>
      </c>
    </row>
    <row r="74" spans="1:9" x14ac:dyDescent="0.25">
      <c r="A74" s="92">
        <v>45555</v>
      </c>
      <c r="B74" s="91">
        <v>0.20833333333333334</v>
      </c>
      <c r="C74" s="89" t="s">
        <v>398</v>
      </c>
      <c r="D74" s="87" t="s">
        <v>374</v>
      </c>
      <c r="E74" s="9" t="s">
        <v>111</v>
      </c>
      <c r="F74" s="8">
        <f>(INT(Table_Ukraine[[#This Row],[Date]]) - DATE(1970, 1, 1)) * 86400000</f>
        <v>1726790400000</v>
      </c>
      <c r="G74" s="10">
        <f>'GMT Glossary'!$B$8</f>
        <v>3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08:00</v>
      </c>
    </row>
    <row r="75" spans="1:9" x14ac:dyDescent="0.25">
      <c r="A75" s="92">
        <v>45555</v>
      </c>
      <c r="B75" s="91">
        <v>0.27083333333333331</v>
      </c>
      <c r="C75" s="89" t="s">
        <v>398</v>
      </c>
      <c r="D75" s="87" t="s">
        <v>375</v>
      </c>
      <c r="E75" s="9" t="s">
        <v>111</v>
      </c>
      <c r="F75" s="8">
        <f>(INT(Table_Ukraine[[#This Row],[Date]]) - DATE(1970, 1, 1)) * 86400000</f>
        <v>1726790400000</v>
      </c>
      <c r="G75" s="10">
        <f>'GMT Glossary'!$B$8</f>
        <v>3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09:30</v>
      </c>
    </row>
    <row r="76" spans="1:9" x14ac:dyDescent="0.25">
      <c r="A76" s="77">
        <v>45555</v>
      </c>
      <c r="B76" s="71">
        <v>0.29166666666666669</v>
      </c>
      <c r="C76" s="80" t="s">
        <v>8</v>
      </c>
      <c r="D76" s="90" t="s">
        <v>77</v>
      </c>
      <c r="E76" s="9" t="s">
        <v>22</v>
      </c>
      <c r="F76" s="8">
        <f>(INT(Table_Ukraine[[#This Row],[Date]]) - DATE(1970, 1, 1)) * 86400000</f>
        <v>1726790400000</v>
      </c>
      <c r="G76">
        <f>'GMT Glossary'!$B$8</f>
        <v>3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10:00</v>
      </c>
    </row>
    <row r="77" spans="1:9" x14ac:dyDescent="0.25">
      <c r="A77" s="92">
        <v>45555</v>
      </c>
      <c r="B77" s="91">
        <v>0.33333333333333331</v>
      </c>
      <c r="C77" s="89" t="s">
        <v>398</v>
      </c>
      <c r="D77" s="87" t="s">
        <v>376</v>
      </c>
      <c r="E77" s="9" t="s">
        <v>111</v>
      </c>
      <c r="F77" s="8">
        <f>(INT(Table_Ukraine[[#This Row],[Date]]) - DATE(1970, 1, 1)) * 86400000</f>
        <v>1726790400000</v>
      </c>
      <c r="G77" s="10">
        <f>'GMT Glossary'!$B$8</f>
        <v>3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11:00</v>
      </c>
    </row>
    <row r="78" spans="1:9" x14ac:dyDescent="0.25">
      <c r="A78" s="77">
        <v>45555</v>
      </c>
      <c r="B78" s="71">
        <v>0.375</v>
      </c>
      <c r="C78" s="80" t="s">
        <v>8</v>
      </c>
      <c r="D78" s="90" t="s">
        <v>109</v>
      </c>
      <c r="E78" s="9" t="s">
        <v>22</v>
      </c>
      <c r="F78" s="8">
        <f>(INT(Table_Ukraine[[#This Row],[Date]]) - DATE(1970, 1, 1)) * 86400000</f>
        <v>1726790400000</v>
      </c>
      <c r="G78" s="10">
        <f>'GMT Glossary'!$B$8</f>
        <v>3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12:00</v>
      </c>
    </row>
    <row r="79" spans="1:9" x14ac:dyDescent="0.25">
      <c r="A79" s="92">
        <v>45555</v>
      </c>
      <c r="B79" s="91">
        <v>0.41666666666666669</v>
      </c>
      <c r="C79" s="89" t="s">
        <v>398</v>
      </c>
      <c r="D79" s="87" t="s">
        <v>377</v>
      </c>
      <c r="E79" s="9" t="s">
        <v>111</v>
      </c>
      <c r="F79" s="8">
        <f>(INT(Table_Ukraine[[#This Row],[Date]]) - DATE(1970, 1, 1)) * 86400000</f>
        <v>1726790400000</v>
      </c>
      <c r="G79" s="10">
        <f>'GMT Glossary'!$B$8</f>
        <v>3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13:00</v>
      </c>
    </row>
    <row r="80" spans="1:9" x14ac:dyDescent="0.25">
      <c r="A80" s="77">
        <v>45555</v>
      </c>
      <c r="B80" s="71">
        <v>0.45833333333333331</v>
      </c>
      <c r="C80" s="80" t="s">
        <v>404</v>
      </c>
      <c r="D80" s="90" t="s">
        <v>355</v>
      </c>
      <c r="E80" s="9" t="s">
        <v>22</v>
      </c>
      <c r="F80" s="8">
        <f>(INT(Table_Ukraine[[#This Row],[Date]]) - DATE(1970, 1, 1)) * 86400000</f>
        <v>1726790400000</v>
      </c>
      <c r="G80">
        <f>'GMT Glossary'!$B$8</f>
        <v>3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14:00</v>
      </c>
    </row>
    <row r="81" spans="1:9" x14ac:dyDescent="0.25">
      <c r="A81" s="77">
        <v>45555</v>
      </c>
      <c r="B81" s="71">
        <v>0.54166666666666663</v>
      </c>
      <c r="C81" s="80" t="s">
        <v>8</v>
      </c>
      <c r="D81" s="90" t="s">
        <v>96</v>
      </c>
      <c r="E81" s="9" t="s">
        <v>22</v>
      </c>
      <c r="F81" s="8">
        <f>(INT(Table_Ukraine[[#This Row],[Date]]) - DATE(1970, 1, 1)) * 86400000</f>
        <v>1726790400000</v>
      </c>
      <c r="G81" s="10">
        <f>'GMT Glossary'!$B$8</f>
        <v>3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16:00</v>
      </c>
    </row>
    <row r="82" spans="1:9" x14ac:dyDescent="0.25">
      <c r="A82" s="92">
        <v>45555</v>
      </c>
      <c r="B82" s="91">
        <v>0.54166666666666663</v>
      </c>
      <c r="C82" s="89" t="s">
        <v>402</v>
      </c>
      <c r="D82" s="90" t="s">
        <v>98</v>
      </c>
      <c r="E82" s="9" t="s">
        <v>111</v>
      </c>
      <c r="F82" s="8">
        <f>(INT(Table_Ukraine[[#This Row],[Date]]) - DATE(1970, 1, 1)) * 86400000</f>
        <v>1726790400000</v>
      </c>
      <c r="G82" s="10">
        <f>'GMT Glossary'!$B$8</f>
        <v>3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16:00</v>
      </c>
    </row>
    <row r="83" spans="1:9" x14ac:dyDescent="0.25">
      <c r="A83" s="77">
        <v>45555</v>
      </c>
      <c r="B83" s="71">
        <v>0.625</v>
      </c>
      <c r="C83" s="80" t="s">
        <v>8</v>
      </c>
      <c r="D83" s="85" t="s">
        <v>200</v>
      </c>
      <c r="E83" s="9" t="s">
        <v>22</v>
      </c>
      <c r="F83" s="8">
        <f>(INT(Table_Ukraine[[#This Row],[Date]]) - DATE(1970, 1, 1)) * 86400000</f>
        <v>1726790400000</v>
      </c>
      <c r="G83">
        <f>'GMT Glossary'!$B$8</f>
        <v>3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18:00</v>
      </c>
    </row>
    <row r="84" spans="1:9" ht="15" customHeight="1" x14ac:dyDescent="0.25">
      <c r="A84" s="92">
        <v>45555</v>
      </c>
      <c r="B84" s="91">
        <v>0.625</v>
      </c>
      <c r="C84" s="89" t="s">
        <v>402</v>
      </c>
      <c r="D84" s="79" t="s">
        <v>105</v>
      </c>
      <c r="E84" s="9" t="s">
        <v>111</v>
      </c>
      <c r="F84" s="8">
        <f>(INT(Table_Ukraine[[#This Row],[Date]]) - DATE(1970, 1, 1)) * 86400000</f>
        <v>1726790400000</v>
      </c>
      <c r="G84" s="10">
        <f>'GMT Glossary'!$B$8</f>
        <v>3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18:00</v>
      </c>
    </row>
    <row r="85" spans="1:9" ht="15" customHeight="1" x14ac:dyDescent="0.25">
      <c r="A85" s="77">
        <v>45555</v>
      </c>
      <c r="B85" s="71">
        <v>0.6875</v>
      </c>
      <c r="C85" s="80" t="s">
        <v>405</v>
      </c>
      <c r="D85" s="83" t="s">
        <v>356</v>
      </c>
      <c r="E85" s="9" t="s">
        <v>22</v>
      </c>
      <c r="F85" s="8">
        <f>(INT(Table_Ukraine[[#This Row],[Date]]) - DATE(1970, 1, 1)) * 86400000</f>
        <v>1726790400000</v>
      </c>
      <c r="G85" s="10">
        <f>'GMT Glossary'!$B$8</f>
        <v>3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19:30</v>
      </c>
    </row>
    <row r="86" spans="1:9" ht="15" customHeight="1" x14ac:dyDescent="0.25">
      <c r="A86" s="92">
        <v>45555</v>
      </c>
      <c r="B86" s="91">
        <v>0.6875</v>
      </c>
      <c r="C86" s="89" t="s">
        <v>8</v>
      </c>
      <c r="D86" s="87" t="s">
        <v>378</v>
      </c>
      <c r="E86" s="9" t="s">
        <v>111</v>
      </c>
      <c r="F86" s="8">
        <f>(INT(Table_Ukraine[[#This Row],[Date]]) - DATE(1970, 1, 1)) * 86400000</f>
        <v>1726790400000</v>
      </c>
      <c r="G86" s="10">
        <f>'GMT Glossary'!$B$8</f>
        <v>3</v>
      </c>
      <c r="H86" s="2" t="str">
        <f>TEXT(IF(B86&lt;0, A86+1+((B86+(G86/24))-(INT(B86+(G86/24)))), A86+(B86+(G86/24))), "yyyy-mm-dd")</f>
        <v>2024-09-20</v>
      </c>
      <c r="I86" s="2" t="str">
        <f>TEXT(IF(B86&lt;0, A86+1+((B86+(G86/24))-(INT(B86+(G86/24)))), A86+(B86+(G86/24))), "hh:mm")</f>
        <v>19:30</v>
      </c>
    </row>
    <row r="87" spans="1:9" ht="15" customHeight="1" x14ac:dyDescent="0.25">
      <c r="A87" s="92">
        <v>45555</v>
      </c>
      <c r="B87" s="91">
        <v>0.77083333333333337</v>
      </c>
      <c r="C87" s="89" t="s">
        <v>8</v>
      </c>
      <c r="D87" s="87" t="s">
        <v>379</v>
      </c>
      <c r="E87" s="9" t="s">
        <v>111</v>
      </c>
      <c r="F87" s="8">
        <f>(INT(Table_Ukraine[[#This Row],[Date]]) - DATE(1970, 1, 1)) * 86400000</f>
        <v>1726790400000</v>
      </c>
      <c r="G87" s="10">
        <f>'GMT Glossary'!$B$8</f>
        <v>3</v>
      </c>
      <c r="H87" s="2" t="str">
        <f>TEXT(IF(B87&lt;0, A87+1+((B87+(G87/24))-(INT(B87+(G87/24)))), A87+(B87+(G87/24))), "yyyy-mm-dd")</f>
        <v>2024-09-20</v>
      </c>
      <c r="I87" s="2" t="str">
        <f>TEXT(IF(B87&lt;0, A87+1+((B87+(G87/24))-(INT(B87+(G87/24)))), A87+(B87+(G87/24))), "hh:mm")</f>
        <v>21:30</v>
      </c>
    </row>
    <row r="88" spans="1:9" ht="15" customHeight="1" x14ac:dyDescent="0.25">
      <c r="A88" s="92">
        <v>45555</v>
      </c>
      <c r="B88" s="91">
        <v>0.85416666666666663</v>
      </c>
      <c r="C88" s="89" t="s">
        <v>8</v>
      </c>
      <c r="D88" s="79" t="s">
        <v>107</v>
      </c>
      <c r="E88" s="9" t="s">
        <v>111</v>
      </c>
      <c r="F88" s="8">
        <f>(INT(Table_Ukraine[[#This Row],[Date]]) - DATE(1970, 1, 1)) * 86400000</f>
        <v>1726790400000</v>
      </c>
      <c r="G88" s="10">
        <f>'GMT Glossary'!$B$8</f>
        <v>3</v>
      </c>
      <c r="H88" s="2" t="str">
        <f>TEXT(IF(B88&lt;0, A88+1+((B88+(G88/24))-(INT(B88+(G88/24)))), A88+(B88+(G88/24))), "yyyy-mm-dd")</f>
        <v>2024-09-20</v>
      </c>
      <c r="I88" s="2" t="str">
        <f>TEXT(IF(B88&lt;0, A88+1+((B88+(G88/24))-(INT(B88+(G88/24)))), A88+(B88+(G88/24))), "hh:mm")</f>
        <v>23:30</v>
      </c>
    </row>
    <row r="89" spans="1:9" ht="15" customHeight="1" x14ac:dyDescent="0.25">
      <c r="A89" s="77">
        <v>45555</v>
      </c>
      <c r="B89" s="71">
        <v>0.89583333333333337</v>
      </c>
      <c r="C89" s="80" t="s">
        <v>8</v>
      </c>
      <c r="D89" s="85" t="s">
        <v>78</v>
      </c>
      <c r="E89" s="9" t="s">
        <v>22</v>
      </c>
      <c r="F89" s="8">
        <f>(INT(Table_Ukraine[[#This Row],[Date]]) - DATE(1970, 1, 1)) * 86400000</f>
        <v>1726790400000</v>
      </c>
      <c r="G89">
        <f>'GMT Glossary'!$B$8</f>
        <v>3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00:30</v>
      </c>
    </row>
    <row r="90" spans="1:9" ht="15" customHeight="1" x14ac:dyDescent="0.25">
      <c r="A90" s="92">
        <v>45555</v>
      </c>
      <c r="B90" s="91">
        <v>0.9375</v>
      </c>
      <c r="C90" s="89" t="s">
        <v>8</v>
      </c>
      <c r="D90" s="79" t="s">
        <v>108</v>
      </c>
      <c r="E90" s="9" t="s">
        <v>111</v>
      </c>
      <c r="F90" s="8">
        <f>(INT(Table_Ukraine[[#This Row],[Date]]) - DATE(1970, 1, 1)) * 86400000</f>
        <v>1726790400000</v>
      </c>
      <c r="G90" s="10">
        <f>'GMT Glossary'!$B$8</f>
        <v>3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01:30</v>
      </c>
    </row>
    <row r="91" spans="1:9" ht="15" customHeight="1" x14ac:dyDescent="0.25">
      <c r="A91" s="77">
        <v>45555</v>
      </c>
      <c r="B91" s="71">
        <v>0.97916666666666663</v>
      </c>
      <c r="C91" s="80" t="s">
        <v>8</v>
      </c>
      <c r="D91" s="85" t="s">
        <v>73</v>
      </c>
      <c r="E91" s="9" t="s">
        <v>22</v>
      </c>
      <c r="F91" s="8">
        <f>(INT(Table_Ukraine[[#This Row],[Date]]) - DATE(1970, 1, 1)) * 86400000</f>
        <v>1726790400000</v>
      </c>
      <c r="G91" s="10">
        <f>'GMT Glossary'!$B$8</f>
        <v>3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02:30</v>
      </c>
    </row>
    <row r="92" spans="1:9" ht="15" customHeight="1" x14ac:dyDescent="0.25">
      <c r="A92" s="92">
        <v>45556</v>
      </c>
      <c r="B92" s="91">
        <v>2.0833333333333332E-2</v>
      </c>
      <c r="C92" s="89" t="s">
        <v>8</v>
      </c>
      <c r="D92" s="79" t="s">
        <v>103</v>
      </c>
      <c r="E92" s="9" t="s">
        <v>111</v>
      </c>
      <c r="F92" s="8">
        <f>(INT(Table_Ukraine[[#This Row],[Date]]) - DATE(1970, 1, 1)) * 86400000</f>
        <v>1726876800000</v>
      </c>
      <c r="G92" s="10">
        <f>'GMT Glossary'!$B$8</f>
        <v>3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03:30</v>
      </c>
    </row>
    <row r="93" spans="1:9" ht="15" customHeight="1" x14ac:dyDescent="0.25">
      <c r="A93" s="77">
        <v>45556</v>
      </c>
      <c r="B93" s="71">
        <v>6.25E-2</v>
      </c>
      <c r="C93" s="80" t="s">
        <v>8</v>
      </c>
      <c r="D93" s="79" t="s">
        <v>277</v>
      </c>
      <c r="E93" s="9" t="s">
        <v>22</v>
      </c>
      <c r="F93" s="8">
        <f>(INT(Table_Ukraine[[#This Row],[Date]]) - DATE(1970, 1, 1)) * 86400000</f>
        <v>1726876800000</v>
      </c>
      <c r="G93">
        <f>'GMT Glossary'!$B$8</f>
        <v>3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04:30</v>
      </c>
    </row>
    <row r="94" spans="1:9" ht="15" customHeight="1" x14ac:dyDescent="0.25">
      <c r="A94" s="92">
        <v>45556</v>
      </c>
      <c r="B94" s="91">
        <v>0.10416666666666667</v>
      </c>
      <c r="C94" s="89" t="s">
        <v>398</v>
      </c>
      <c r="D94" s="79" t="s">
        <v>367</v>
      </c>
      <c r="E94" s="9" t="s">
        <v>111</v>
      </c>
      <c r="F94" s="8">
        <f>(INT(Table_Ukraine[[#This Row],[Date]]) - DATE(1970, 1, 1)) * 86400000</f>
        <v>1726876800000</v>
      </c>
      <c r="G94" s="10">
        <f>'GMT Glossary'!$B$8</f>
        <v>3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05:30</v>
      </c>
    </row>
    <row r="95" spans="1:9" ht="15" customHeight="1" x14ac:dyDescent="0.25">
      <c r="A95" s="77">
        <v>45556</v>
      </c>
      <c r="B95" s="71">
        <v>0.14583333333333334</v>
      </c>
      <c r="C95" s="80" t="s">
        <v>399</v>
      </c>
      <c r="D95" s="85" t="s">
        <v>357</v>
      </c>
      <c r="E95" s="9" t="s">
        <v>22</v>
      </c>
      <c r="F95" s="8">
        <f>(INT(Table_Ukraine[[#This Row],[Date]]) - DATE(1970, 1, 1)) * 86400000</f>
        <v>1726876800000</v>
      </c>
      <c r="G95" s="10">
        <f>'GMT Glossary'!$B$8</f>
        <v>3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06:30</v>
      </c>
    </row>
    <row r="96" spans="1:9" ht="15" customHeight="1" x14ac:dyDescent="0.25">
      <c r="A96" s="92">
        <v>45556</v>
      </c>
      <c r="B96" s="91">
        <v>0.1875</v>
      </c>
      <c r="C96" s="89" t="s">
        <v>398</v>
      </c>
      <c r="D96" s="79" t="s">
        <v>380</v>
      </c>
      <c r="E96" s="9" t="s">
        <v>111</v>
      </c>
      <c r="F96" s="8">
        <f>(INT(Table_Ukraine[[#This Row],[Date]]) - DATE(1970, 1, 1)) * 86400000</f>
        <v>1726876800000</v>
      </c>
      <c r="G96" s="10">
        <f>'GMT Glossary'!$B$8</f>
        <v>3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07:30</v>
      </c>
    </row>
    <row r="97" spans="1:9" ht="15" customHeight="1" x14ac:dyDescent="0.25">
      <c r="A97" s="77">
        <v>45556</v>
      </c>
      <c r="B97" s="73">
        <v>0.29166666666666669</v>
      </c>
      <c r="C97" s="80" t="s">
        <v>8</v>
      </c>
      <c r="D97" s="79" t="s">
        <v>74</v>
      </c>
      <c r="E97" s="9" t="s">
        <v>22</v>
      </c>
      <c r="F97" s="8">
        <f>(INT(Table_Ukraine[[#This Row],[Date]]) - DATE(1970, 1, 1)) * 86400000</f>
        <v>1726876800000</v>
      </c>
      <c r="G97">
        <f>'GMT Glossary'!$B$8</f>
        <v>3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10:00</v>
      </c>
    </row>
    <row r="98" spans="1:9" ht="15" customHeight="1" x14ac:dyDescent="0.25">
      <c r="A98" s="92">
        <v>45556</v>
      </c>
      <c r="B98" s="91">
        <v>0.29166666666666669</v>
      </c>
      <c r="C98" s="89" t="s">
        <v>398</v>
      </c>
      <c r="D98" s="87" t="s">
        <v>381</v>
      </c>
      <c r="E98" s="9" t="s">
        <v>111</v>
      </c>
      <c r="F98" s="8">
        <f>(INT(Table_Ukraine[[#This Row],[Date]]) - DATE(1970, 1, 1)) * 86400000</f>
        <v>1726876800000</v>
      </c>
      <c r="G98" s="10">
        <f>'GMT Glossary'!$B$8</f>
        <v>3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10:00</v>
      </c>
    </row>
    <row r="99" spans="1:9" ht="15" customHeight="1" x14ac:dyDescent="0.25">
      <c r="A99" s="92">
        <v>45556</v>
      </c>
      <c r="B99" s="91">
        <v>0.35416666666666669</v>
      </c>
      <c r="C99" s="89" t="s">
        <v>398</v>
      </c>
      <c r="D99" s="87" t="s">
        <v>382</v>
      </c>
      <c r="E99" s="9" t="s">
        <v>111</v>
      </c>
      <c r="F99" s="8">
        <f>(INT(Table_Ukraine[[#This Row],[Date]]) - DATE(1970, 1, 1)) * 86400000</f>
        <v>1726876800000</v>
      </c>
      <c r="G99" s="10">
        <f>'GMT Glossary'!$B$8</f>
        <v>3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11:30</v>
      </c>
    </row>
    <row r="100" spans="1:9" ht="15" customHeight="1" x14ac:dyDescent="0.25">
      <c r="A100" s="77">
        <v>45556</v>
      </c>
      <c r="B100" s="73">
        <v>0.375</v>
      </c>
      <c r="C100" s="80" t="s">
        <v>8</v>
      </c>
      <c r="D100" s="85" t="s">
        <v>358</v>
      </c>
      <c r="E100" s="9" t="s">
        <v>22</v>
      </c>
      <c r="F100" s="8">
        <f>(INT(Table_Ukraine[[#This Row],[Date]]) - DATE(1970, 1, 1)) * 86400000</f>
        <v>1726876800000</v>
      </c>
      <c r="G100" s="10">
        <f>'GMT Glossary'!$B$8</f>
        <v>3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12:00</v>
      </c>
    </row>
    <row r="101" spans="1:9" ht="15" customHeight="1" x14ac:dyDescent="0.25">
      <c r="A101" s="92">
        <v>45556</v>
      </c>
      <c r="B101" s="91">
        <v>0.45833333333333331</v>
      </c>
      <c r="C101" s="89" t="s">
        <v>402</v>
      </c>
      <c r="D101" s="79" t="s">
        <v>98</v>
      </c>
      <c r="E101" s="9" t="s">
        <v>111</v>
      </c>
      <c r="F101" s="8">
        <f>(INT(Table_Ukraine[[#This Row],[Date]]) - DATE(1970, 1, 1)) * 86400000</f>
        <v>1726876800000</v>
      </c>
      <c r="G101" s="10">
        <f>'GMT Glossary'!$B$8</f>
        <v>3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14:00</v>
      </c>
    </row>
    <row r="102" spans="1:9" ht="15" customHeight="1" x14ac:dyDescent="0.25">
      <c r="A102" s="77">
        <v>45556</v>
      </c>
      <c r="B102" s="71">
        <v>0.47916666666666669</v>
      </c>
      <c r="C102" s="80" t="s">
        <v>8</v>
      </c>
      <c r="D102" s="83" t="s">
        <v>359</v>
      </c>
      <c r="E102" s="9" t="s">
        <v>22</v>
      </c>
      <c r="F102" s="8">
        <f>(INT(Table_Ukraine[[#This Row],[Date]]) - DATE(1970, 1, 1)) * 86400000</f>
        <v>1726876800000</v>
      </c>
      <c r="G102">
        <f>'GMT Glossary'!$B$8</f>
        <v>3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14:30</v>
      </c>
    </row>
    <row r="103" spans="1:9" ht="15" customHeight="1" x14ac:dyDescent="0.25">
      <c r="A103" s="92">
        <v>45556</v>
      </c>
      <c r="B103" s="91">
        <v>0.54166666666666663</v>
      </c>
      <c r="C103" s="89" t="s">
        <v>402</v>
      </c>
      <c r="D103" s="87" t="s">
        <v>383</v>
      </c>
      <c r="E103" s="9" t="s">
        <v>111</v>
      </c>
      <c r="F103" s="8">
        <f>(INT(Table_Ukraine[[#This Row],[Date]]) - DATE(1970, 1, 1)) * 86400000</f>
        <v>1726876800000</v>
      </c>
      <c r="G103" s="10">
        <f>'GMT Glossary'!$B$8</f>
        <v>3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16:00</v>
      </c>
    </row>
    <row r="104" spans="1:9" ht="15" customHeight="1" x14ac:dyDescent="0.25">
      <c r="A104" s="77">
        <v>45556</v>
      </c>
      <c r="B104" s="71">
        <v>0.58333333333333337</v>
      </c>
      <c r="C104" s="80" t="s">
        <v>8</v>
      </c>
      <c r="D104" s="83" t="s">
        <v>360</v>
      </c>
      <c r="E104" s="9" t="s">
        <v>22</v>
      </c>
      <c r="F104" s="8">
        <f>(INT(Table_Ukraine[[#This Row],[Date]]) - DATE(1970, 1, 1)) * 86400000</f>
        <v>1726876800000</v>
      </c>
      <c r="G104" s="10">
        <f>'GMT Glossary'!$B$8</f>
        <v>3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17:00</v>
      </c>
    </row>
    <row r="105" spans="1:9" ht="15" customHeight="1" x14ac:dyDescent="0.25">
      <c r="A105" s="92">
        <v>45556</v>
      </c>
      <c r="B105" s="91">
        <v>0.58333333333333337</v>
      </c>
      <c r="C105" s="89" t="s">
        <v>8</v>
      </c>
      <c r="D105" s="87" t="s">
        <v>384</v>
      </c>
      <c r="E105" s="9" t="s">
        <v>111</v>
      </c>
      <c r="F105" s="8">
        <f>(INT(Table_Ukraine[[#This Row],[Date]]) - DATE(1970, 1, 1)) * 86400000</f>
        <v>1726876800000</v>
      </c>
      <c r="G105" s="10">
        <f>'GMT Glossary'!$B$8</f>
        <v>3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17:00</v>
      </c>
    </row>
    <row r="106" spans="1:9" ht="15" customHeight="1" x14ac:dyDescent="0.25">
      <c r="A106" s="77">
        <v>45556</v>
      </c>
      <c r="B106" s="71">
        <v>0.6875</v>
      </c>
      <c r="C106" s="80" t="s">
        <v>8</v>
      </c>
      <c r="D106" s="83" t="s">
        <v>361</v>
      </c>
      <c r="E106" s="9" t="s">
        <v>22</v>
      </c>
      <c r="F106" s="8">
        <f>(INT(Table_Ukraine[[#This Row],[Date]]) - DATE(1970, 1, 1)) * 86400000</f>
        <v>1726876800000</v>
      </c>
      <c r="G106">
        <f>'GMT Glossary'!$B$8</f>
        <v>3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19:30</v>
      </c>
    </row>
    <row r="107" spans="1:9" ht="15" customHeight="1" x14ac:dyDescent="0.25">
      <c r="A107" s="92">
        <v>45556</v>
      </c>
      <c r="B107" s="91">
        <v>0.6875</v>
      </c>
      <c r="C107" s="89" t="s">
        <v>8</v>
      </c>
      <c r="D107" s="87" t="s">
        <v>385</v>
      </c>
      <c r="E107" s="9" t="s">
        <v>111</v>
      </c>
      <c r="F107" s="8">
        <f>(INT(Table_Ukraine[[#This Row],[Date]]) - DATE(1970, 1, 1)) * 86400000</f>
        <v>1726876800000</v>
      </c>
      <c r="G107" s="10">
        <f>'GMT Glossary'!$B$8</f>
        <v>3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19:30</v>
      </c>
    </row>
    <row r="108" spans="1:9" ht="15" customHeight="1" x14ac:dyDescent="0.25">
      <c r="A108" s="92">
        <v>45556</v>
      </c>
      <c r="B108" s="91">
        <v>0.77083333333333337</v>
      </c>
      <c r="C108" s="89" t="s">
        <v>8</v>
      </c>
      <c r="D108" s="87" t="s">
        <v>386</v>
      </c>
      <c r="E108" s="9" t="s">
        <v>111</v>
      </c>
      <c r="F108" s="8">
        <f>(INT(Table_Ukraine[[#This Row],[Date]]) - DATE(1970, 1, 1)) * 86400000</f>
        <v>1726876800000</v>
      </c>
      <c r="G108" s="10">
        <f>'GMT Glossary'!$B$8</f>
        <v>3</v>
      </c>
      <c r="H108" s="2" t="str">
        <f>TEXT(IF(B108&lt;0, A108+1+((B108+(G108/24))-(INT(B108+(G108/24)))), A108+(B108+(G108/24))), "yyyy-mm-dd")</f>
        <v>2024-09-21</v>
      </c>
      <c r="I108" s="2" t="str">
        <f>TEXT(IF(B108&lt;0, A108+1+((B108+(G108/24))-(INT(B108+(G108/24)))), A108+(B108+(G108/24))), "hh:mm")</f>
        <v>21:30</v>
      </c>
    </row>
    <row r="109" spans="1:9" ht="15" customHeight="1" x14ac:dyDescent="0.25">
      <c r="A109" s="77">
        <v>45556</v>
      </c>
      <c r="B109" s="71">
        <v>0.79166666666666663</v>
      </c>
      <c r="C109" s="80" t="s">
        <v>8</v>
      </c>
      <c r="D109" s="85" t="s">
        <v>95</v>
      </c>
      <c r="E109" s="9" t="s">
        <v>22</v>
      </c>
      <c r="F109" s="8">
        <f>(INT(Table_Ukraine[[#This Row],[Date]]) - DATE(1970, 1, 1)) * 86400000</f>
        <v>1726876800000</v>
      </c>
      <c r="G109" s="10">
        <f>'GMT Glossary'!$B$8</f>
        <v>3</v>
      </c>
      <c r="H109" s="2" t="str">
        <f>TEXT(IF(B109&lt;0, A109+1+((B109+(G109/24))-(INT(B109+(G109/24)))), A109+(B109+(G109/24))), "yyyy-mm-dd")</f>
        <v>2024-09-21</v>
      </c>
      <c r="I109" s="2" t="str">
        <f>TEXT(IF(B109&lt;0, A109+1+((B109+(G109/24))-(INT(B109+(G109/24)))), A109+(B109+(G109/24))), "hh:mm")</f>
        <v>22:00</v>
      </c>
    </row>
    <row r="110" spans="1:9" ht="15" customHeight="1" x14ac:dyDescent="0.25">
      <c r="A110" s="92">
        <v>45556</v>
      </c>
      <c r="B110" s="91">
        <v>0.85416666666666663</v>
      </c>
      <c r="C110" s="89" t="s">
        <v>8</v>
      </c>
      <c r="D110" s="79" t="s">
        <v>33</v>
      </c>
      <c r="E110" s="9" t="s">
        <v>111</v>
      </c>
      <c r="F110" s="8">
        <f>(INT(Table_Ukraine[[#This Row],[Date]]) - DATE(1970, 1, 1)) * 86400000</f>
        <v>1726876800000</v>
      </c>
      <c r="G110" s="10">
        <f>'GMT Glossary'!$B$8</f>
        <v>3</v>
      </c>
      <c r="H110" s="2" t="str">
        <f>TEXT(IF(B110&lt;0, A110+1+((B110+(G110/24))-(INT(B110+(G110/24)))), A110+(B110+(G110/24))), "yyyy-mm-dd")</f>
        <v>2024-09-21</v>
      </c>
      <c r="I110" s="2" t="str">
        <f>TEXT(IF(B110&lt;0, A110+1+((B110+(G110/24))-(INT(B110+(G110/24)))), A110+(B110+(G110/24))), "hh:mm")</f>
        <v>23:30</v>
      </c>
    </row>
    <row r="111" spans="1:9" ht="15" customHeight="1" x14ac:dyDescent="0.25">
      <c r="A111" s="77">
        <v>45556</v>
      </c>
      <c r="B111" s="71">
        <v>0.875</v>
      </c>
      <c r="C111" s="80" t="s">
        <v>8</v>
      </c>
      <c r="D111" s="85" t="s">
        <v>77</v>
      </c>
      <c r="E111" s="9" t="s">
        <v>22</v>
      </c>
      <c r="F111" s="8">
        <f>(INT(Table_Ukraine[[#This Row],[Date]]) - DATE(1970, 1, 1)) * 86400000</f>
        <v>1726876800000</v>
      </c>
      <c r="G111">
        <f>'GMT Glossary'!$B$8</f>
        <v>3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00:00</v>
      </c>
    </row>
    <row r="112" spans="1:9" ht="15" customHeight="1" x14ac:dyDescent="0.25">
      <c r="A112" s="92">
        <v>45556</v>
      </c>
      <c r="B112" s="91">
        <v>0.9375</v>
      </c>
      <c r="C112" s="89" t="s">
        <v>8</v>
      </c>
      <c r="D112" s="79" t="s">
        <v>89</v>
      </c>
      <c r="E112" s="9" t="s">
        <v>111</v>
      </c>
      <c r="F112" s="8">
        <f>(INT(Table_Ukraine[[#This Row],[Date]]) - DATE(1970, 1, 1)) * 86400000</f>
        <v>1726876800000</v>
      </c>
      <c r="G112" s="10">
        <f>'GMT Glossary'!$B$8</f>
        <v>3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01:30</v>
      </c>
    </row>
    <row r="113" spans="1:9" ht="15" customHeight="1" x14ac:dyDescent="0.25">
      <c r="A113" s="77">
        <v>45556</v>
      </c>
      <c r="B113" s="71">
        <v>0.95833333333333337</v>
      </c>
      <c r="C113" s="80" t="s">
        <v>399</v>
      </c>
      <c r="D113" s="85" t="s">
        <v>357</v>
      </c>
      <c r="E113" s="9" t="s">
        <v>22</v>
      </c>
      <c r="F113" s="8">
        <f>(INT(Table_Ukraine[[#This Row],[Date]]) - DATE(1970, 1, 1)) * 86400000</f>
        <v>1726876800000</v>
      </c>
      <c r="G113" s="10">
        <f>'GMT Glossary'!$B$8</f>
        <v>3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02:00</v>
      </c>
    </row>
    <row r="114" spans="1:9" ht="15" customHeight="1" x14ac:dyDescent="0.25">
      <c r="A114" s="92">
        <v>45557</v>
      </c>
      <c r="B114" s="91">
        <v>2.0833333333333332E-2</v>
      </c>
      <c r="C114" s="89" t="s">
        <v>8</v>
      </c>
      <c r="D114" s="79" t="s">
        <v>110</v>
      </c>
      <c r="E114" s="9" t="s">
        <v>111</v>
      </c>
      <c r="F114" s="8">
        <f>(INT(Table_Ukraine[[#This Row],[Date]]) - DATE(1970, 1, 1)) * 86400000</f>
        <v>1726963200000</v>
      </c>
      <c r="G114" s="10">
        <f>'GMT Glossary'!$B$8</f>
        <v>3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03:30</v>
      </c>
    </row>
    <row r="115" spans="1:9" ht="15" customHeight="1" x14ac:dyDescent="0.25">
      <c r="A115" s="77">
        <v>45557</v>
      </c>
      <c r="B115" s="71">
        <v>8.3333333333333329E-2</v>
      </c>
      <c r="C115" s="80" t="s">
        <v>404</v>
      </c>
      <c r="D115" s="85" t="s">
        <v>362</v>
      </c>
      <c r="E115" s="9" t="s">
        <v>22</v>
      </c>
      <c r="F115" s="8">
        <f>(INT(Table_Ukraine[[#This Row],[Date]]) - DATE(1970, 1, 1)) * 86400000</f>
        <v>1726963200000</v>
      </c>
      <c r="G115">
        <f>'GMT Glossary'!$B$8</f>
        <v>3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05:00</v>
      </c>
    </row>
    <row r="116" spans="1:9" ht="15" customHeight="1" x14ac:dyDescent="0.25">
      <c r="A116" s="92">
        <v>45557</v>
      </c>
      <c r="B116" s="91">
        <v>0.10416666666666667</v>
      </c>
      <c r="C116" s="89" t="s">
        <v>8</v>
      </c>
      <c r="D116" s="79" t="s">
        <v>65</v>
      </c>
      <c r="E116" s="9" t="s">
        <v>111</v>
      </c>
      <c r="F116" s="8">
        <f>(INT(Table_Ukraine[[#This Row],[Date]]) - DATE(1970, 1, 1)) * 86400000</f>
        <v>1726963200000</v>
      </c>
      <c r="G116" s="10">
        <f>'GMT Glossary'!$B$8</f>
        <v>3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05:30</v>
      </c>
    </row>
    <row r="117" spans="1:9" ht="15" customHeight="1" x14ac:dyDescent="0.25">
      <c r="A117" s="77">
        <v>45557</v>
      </c>
      <c r="B117" s="71">
        <v>0.16666666666666666</v>
      </c>
      <c r="C117" s="80" t="s">
        <v>404</v>
      </c>
      <c r="D117" s="85" t="s">
        <v>363</v>
      </c>
      <c r="E117" s="9" t="s">
        <v>22</v>
      </c>
      <c r="F117" s="8">
        <f>(INT(Table_Ukraine[[#This Row],[Date]]) - DATE(1970, 1, 1)) * 86400000</f>
        <v>1726963200000</v>
      </c>
      <c r="G117" s="10">
        <f>'GMT Glossary'!$B$8</f>
        <v>3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07:00</v>
      </c>
    </row>
    <row r="118" spans="1:9" ht="15" customHeight="1" x14ac:dyDescent="0.25">
      <c r="A118" s="92">
        <v>45557</v>
      </c>
      <c r="B118" s="91">
        <v>0.1875</v>
      </c>
      <c r="C118" s="89" t="s">
        <v>8</v>
      </c>
      <c r="D118" s="90" t="s">
        <v>107</v>
      </c>
      <c r="E118" s="9" t="s">
        <v>111</v>
      </c>
      <c r="F118" s="8">
        <f>(INT(Table_Ukraine[[#This Row],[Date]]) - DATE(1970, 1, 1)) * 86400000</f>
        <v>1726963200000</v>
      </c>
      <c r="G118" s="10">
        <f>'GMT Glossary'!$B$8</f>
        <v>3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07:30</v>
      </c>
    </row>
    <row r="119" spans="1:9" ht="15" customHeight="1" x14ac:dyDescent="0.25">
      <c r="A119" s="77">
        <v>45557</v>
      </c>
      <c r="B119" s="71">
        <v>0.25</v>
      </c>
      <c r="C119" s="80" t="s">
        <v>8</v>
      </c>
      <c r="D119" s="85" t="s">
        <v>96</v>
      </c>
      <c r="E119" s="9" t="s">
        <v>22</v>
      </c>
      <c r="F119" s="8">
        <f>(INT(Table_Ukraine[[#This Row],[Date]]) - DATE(1970, 1, 1)) * 86400000</f>
        <v>1726963200000</v>
      </c>
      <c r="G119">
        <f>'GMT Glossary'!$B$8</f>
        <v>3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09:00</v>
      </c>
    </row>
    <row r="120" spans="1:9" ht="15" customHeight="1" x14ac:dyDescent="0.25">
      <c r="A120" s="92">
        <v>45557</v>
      </c>
      <c r="B120" s="91">
        <v>0.29166666666666669</v>
      </c>
      <c r="C120" s="89" t="s">
        <v>398</v>
      </c>
      <c r="D120" s="87" t="s">
        <v>387</v>
      </c>
      <c r="E120" s="9" t="s">
        <v>111</v>
      </c>
      <c r="F120" s="8">
        <f>(INT(Table_Ukraine[[#This Row],[Date]]) - DATE(1970, 1, 1)) * 86400000</f>
        <v>1726963200000</v>
      </c>
      <c r="G120" s="10">
        <f>'GMT Glossary'!$B$8</f>
        <v>3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10:00</v>
      </c>
    </row>
    <row r="121" spans="1:9" ht="15" customHeight="1" x14ac:dyDescent="0.25">
      <c r="A121" s="77">
        <v>45557</v>
      </c>
      <c r="B121" s="71">
        <v>0.33333333333333331</v>
      </c>
      <c r="C121" s="80" t="s">
        <v>8</v>
      </c>
      <c r="D121" s="85" t="s">
        <v>104</v>
      </c>
      <c r="E121" s="9" t="s">
        <v>22</v>
      </c>
      <c r="F121" s="8">
        <f>(INT(Table_Ukraine[[#This Row],[Date]]) - DATE(1970, 1, 1)) * 86400000</f>
        <v>1726963200000</v>
      </c>
      <c r="G121" s="10">
        <f>'GMT Glossary'!$B$8</f>
        <v>3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11:00</v>
      </c>
    </row>
    <row r="122" spans="1:9" ht="15" customHeight="1" x14ac:dyDescent="0.25">
      <c r="A122" s="77">
        <v>45557</v>
      </c>
      <c r="B122" s="71">
        <v>0.375</v>
      </c>
      <c r="C122" s="80" t="s">
        <v>8</v>
      </c>
      <c r="D122" s="85" t="s">
        <v>219</v>
      </c>
      <c r="E122" s="9" t="s">
        <v>22</v>
      </c>
      <c r="F122" s="8">
        <f>(INT(Table_Ukraine[[#This Row],[Date]]) - DATE(1970, 1, 1)) * 86400000</f>
        <v>1726963200000</v>
      </c>
      <c r="G122">
        <f>'GMT Glossary'!$B$8</f>
        <v>3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12:00</v>
      </c>
    </row>
    <row r="123" spans="1:9" ht="15" customHeight="1" x14ac:dyDescent="0.25">
      <c r="A123" s="92">
        <v>45557</v>
      </c>
      <c r="B123" s="91">
        <v>0.375</v>
      </c>
      <c r="C123" s="89" t="s">
        <v>402</v>
      </c>
      <c r="D123" s="79" t="s">
        <v>388</v>
      </c>
      <c r="E123" s="9" t="s">
        <v>111</v>
      </c>
      <c r="F123" s="8">
        <f>(INT(Table_Ukraine[[#This Row],[Date]]) - DATE(1970, 1, 1)) * 86400000</f>
        <v>1726963200000</v>
      </c>
      <c r="G123" s="10">
        <f>'GMT Glossary'!$B$8</f>
        <v>3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12:00</v>
      </c>
    </row>
    <row r="124" spans="1:9" ht="15" customHeight="1" x14ac:dyDescent="0.25">
      <c r="A124" s="77">
        <v>45557</v>
      </c>
      <c r="B124" s="71">
        <v>0.45833333333333331</v>
      </c>
      <c r="C124" s="80" t="s">
        <v>8</v>
      </c>
      <c r="D124" s="83" t="s">
        <v>364</v>
      </c>
      <c r="E124" s="9" t="s">
        <v>22</v>
      </c>
      <c r="F124" s="8">
        <f>(INT(Table_Ukraine[[#This Row],[Date]]) - DATE(1970, 1, 1)) * 86400000</f>
        <v>1726963200000</v>
      </c>
      <c r="G124">
        <f>'GMT Glossary'!$B$8</f>
        <v>3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14:00</v>
      </c>
    </row>
    <row r="125" spans="1:9" ht="15" customHeight="1" x14ac:dyDescent="0.25">
      <c r="A125" s="92">
        <v>45557</v>
      </c>
      <c r="B125" s="91">
        <v>0.45833333333333331</v>
      </c>
      <c r="C125" s="89" t="s">
        <v>402</v>
      </c>
      <c r="D125" s="90" t="s">
        <v>105</v>
      </c>
      <c r="E125" s="9" t="s">
        <v>111</v>
      </c>
      <c r="F125" s="8">
        <f>(INT(Table_Ukraine[[#This Row],[Date]]) - DATE(1970, 1, 1)) * 86400000</f>
        <v>1726963200000</v>
      </c>
      <c r="G125" s="10">
        <f>'GMT Glossary'!$B$8</f>
        <v>3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14:00</v>
      </c>
    </row>
    <row r="126" spans="1:9" ht="15" customHeight="1" x14ac:dyDescent="0.25">
      <c r="A126" s="92">
        <v>45557</v>
      </c>
      <c r="B126" s="91">
        <v>0.5</v>
      </c>
      <c r="C126" s="89" t="s">
        <v>402</v>
      </c>
      <c r="D126" s="87" t="s">
        <v>389</v>
      </c>
      <c r="E126" s="9" t="s">
        <v>111</v>
      </c>
      <c r="F126" s="8">
        <f>(INT(Table_Ukraine[[#This Row],[Date]]) - DATE(1970, 1, 1)) * 86400000</f>
        <v>1726963200000</v>
      </c>
      <c r="G126" s="10">
        <f>'GMT Glossary'!$B$8</f>
        <v>3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15:00</v>
      </c>
    </row>
    <row r="127" spans="1:9" ht="15" customHeight="1" x14ac:dyDescent="0.25">
      <c r="A127" s="77">
        <v>45557</v>
      </c>
      <c r="B127" s="71">
        <v>0.54166666666666663</v>
      </c>
      <c r="C127" s="80" t="s">
        <v>8</v>
      </c>
      <c r="D127" s="83" t="s">
        <v>365</v>
      </c>
      <c r="E127" s="9" t="s">
        <v>22</v>
      </c>
      <c r="F127" s="8">
        <f>(INT(Table_Ukraine[[#This Row],[Date]]) - DATE(1970, 1, 1)) * 86400000</f>
        <v>1726963200000</v>
      </c>
      <c r="G127" s="10">
        <f>'GMT Glossary'!$B$8</f>
        <v>3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16:00</v>
      </c>
    </row>
    <row r="128" spans="1:9" ht="15" customHeight="1" x14ac:dyDescent="0.25">
      <c r="A128" s="92">
        <v>45557</v>
      </c>
      <c r="B128" s="91">
        <v>0.58333333333333337</v>
      </c>
      <c r="C128" s="89" t="s">
        <v>402</v>
      </c>
      <c r="D128" s="79" t="s">
        <v>106</v>
      </c>
      <c r="E128" s="9" t="s">
        <v>111</v>
      </c>
      <c r="F128" s="8">
        <f>(INT(Table_Ukraine[[#This Row],[Date]]) - DATE(1970, 1, 1)) * 86400000</f>
        <v>1726963200000</v>
      </c>
      <c r="G128" s="10">
        <f>'GMT Glossary'!$B$8</f>
        <v>3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17:00</v>
      </c>
    </row>
    <row r="129" spans="1:9" ht="15" customHeight="1" x14ac:dyDescent="0.25">
      <c r="A129" s="77">
        <v>45557</v>
      </c>
      <c r="B129" s="71">
        <v>0.64583333333333337</v>
      </c>
      <c r="C129" s="80" t="s">
        <v>8</v>
      </c>
      <c r="D129" s="83" t="s">
        <v>366</v>
      </c>
      <c r="E129" s="9" t="s">
        <v>22</v>
      </c>
      <c r="F129" s="8">
        <f>(INT(Table_Ukraine[[#This Row],[Date]]) - DATE(1970, 1, 1)) * 86400000</f>
        <v>1726963200000</v>
      </c>
      <c r="G129">
        <f>'GMT Glossary'!$B$8</f>
        <v>3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18:30</v>
      </c>
    </row>
    <row r="130" spans="1:9" ht="15" customHeight="1" x14ac:dyDescent="0.25">
      <c r="A130" s="92">
        <v>45557</v>
      </c>
      <c r="B130" s="91">
        <v>0.64583333333333337</v>
      </c>
      <c r="C130" s="89" t="s">
        <v>8</v>
      </c>
      <c r="D130" s="87" t="s">
        <v>390</v>
      </c>
      <c r="E130" s="9" t="s">
        <v>111</v>
      </c>
      <c r="F130" s="8">
        <f>(INT(Table_Ukraine[[#This Row],[Date]]) - DATE(1970, 1, 1)) * 86400000</f>
        <v>1726963200000</v>
      </c>
      <c r="G130" s="10">
        <f>'GMT Glossary'!$B$8</f>
        <v>3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18:30</v>
      </c>
    </row>
    <row r="131" spans="1:9" ht="15" customHeight="1" x14ac:dyDescent="0.25">
      <c r="A131" s="77">
        <v>45557</v>
      </c>
      <c r="B131" s="71">
        <v>0.72916666666666663</v>
      </c>
      <c r="C131" s="80" t="s">
        <v>8</v>
      </c>
      <c r="D131" s="85" t="s">
        <v>358</v>
      </c>
      <c r="E131" s="9" t="s">
        <v>22</v>
      </c>
      <c r="F131" s="8">
        <f>(INT(Table_Ukraine[[#This Row],[Date]]) - DATE(1970, 1, 1)) * 86400000</f>
        <v>1726963200000</v>
      </c>
      <c r="G131" s="10">
        <f>'GMT Glossary'!$B$8</f>
        <v>3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20:30</v>
      </c>
    </row>
    <row r="132" spans="1:9" ht="15" customHeight="1" x14ac:dyDescent="0.25">
      <c r="A132" s="92">
        <v>45557</v>
      </c>
      <c r="B132" s="91">
        <v>0.72916666666666663</v>
      </c>
      <c r="C132" s="89" t="s">
        <v>8</v>
      </c>
      <c r="D132" s="87" t="s">
        <v>391</v>
      </c>
      <c r="E132" s="9" t="s">
        <v>111</v>
      </c>
      <c r="F132" s="8">
        <f>(INT(Table_Ukraine[[#This Row],[Date]]) - DATE(1970, 1, 1)) * 86400000</f>
        <v>1726963200000</v>
      </c>
      <c r="G132" s="10">
        <f>'GMT Glossary'!$B$8</f>
        <v>3</v>
      </c>
      <c r="H132" s="2" t="str">
        <f>TEXT(IF(B132&lt;0, A132+1+((B132+(G132/24))-(INT(B132+(G132/24)))), A132+(B132+(G132/24))), "yyyy-mm-dd")</f>
        <v>2024-09-22</v>
      </c>
      <c r="I132" s="2" t="str">
        <f>TEXT(IF(B132&lt;0, A132+1+((B132+(G132/24))-(INT(B132+(G132/24)))), A132+(B132+(G132/24))), "hh:mm")</f>
        <v>20:30</v>
      </c>
    </row>
    <row r="133" spans="1:9" ht="15" customHeight="1" x14ac:dyDescent="0.25">
      <c r="A133" s="77">
        <v>45557</v>
      </c>
      <c r="B133" s="71">
        <v>0.8125</v>
      </c>
      <c r="C133" s="80" t="s">
        <v>8</v>
      </c>
      <c r="D133" s="85" t="s">
        <v>220</v>
      </c>
      <c r="E133" s="9" t="s">
        <v>22</v>
      </c>
      <c r="F133" s="8">
        <f>(INT(Table_Ukraine[[#This Row],[Date]]) - DATE(1970, 1, 1)) * 86400000</f>
        <v>1726963200000</v>
      </c>
      <c r="G133">
        <f>'GMT Glossary'!$B$8</f>
        <v>3</v>
      </c>
      <c r="H133" s="2" t="str">
        <f>TEXT(IF(B133&lt;0, A133+1+((B133+(G133/24))-(INT(B133+(G133/24)))), A133+(B133+(G133/24))), "yyyy-mm-dd")</f>
        <v>2024-09-22</v>
      </c>
      <c r="I133" s="2" t="str">
        <f>TEXT(IF(B133&lt;0, A133+1+((B133+(G133/24))-(INT(B133+(G133/24)))), A133+(B133+(G133/24))), "hh:mm")</f>
        <v>22:30</v>
      </c>
    </row>
    <row r="134" spans="1:9" ht="15" customHeight="1" x14ac:dyDescent="0.25">
      <c r="A134" s="92">
        <v>45557</v>
      </c>
      <c r="B134" s="91">
        <v>0.8125</v>
      </c>
      <c r="C134" s="89" t="s">
        <v>8</v>
      </c>
      <c r="D134" s="90" t="s">
        <v>392</v>
      </c>
      <c r="E134" s="9" t="s">
        <v>111</v>
      </c>
      <c r="F134" s="8">
        <f>(INT(Table_Ukraine[[#This Row],[Date]]) - DATE(1970, 1, 1)) * 86400000</f>
        <v>1726963200000</v>
      </c>
      <c r="G134" s="10">
        <f>'GMT Glossary'!$B$8</f>
        <v>3</v>
      </c>
      <c r="H134" s="2" t="str">
        <f>TEXT(IF(B134&lt;0, A134+1+((B134+(G134/24))-(INT(B134+(G134/24)))), A134+(B134+(G134/24))), "yyyy-mm-dd")</f>
        <v>2024-09-22</v>
      </c>
      <c r="I134" s="2" t="str">
        <f>TEXT(IF(B134&lt;0, A134+1+((B134+(G134/24))-(INT(B134+(G134/24)))), A134+(B134+(G134/24))), "hh:mm")</f>
        <v>22:30</v>
      </c>
    </row>
    <row r="135" spans="1:9" ht="15" customHeight="1" x14ac:dyDescent="0.25">
      <c r="A135" s="77">
        <v>45557</v>
      </c>
      <c r="B135" s="71">
        <v>0.89583333333333337</v>
      </c>
      <c r="C135" s="80" t="s">
        <v>8</v>
      </c>
      <c r="D135" s="85" t="s">
        <v>222</v>
      </c>
      <c r="E135" s="9" t="s">
        <v>22</v>
      </c>
      <c r="F135" s="8">
        <f>(INT(Table_Ukraine[[#This Row],[Date]]) - DATE(1970, 1, 1)) * 86400000</f>
        <v>1726963200000</v>
      </c>
      <c r="G135" s="10">
        <f>'GMT Glossary'!$B$8</f>
        <v>3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00:30</v>
      </c>
    </row>
    <row r="136" spans="1:9" ht="15" customHeight="1" x14ac:dyDescent="0.25">
      <c r="A136" s="92">
        <v>45557</v>
      </c>
      <c r="B136" s="91">
        <v>0.89583333333333337</v>
      </c>
      <c r="C136" s="89" t="s">
        <v>8</v>
      </c>
      <c r="D136" s="90" t="s">
        <v>251</v>
      </c>
      <c r="E136" s="9" t="s">
        <v>111</v>
      </c>
      <c r="F136" s="8">
        <f>(INT(Table_Ukraine[[#This Row],[Date]]) - DATE(1970, 1, 1)) * 86400000</f>
        <v>1726963200000</v>
      </c>
      <c r="G136" s="10">
        <f>'GMT Glossary'!$B$8</f>
        <v>3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00:30</v>
      </c>
    </row>
    <row r="137" spans="1:9" ht="15" customHeight="1" x14ac:dyDescent="0.25">
      <c r="A137" s="77">
        <v>45557</v>
      </c>
      <c r="B137" s="71">
        <v>0.97916666666666663</v>
      </c>
      <c r="C137" s="80" t="s">
        <v>8</v>
      </c>
      <c r="D137" s="85" t="s">
        <v>109</v>
      </c>
      <c r="E137" s="9" t="s">
        <v>22</v>
      </c>
      <c r="F137" s="8">
        <f>(INT(Table_Ukraine[[#This Row],[Date]]) - DATE(1970, 1, 1)) * 86400000</f>
        <v>1726963200000</v>
      </c>
      <c r="G137">
        <f>'GMT Glossary'!$B$8</f>
        <v>3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02:30</v>
      </c>
    </row>
    <row r="138" spans="1:9" ht="15" customHeight="1" x14ac:dyDescent="0.25">
      <c r="A138" s="92">
        <v>45557</v>
      </c>
      <c r="B138" s="91">
        <v>0.97916666666666663</v>
      </c>
      <c r="C138" s="89" t="s">
        <v>8</v>
      </c>
      <c r="D138" s="79" t="s">
        <v>393</v>
      </c>
      <c r="E138" s="9" t="s">
        <v>111</v>
      </c>
      <c r="F138" s="8">
        <f>(INT(Table_Ukraine[[#This Row],[Date]]) - DATE(1970, 1, 1)) * 86400000</f>
        <v>1726963200000</v>
      </c>
      <c r="G138" s="10">
        <f>'GMT Glossary'!$B$8</f>
        <v>3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02:30</v>
      </c>
    </row>
    <row r="139" spans="1:9" ht="15" customHeight="1" x14ac:dyDescent="0.25">
      <c r="A139" s="77">
        <v>45558</v>
      </c>
      <c r="B139" s="71">
        <v>6.25E-2</v>
      </c>
      <c r="C139" s="80" t="s">
        <v>8</v>
      </c>
      <c r="D139" s="85" t="s">
        <v>102</v>
      </c>
      <c r="E139" s="9" t="s">
        <v>22</v>
      </c>
      <c r="F139" s="8">
        <f>(INT(Table_Ukraine[[#This Row],[Date]]) - DATE(1970, 1, 1)) * 86400000</f>
        <v>1727049600000</v>
      </c>
      <c r="G139" s="10">
        <f>'GMT Glossary'!$B$8</f>
        <v>3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04:30</v>
      </c>
    </row>
    <row r="140" spans="1:9" ht="15" customHeight="1" x14ac:dyDescent="0.25">
      <c r="A140" s="92">
        <v>45558</v>
      </c>
      <c r="B140" s="91">
        <v>6.25E-2</v>
      </c>
      <c r="C140" s="89" t="s">
        <v>8</v>
      </c>
      <c r="D140" s="79" t="s">
        <v>277</v>
      </c>
      <c r="E140" s="9" t="s">
        <v>111</v>
      </c>
      <c r="F140" s="8">
        <f>(INT(Table_Ukraine[[#This Row],[Date]]) - DATE(1970, 1, 1)) * 86400000</f>
        <v>1727049600000</v>
      </c>
      <c r="G140" s="10">
        <f>'GMT Glossary'!$B$8</f>
        <v>3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04:30</v>
      </c>
    </row>
    <row r="141" spans="1:9" ht="15" customHeight="1" x14ac:dyDescent="0.25">
      <c r="A141" s="77">
        <v>45558</v>
      </c>
      <c r="B141" s="71">
        <v>0.14583333333333334</v>
      </c>
      <c r="C141" s="80" t="s">
        <v>398</v>
      </c>
      <c r="D141" s="85" t="s">
        <v>367</v>
      </c>
      <c r="E141" s="9" t="s">
        <v>22</v>
      </c>
      <c r="F141" s="8">
        <f>(INT(Table_Ukraine[[#This Row],[Date]]) - DATE(1970, 1, 1)) * 86400000</f>
        <v>1727049600000</v>
      </c>
      <c r="G141">
        <f>'GMT Glossary'!$B$8</f>
        <v>3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06:30</v>
      </c>
    </row>
    <row r="142" spans="1:9" ht="15" customHeight="1" x14ac:dyDescent="0.25">
      <c r="A142" s="92">
        <v>45558</v>
      </c>
      <c r="B142" s="91">
        <v>0.14583333333333334</v>
      </c>
      <c r="C142" s="89" t="s">
        <v>398</v>
      </c>
      <c r="D142" s="79" t="s">
        <v>367</v>
      </c>
      <c r="E142" s="9" t="s">
        <v>111</v>
      </c>
      <c r="F142" s="8">
        <f>(INT(Table_Ukraine[[#This Row],[Date]]) - DATE(1970, 1, 1)) * 86400000</f>
        <v>1727049600000</v>
      </c>
      <c r="G142" s="10">
        <f>'GMT Glossary'!$B$8</f>
        <v>3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06:30</v>
      </c>
    </row>
    <row r="143" spans="1:9" ht="15" customHeight="1" x14ac:dyDescent="0.25">
      <c r="A143" s="77">
        <v>45558</v>
      </c>
      <c r="B143" s="71">
        <v>0.25</v>
      </c>
      <c r="C143" s="80" t="s">
        <v>399</v>
      </c>
      <c r="D143" s="85" t="s">
        <v>357</v>
      </c>
      <c r="E143" s="9" t="s">
        <v>22</v>
      </c>
      <c r="F143" s="8">
        <f>(INT(Table_Ukraine[[#This Row],[Date]]) - DATE(1970, 1, 1)) * 86400000</f>
        <v>1727049600000</v>
      </c>
      <c r="G143" s="10">
        <f>'GMT Glossary'!$B$8</f>
        <v>3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09:00</v>
      </c>
    </row>
    <row r="144" spans="1:9" ht="15" customHeight="1" x14ac:dyDescent="0.25">
      <c r="A144" s="92">
        <v>45558</v>
      </c>
      <c r="B144" s="91">
        <v>0.25</v>
      </c>
      <c r="C144" s="89" t="s">
        <v>399</v>
      </c>
      <c r="D144" s="79" t="s">
        <v>394</v>
      </c>
      <c r="E144" s="9" t="s">
        <v>111</v>
      </c>
      <c r="F144" s="8">
        <f>(INT(Table_Ukraine[[#This Row],[Date]]) - DATE(1970, 1, 1)) * 86400000</f>
        <v>1727049600000</v>
      </c>
      <c r="G144" s="10">
        <f>'GMT Glossary'!$B$8</f>
        <v>3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09:00</v>
      </c>
    </row>
    <row r="145" spans="1:9" ht="15" customHeight="1" x14ac:dyDescent="0.25">
      <c r="A145" s="77">
        <v>45558</v>
      </c>
      <c r="B145" s="71">
        <v>0.375</v>
      </c>
      <c r="C145" s="80" t="s">
        <v>8</v>
      </c>
      <c r="D145" s="85" t="s">
        <v>219</v>
      </c>
      <c r="E145" s="9" t="s">
        <v>22</v>
      </c>
      <c r="F145" s="8">
        <f>(INT(Table_Ukraine[[#This Row],[Date]]) - DATE(1970, 1, 1)) * 86400000</f>
        <v>1727049600000</v>
      </c>
      <c r="G145">
        <f>'GMT Glossary'!$B$8</f>
        <v>3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12:00</v>
      </c>
    </row>
    <row r="146" spans="1:9" ht="15" customHeight="1" x14ac:dyDescent="0.25">
      <c r="A146" s="92">
        <v>45558</v>
      </c>
      <c r="B146" s="91">
        <v>0.375</v>
      </c>
      <c r="C146" s="89" t="s">
        <v>8</v>
      </c>
      <c r="D146" s="90" t="s">
        <v>392</v>
      </c>
      <c r="E146" s="9" t="s">
        <v>111</v>
      </c>
      <c r="F146" s="8">
        <f>(INT(Table_Ukraine[[#This Row],[Date]]) - DATE(1970, 1, 1)) * 86400000</f>
        <v>1727049600000</v>
      </c>
      <c r="G146" s="10">
        <f>'GMT Glossary'!$B$8</f>
        <v>3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12:00</v>
      </c>
    </row>
    <row r="147" spans="1:9" ht="15" customHeight="1" x14ac:dyDescent="0.25">
      <c r="A147" s="77">
        <v>45558</v>
      </c>
      <c r="B147" s="71">
        <v>0.45833333333333331</v>
      </c>
      <c r="C147" s="80" t="s">
        <v>8</v>
      </c>
      <c r="D147" s="85" t="s">
        <v>220</v>
      </c>
      <c r="E147" s="9" t="s">
        <v>22</v>
      </c>
      <c r="F147" s="8">
        <f>(INT(Table_Ukraine[[#This Row],[Date]]) - DATE(1970, 1, 1)) * 86400000</f>
        <v>1727049600000</v>
      </c>
      <c r="G147" s="10">
        <f>'GMT Glossary'!$B$8</f>
        <v>3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14:00</v>
      </c>
    </row>
    <row r="148" spans="1:9" ht="15" customHeight="1" x14ac:dyDescent="0.25">
      <c r="A148" s="92">
        <v>45558</v>
      </c>
      <c r="B148" s="91">
        <v>0.45833333333333331</v>
      </c>
      <c r="C148" s="89" t="s">
        <v>8</v>
      </c>
      <c r="D148" s="90" t="s">
        <v>251</v>
      </c>
      <c r="E148" s="9" t="s">
        <v>111</v>
      </c>
      <c r="F148" s="8">
        <f>(INT(Table_Ukraine[[#This Row],[Date]]) - DATE(1970, 1, 1)) * 86400000</f>
        <v>1727049600000</v>
      </c>
      <c r="G148" s="10">
        <f>'GMT Glossary'!$B$8</f>
        <v>3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14:00</v>
      </c>
    </row>
    <row r="149" spans="1:9" ht="15" customHeight="1" x14ac:dyDescent="0.25">
      <c r="A149" s="77">
        <v>45558</v>
      </c>
      <c r="B149" s="71">
        <v>0.54166666666666663</v>
      </c>
      <c r="C149" s="80" t="s">
        <v>8</v>
      </c>
      <c r="D149" s="85" t="s">
        <v>222</v>
      </c>
      <c r="E149" s="9" t="s">
        <v>22</v>
      </c>
      <c r="F149" s="8">
        <f>(INT(Table_Ukraine[[#This Row],[Date]]) - DATE(1970, 1, 1)) * 86400000</f>
        <v>1727049600000</v>
      </c>
      <c r="G149" s="10">
        <f>'GMT Glossary'!$B$8</f>
        <v>3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16:00</v>
      </c>
    </row>
    <row r="150" spans="1:9" ht="15" customHeight="1" x14ac:dyDescent="0.25">
      <c r="A150" s="92">
        <v>45558</v>
      </c>
      <c r="B150" s="91">
        <v>0.54166666666666663</v>
      </c>
      <c r="C150" s="89" t="s">
        <v>8</v>
      </c>
      <c r="D150" s="79" t="s">
        <v>393</v>
      </c>
      <c r="E150" s="9" t="s">
        <v>111</v>
      </c>
      <c r="F150" s="8">
        <f>(INT(Table_Ukraine[[#This Row],[Date]]) - DATE(1970, 1, 1)) * 86400000</f>
        <v>1727049600000</v>
      </c>
      <c r="G150" s="10">
        <f>'GMT Glossary'!$B$8</f>
        <v>3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16:00</v>
      </c>
    </row>
    <row r="151" spans="1:9" ht="15" customHeight="1" x14ac:dyDescent="0.25">
      <c r="A151" s="77">
        <v>45558</v>
      </c>
      <c r="B151" s="71">
        <v>0.625</v>
      </c>
      <c r="C151" s="80" t="s">
        <v>8</v>
      </c>
      <c r="D151" s="85" t="s">
        <v>368</v>
      </c>
      <c r="E151" s="9" t="s">
        <v>22</v>
      </c>
      <c r="F151" s="8">
        <f>(INT(Table_Ukraine[[#This Row],[Date]]) - DATE(1970, 1, 1)) * 86400000</f>
        <v>1727049600000</v>
      </c>
      <c r="G151">
        <f>'GMT Glossary'!$B$8</f>
        <v>3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18:00</v>
      </c>
    </row>
    <row r="152" spans="1:9" ht="15" customHeight="1" x14ac:dyDescent="0.25">
      <c r="A152" s="92">
        <v>45558</v>
      </c>
      <c r="B152" s="91">
        <v>0.625</v>
      </c>
      <c r="C152" s="89" t="s">
        <v>398</v>
      </c>
      <c r="D152" s="79" t="s">
        <v>395</v>
      </c>
      <c r="E152" s="9" t="s">
        <v>111</v>
      </c>
      <c r="F152" s="8">
        <f>(INT(Table_Ukraine[[#This Row],[Date]]) - DATE(1970, 1, 1)) * 86400000</f>
        <v>1727049600000</v>
      </c>
      <c r="G152" s="10">
        <f>'GMT Glossary'!$B$8</f>
        <v>3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18:00</v>
      </c>
    </row>
    <row r="153" spans="1:9" ht="15" customHeight="1" x14ac:dyDescent="0.25">
      <c r="A153" s="77">
        <v>45558</v>
      </c>
      <c r="B153" s="71">
        <v>0.70833333333333337</v>
      </c>
      <c r="C153" s="80" t="s">
        <v>8</v>
      </c>
      <c r="D153" s="85" t="s">
        <v>226</v>
      </c>
      <c r="E153" s="9" t="s">
        <v>22</v>
      </c>
      <c r="F153" s="8">
        <f>(INT(Table_Ukraine[[#This Row],[Date]]) - DATE(1970, 1, 1)) * 86400000</f>
        <v>1727049600000</v>
      </c>
      <c r="G153" s="10">
        <f>'GMT Glossary'!$B$8</f>
        <v>3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20:00</v>
      </c>
    </row>
    <row r="154" spans="1:9" ht="15" customHeight="1" x14ac:dyDescent="0.25">
      <c r="A154" s="92">
        <v>45558</v>
      </c>
      <c r="B154" s="91">
        <v>0.70833333333333337</v>
      </c>
      <c r="C154" s="89" t="s">
        <v>402</v>
      </c>
      <c r="D154" s="79" t="s">
        <v>396</v>
      </c>
      <c r="E154" s="9" t="s">
        <v>111</v>
      </c>
      <c r="F154" s="8">
        <f>(INT(Table_Ukraine[[#This Row],[Date]]) - DATE(1970, 1, 1)) * 86400000</f>
        <v>1727049600000</v>
      </c>
      <c r="G154" s="10">
        <f>'GMT Glossary'!$B$8</f>
        <v>3</v>
      </c>
      <c r="H154" s="2" t="str">
        <f>TEXT(IF(B154&lt;0, A154+1+((B154+(G154/24))-(INT(B154+(G154/24)))), A154+(B154+(G154/24))), "yyyy-mm-dd")</f>
        <v>2024-09-23</v>
      </c>
      <c r="I154" s="2" t="str">
        <f>TEXT(IF(B154&lt;0, A154+1+((B154+(G154/24))-(INT(B154+(G154/24)))), A154+(B154+(G154/24))), "hh:mm")</f>
        <v>20:00</v>
      </c>
    </row>
    <row r="155" spans="1:9" ht="15" customHeight="1" x14ac:dyDescent="0.25">
      <c r="A155" s="92">
        <v>45558</v>
      </c>
      <c r="B155" s="91">
        <v>0.79166666666666663</v>
      </c>
      <c r="C155" s="89" t="s">
        <v>8</v>
      </c>
      <c r="D155" s="79" t="s">
        <v>397</v>
      </c>
      <c r="E155" s="9" t="s">
        <v>111</v>
      </c>
      <c r="F155" s="8">
        <f>(INT(Table_Ukraine[[#This Row],[Date]]) - DATE(1970, 1, 1)) * 86400000</f>
        <v>1727049600000</v>
      </c>
      <c r="G155" s="10">
        <f>'GMT Glossary'!$B$8</f>
        <v>3</v>
      </c>
      <c r="H155" s="2" t="str">
        <f>TEXT(IF(B155&lt;0, A155+1+((B155+(G155/24))-(INT(B155+(G155/24)))), A155+(B155+(G155/24))), "yyyy-mm-dd")</f>
        <v>2024-09-23</v>
      </c>
      <c r="I155" s="2" t="str">
        <f>TEXT(IF(B155&lt;0, A155+1+((B155+(G155/24))-(INT(B155+(G155/24)))), A155+(B155+(G155/24))), "hh:mm")</f>
        <v>22:00</v>
      </c>
    </row>
    <row r="156" spans="1:9" ht="15" customHeight="1" x14ac:dyDescent="0.25">
      <c r="A156" s="77">
        <v>45558</v>
      </c>
      <c r="B156" s="71">
        <v>0.83333333333333337</v>
      </c>
      <c r="C156" s="80" t="s">
        <v>8</v>
      </c>
      <c r="D156" s="85" t="s">
        <v>224</v>
      </c>
      <c r="E156" s="9" t="s">
        <v>22</v>
      </c>
      <c r="F156" s="8">
        <f>(INT(Table_Ukraine[[#This Row],[Date]]) - DATE(1970, 1, 1)) * 86400000</f>
        <v>1727049600000</v>
      </c>
      <c r="G156">
        <f>'GMT Glossary'!$B$8</f>
        <v>3</v>
      </c>
      <c r="H156" s="2" t="str">
        <f>TEXT(IF(B156&lt;0, A156+1+((B156+(G156/24))-(INT(B156+(G156/24)))), A156+(B156+(G156/24))), "yyyy-mm-dd")</f>
        <v>2024-09-23</v>
      </c>
      <c r="I156" s="2" t="str">
        <f>TEXT(IF(B156&lt;0, A156+1+((B156+(G156/24))-(INT(B156+(G156/24)))), A156+(B156+(G156/24))), "hh:mm")</f>
        <v>23:00</v>
      </c>
    </row>
    <row r="157" spans="1:9" ht="15" customHeight="1" x14ac:dyDescent="0.25">
      <c r="A157" s="92">
        <v>45558</v>
      </c>
      <c r="B157" s="91">
        <v>0.875</v>
      </c>
      <c r="C157" s="89" t="s">
        <v>8</v>
      </c>
      <c r="D157" s="79" t="s">
        <v>190</v>
      </c>
      <c r="E157" s="9" t="s">
        <v>111</v>
      </c>
      <c r="F157" s="8">
        <f>(INT(Table_Ukraine[[#This Row],[Date]]) - DATE(1970, 1, 1)) * 86400000</f>
        <v>1727049600000</v>
      </c>
      <c r="G157" s="10">
        <f>'GMT Glossary'!$B$8</f>
        <v>3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00:00</v>
      </c>
    </row>
    <row r="158" spans="1:9" ht="15" customHeight="1" x14ac:dyDescent="0.25">
      <c r="A158" s="77">
        <v>45558</v>
      </c>
      <c r="B158" s="71">
        <v>0.91666666666666663</v>
      </c>
      <c r="C158" s="80" t="s">
        <v>8</v>
      </c>
      <c r="D158" s="85" t="s">
        <v>203</v>
      </c>
      <c r="E158" s="9" t="s">
        <v>22</v>
      </c>
      <c r="F158" s="8">
        <f>(INT(Table_Ukraine[[#This Row],[Date]]) - DATE(1970, 1, 1)) * 86400000</f>
        <v>1727049600000</v>
      </c>
      <c r="G158" s="10">
        <f>'GMT Glossary'!$B$8</f>
        <v>3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01:00</v>
      </c>
    </row>
    <row r="159" spans="1:9" ht="15" customHeight="1" x14ac:dyDescent="0.25">
      <c r="A159" s="92">
        <v>45558</v>
      </c>
      <c r="B159" s="91">
        <v>0.95833333333333337</v>
      </c>
      <c r="C159" s="89" t="s">
        <v>399</v>
      </c>
      <c r="D159" s="79" t="s">
        <v>394</v>
      </c>
      <c r="E159" s="9" t="s">
        <v>111</v>
      </c>
      <c r="F159" s="8">
        <f>(INT(Table_Ukraine[[#This Row],[Date]]) - DATE(1970, 1, 1)) * 86400000</f>
        <v>1727049600000</v>
      </c>
      <c r="G159" s="10">
        <f>'GMT Glossary'!$B$8</f>
        <v>3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02:00</v>
      </c>
    </row>
    <row r="160" spans="1:9" ht="15" customHeight="1" x14ac:dyDescent="0.25">
      <c r="A160" s="77">
        <v>45559</v>
      </c>
      <c r="B160" s="71">
        <v>0</v>
      </c>
      <c r="C160" s="80" t="s">
        <v>8</v>
      </c>
      <c r="D160" s="85" t="s">
        <v>206</v>
      </c>
      <c r="E160" s="9" t="s">
        <v>22</v>
      </c>
      <c r="F160" s="8">
        <f>(INT(Table_Ukraine[[#This Row],[Date]]) - DATE(1970, 1, 1)) * 86400000</f>
        <v>1727136000000</v>
      </c>
      <c r="G160">
        <f>'GMT Glossary'!$B$8</f>
        <v>3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03:00</v>
      </c>
    </row>
    <row r="161" spans="1:9" ht="15" customHeight="1" x14ac:dyDescent="0.25">
      <c r="A161" s="77">
        <v>45559</v>
      </c>
      <c r="B161" s="71">
        <v>8.3333333333333329E-2</v>
      </c>
      <c r="C161" s="80" t="s">
        <v>8</v>
      </c>
      <c r="D161" s="85" t="s">
        <v>103</v>
      </c>
      <c r="E161" s="9" t="s">
        <v>22</v>
      </c>
      <c r="F161" s="8">
        <f>(INT(Table_Ukraine[[#This Row],[Date]]) - DATE(1970, 1, 1)) * 86400000</f>
        <v>1727136000000</v>
      </c>
      <c r="G161">
        <f>'GMT Glossary'!$B$8</f>
        <v>3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05:00</v>
      </c>
    </row>
    <row r="162" spans="1:9" ht="15" customHeight="1" x14ac:dyDescent="0.25">
      <c r="A162" s="92">
        <v>45559</v>
      </c>
      <c r="B162" s="91">
        <v>8.3333333333333329E-2</v>
      </c>
      <c r="C162" s="89" t="s">
        <v>8</v>
      </c>
      <c r="D162" s="79" t="s">
        <v>372</v>
      </c>
      <c r="E162" s="9" t="s">
        <v>111</v>
      </c>
      <c r="F162" s="8">
        <f>(INT(Table_Ukraine[[#This Row],[Date]]) - DATE(1970, 1, 1)) * 86400000</f>
        <v>1727136000000</v>
      </c>
      <c r="G162" s="10">
        <f>'GMT Glossary'!$B$8</f>
        <v>3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05:00</v>
      </c>
    </row>
    <row r="163" spans="1:9" ht="15" customHeight="1" x14ac:dyDescent="0.25">
      <c r="A163" s="77">
        <v>45559</v>
      </c>
      <c r="B163" s="71">
        <v>0.16666666666666666</v>
      </c>
      <c r="C163" s="80" t="s">
        <v>399</v>
      </c>
      <c r="D163" s="85" t="s">
        <v>357</v>
      </c>
      <c r="E163" s="9" t="s">
        <v>22</v>
      </c>
      <c r="F163" s="8">
        <f>(INT(Table_Ukraine[[#This Row],[Date]]) - DATE(1970, 1, 1)) * 86400000</f>
        <v>1727136000000</v>
      </c>
      <c r="G163" s="10">
        <f>'GMT Glossary'!$B$8</f>
        <v>3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07:00</v>
      </c>
    </row>
    <row r="164" spans="1:9" ht="15" customHeight="1" x14ac:dyDescent="0.25">
      <c r="A164" s="92">
        <v>45559</v>
      </c>
      <c r="B164" s="91">
        <v>0.16666666666666666</v>
      </c>
      <c r="C164" s="89" t="s">
        <v>8</v>
      </c>
      <c r="D164" s="79" t="s">
        <v>280</v>
      </c>
      <c r="E164" s="9" t="s">
        <v>111</v>
      </c>
      <c r="F164" s="8">
        <f>(INT(Table_Ukraine[[#This Row],[Date]]) - DATE(1970, 1, 1)) * 86400000</f>
        <v>1727136000000</v>
      </c>
      <c r="G164" s="10">
        <f>'GMT Glossary'!$B$8</f>
        <v>3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07:00</v>
      </c>
    </row>
    <row r="165" spans="1:9" ht="15" customHeight="1" x14ac:dyDescent="0.25">
      <c r="A165" s="92">
        <v>45559</v>
      </c>
      <c r="B165" s="91">
        <v>0.25</v>
      </c>
      <c r="C165" s="89" t="s">
        <v>404</v>
      </c>
      <c r="D165" s="79" t="s">
        <v>363</v>
      </c>
      <c r="E165" s="9" t="s">
        <v>111</v>
      </c>
      <c r="F165" s="8">
        <f>(INT(Table_Ukraine[[#This Row],[Date]]) - DATE(1970, 1, 1)) * 86400000</f>
        <v>1727136000000</v>
      </c>
      <c r="G165" s="10">
        <f>'GMT Glossary'!$B$8</f>
        <v>3</v>
      </c>
      <c r="H165" s="2" t="str">
        <f>TEXT(IF(B165&lt;0, A165+1+((B165+(G165/24))-(INT(B165+(G165/24)))), A165+(B165+(G165/24))), "yyyy-mm-dd")</f>
        <v>2024-09-24</v>
      </c>
      <c r="I165" s="2" t="str">
        <f>TEXT(IF(B165&lt;0, A165+1+((B165+(G165/24))-(INT(B165+(G165/24)))), A165+(B165+(G165/24))), "hh:mm")</f>
        <v>09:00</v>
      </c>
    </row>
    <row r="166" spans="1:9" ht="15" customHeight="1" x14ac:dyDescent="0.25">
      <c r="A166" s="77">
        <v>45559</v>
      </c>
      <c r="B166" s="71">
        <v>0.29166666666666669</v>
      </c>
      <c r="C166" s="80" t="s">
        <v>402</v>
      </c>
      <c r="D166" s="85" t="s">
        <v>98</v>
      </c>
      <c r="E166" s="9" t="s">
        <v>22</v>
      </c>
      <c r="F166" s="8">
        <f>(INT(Table_Ukraine[[#This Row],[Date]]) - DATE(1970, 1, 1)) * 86400000</f>
        <v>1727136000000</v>
      </c>
      <c r="G166">
        <f>'GMT Glossary'!$B$8</f>
        <v>3</v>
      </c>
      <c r="H166" s="2" t="str">
        <f>TEXT(IF(B166&lt;0, A166+1+((B166+(G166/24))-(INT(B166+(G166/24)))), A166+(B166+(G166/24))), "yyyy-mm-dd")</f>
        <v>2024-09-24</v>
      </c>
      <c r="I166" s="2" t="str">
        <f>TEXT(IF(B166&lt;0, A166+1+((B166+(G166/24))-(INT(B166+(G166/24)))), A166+(B166+(G166/24))), "hh:mm")</f>
        <v>10:00</v>
      </c>
    </row>
    <row r="167" spans="1:9" ht="15" customHeight="1" x14ac:dyDescent="0.25">
      <c r="A167" s="84">
        <v>45559</v>
      </c>
      <c r="B167" s="81">
        <v>0.33333333333333331</v>
      </c>
      <c r="C167" s="62" t="s">
        <v>8</v>
      </c>
      <c r="D167" s="72" t="s">
        <v>101</v>
      </c>
      <c r="E167" s="9" t="s">
        <v>111</v>
      </c>
      <c r="F167" s="21">
        <f>(INT(Table_Ukraine[[#This Row],[Date]]) - DATE(1970, 1, 1)) * 86400000</f>
        <v>1727136000000</v>
      </c>
      <c r="G167" s="12">
        <f>'GMT Glossary'!$B$8</f>
        <v>3</v>
      </c>
      <c r="H167" s="18" t="str">
        <f>TEXT(IF(B167&lt;0, A167+1+((B167+(G167/24))-(INT(B167+(G167/24)))), A167+(B167+(G167/24))), "yyyy-mm-dd")</f>
        <v>2024-09-24</v>
      </c>
      <c r="I167" s="18" t="str">
        <f>TEXT(IF(B167&lt;0, A167+1+((B167+(G167/24))-(INT(B167+(G167/24)))), A167+(B167+(G167/24))), "hh:mm")</f>
        <v>11:00</v>
      </c>
    </row>
  </sheetData>
  <sortState ref="A2:I167">
    <sortCondition ref="A2:A167"/>
    <sortCondition ref="B2:B167"/>
  </sortState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FB83B-8965-4D7D-8379-A3C8977CECE1}">
  <sheetPr codeName="Sheet9"/>
  <dimension ref="A1:I165"/>
  <sheetViews>
    <sheetView topLeftCell="A97" workbookViewId="0">
      <selection activeCell="C126" sqref="C126"/>
    </sheetView>
  </sheetViews>
  <sheetFormatPr defaultRowHeight="15" x14ac:dyDescent="0.25"/>
  <cols>
    <col min="3" max="3" width="36.7109375" customWidth="1"/>
    <col min="4" max="4" width="50.28515625" customWidth="1"/>
    <col min="5" max="5" width="39.85546875" customWidth="1"/>
    <col min="6" max="6" width="51" style="8" customWidth="1"/>
    <col min="8" max="8" width="54.85546875" customWidth="1"/>
    <col min="9" max="9" width="29.2851562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9" x14ac:dyDescent="0.25">
      <c r="A2" s="50">
        <v>45552</v>
      </c>
      <c r="B2" s="47">
        <v>0.375</v>
      </c>
      <c r="C2" s="59" t="s">
        <v>8</v>
      </c>
      <c r="D2" s="35" t="s">
        <v>78</v>
      </c>
      <c r="E2" s="9" t="s">
        <v>21</v>
      </c>
      <c r="F2" s="8">
        <f>(INT(Table_Kyrgyzstan[[#This Row],[Date]]) - DATE(1970, 1, 1)) * 86400000</f>
        <v>1726531200000</v>
      </c>
      <c r="G2">
        <f>'GMT Glossary'!$B$4</f>
        <v>6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15:00</v>
      </c>
    </row>
    <row r="3" spans="1:9" x14ac:dyDescent="0.25">
      <c r="A3" s="46">
        <v>45552</v>
      </c>
      <c r="B3" s="38">
        <v>0.375</v>
      </c>
      <c r="C3" s="49" t="s">
        <v>8</v>
      </c>
      <c r="D3" s="35" t="s">
        <v>108</v>
      </c>
      <c r="E3" s="9" t="s">
        <v>72</v>
      </c>
      <c r="F3" s="8">
        <f>(INT(Table_Kyrgyzstan[[#This Row],[Date]]) - DATE(1970, 1, 1)) * 86400000</f>
        <v>1726531200000</v>
      </c>
      <c r="G3" s="10">
        <f>'GMT Glossary'!$B$4</f>
        <v>6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15:00</v>
      </c>
    </row>
    <row r="4" spans="1:9" x14ac:dyDescent="0.25">
      <c r="A4" s="50">
        <v>45552</v>
      </c>
      <c r="B4" s="47">
        <v>0.45833333333333331</v>
      </c>
      <c r="C4" s="59" t="s">
        <v>8</v>
      </c>
      <c r="D4" s="35" t="s">
        <v>195</v>
      </c>
      <c r="E4" s="9" t="s">
        <v>21</v>
      </c>
      <c r="F4" s="8">
        <f>(INT(Table_Kyrgyzstan[[#This Row],[Date]]) - DATE(1970, 1, 1)) * 86400000</f>
        <v>1726531200000</v>
      </c>
      <c r="G4" s="10">
        <f>'GMT Glossary'!$B$4</f>
        <v>6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17:00</v>
      </c>
    </row>
    <row r="5" spans="1:9" x14ac:dyDescent="0.25">
      <c r="A5" s="46">
        <v>45552</v>
      </c>
      <c r="B5" s="38">
        <v>0.45833333333333331</v>
      </c>
      <c r="C5" s="49" t="s">
        <v>8</v>
      </c>
      <c r="D5" s="55" t="s">
        <v>229</v>
      </c>
      <c r="E5" s="9" t="s">
        <v>72</v>
      </c>
      <c r="F5" s="8">
        <f>(INT(Table_Kyrgyzstan[[#This Row],[Date]]) - DATE(1970, 1, 1)) * 86400000</f>
        <v>1726531200000</v>
      </c>
      <c r="G5">
        <f>'GMT Glossary'!$B$4</f>
        <v>6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17:00</v>
      </c>
    </row>
    <row r="6" spans="1:9" x14ac:dyDescent="0.25">
      <c r="A6" s="50">
        <v>45552</v>
      </c>
      <c r="B6" s="47">
        <v>0.54166666666666663</v>
      </c>
      <c r="C6" s="59" t="s">
        <v>8</v>
      </c>
      <c r="D6" s="35" t="s">
        <v>129</v>
      </c>
      <c r="E6" s="9" t="s">
        <v>21</v>
      </c>
      <c r="F6" s="8">
        <f>(INT(Table_Kyrgyzstan[[#This Row],[Date]]) - DATE(1970, 1, 1)) * 86400000</f>
        <v>1726531200000</v>
      </c>
      <c r="G6">
        <f>'GMT Glossary'!$B$4</f>
        <v>6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19:00</v>
      </c>
    </row>
    <row r="7" spans="1:9" x14ac:dyDescent="0.25">
      <c r="A7" s="46">
        <v>45552</v>
      </c>
      <c r="B7" s="38">
        <v>0.54166666666666663</v>
      </c>
      <c r="C7" s="49" t="s">
        <v>8</v>
      </c>
      <c r="D7" s="55" t="s">
        <v>230</v>
      </c>
      <c r="E7" s="9" t="s">
        <v>72</v>
      </c>
      <c r="F7" s="8">
        <f>(INT(Table_Kyrgyzstan[[#This Row],[Date]]) - DATE(1970, 1, 1)) * 86400000</f>
        <v>1726531200000</v>
      </c>
      <c r="G7" s="10">
        <f>'GMT Glossary'!$B$4</f>
        <v>6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19:00</v>
      </c>
    </row>
    <row r="8" spans="1:9" x14ac:dyDescent="0.25">
      <c r="A8" s="50">
        <v>45552</v>
      </c>
      <c r="B8" s="47">
        <v>0.625</v>
      </c>
      <c r="C8" s="59" t="s">
        <v>8</v>
      </c>
      <c r="D8" s="35" t="s">
        <v>79</v>
      </c>
      <c r="E8" s="9" t="s">
        <v>21</v>
      </c>
      <c r="F8" s="8">
        <f>(INT(Table_Kyrgyzstan[[#This Row],[Date]]) - DATE(1970, 1, 1)) * 86400000</f>
        <v>1726531200000</v>
      </c>
      <c r="G8" s="10">
        <f>'GMT Glossary'!$B$4</f>
        <v>6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21:00</v>
      </c>
    </row>
    <row r="9" spans="1:9" x14ac:dyDescent="0.25">
      <c r="A9" s="46">
        <v>45552</v>
      </c>
      <c r="B9" s="38">
        <v>0.625</v>
      </c>
      <c r="C9" s="49" t="s">
        <v>8</v>
      </c>
      <c r="D9" s="35" t="s">
        <v>88</v>
      </c>
      <c r="E9" s="9" t="s">
        <v>72</v>
      </c>
      <c r="F9" s="8">
        <f>(INT(Table_Kyrgyzstan[[#This Row],[Date]]) - DATE(1970, 1, 1)) * 86400000</f>
        <v>1726531200000</v>
      </c>
      <c r="G9">
        <f>'GMT Glossary'!$B$4</f>
        <v>6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21:00</v>
      </c>
    </row>
    <row r="10" spans="1:9" x14ac:dyDescent="0.25">
      <c r="A10" s="50">
        <v>45552</v>
      </c>
      <c r="B10" s="47">
        <v>0.70833333333333337</v>
      </c>
      <c r="C10" s="59" t="s">
        <v>8</v>
      </c>
      <c r="D10" s="35" t="s">
        <v>43</v>
      </c>
      <c r="E10" s="9" t="s">
        <v>21</v>
      </c>
      <c r="F10" s="8">
        <f>(INT(Table_Kyrgyzstan[[#This Row],[Date]]) - DATE(1970, 1, 1)) * 86400000</f>
        <v>1726531200000</v>
      </c>
      <c r="G10">
        <f>'GMT Glossary'!$B$4</f>
        <v>6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23:00</v>
      </c>
    </row>
    <row r="11" spans="1:9" x14ac:dyDescent="0.25">
      <c r="A11" s="46">
        <v>45552</v>
      </c>
      <c r="B11" s="38">
        <v>0.70833333333333337</v>
      </c>
      <c r="C11" s="49" t="s">
        <v>8</v>
      </c>
      <c r="D11" s="55" t="s">
        <v>93</v>
      </c>
      <c r="E11" s="9" t="s">
        <v>72</v>
      </c>
      <c r="F11" s="8">
        <f>(INT(Table_Kyrgyzstan[[#This Row],[Date]]) - DATE(1970, 1, 1)) * 86400000</f>
        <v>1726531200000</v>
      </c>
      <c r="G11" s="10">
        <f>'GMT Glossary'!$B$4</f>
        <v>6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23:00</v>
      </c>
    </row>
    <row r="12" spans="1:9" x14ac:dyDescent="0.25">
      <c r="A12" s="46">
        <v>45552</v>
      </c>
      <c r="B12" s="38">
        <v>0.78125</v>
      </c>
      <c r="C12" s="49" t="s">
        <v>8</v>
      </c>
      <c r="D12" s="61" t="s">
        <v>231</v>
      </c>
      <c r="E12" s="9" t="s">
        <v>72</v>
      </c>
      <c r="F12" s="8">
        <f>(INT(Table_Kyrgyzstan[[#This Row],[Date]]) - DATE(1970, 1, 1)) * 86400000</f>
        <v>1726531200000</v>
      </c>
      <c r="G12">
        <f>'GMT Glossary'!$B$4</f>
        <v>6</v>
      </c>
      <c r="H12" s="2" t="str">
        <f>TEXT(IF(B12&lt;0, A12+1+((B12+(G12/24))-(INT(B12+(G12/24)))), A12+(B12+(G12/24))), "yyyy-mm-dd")</f>
        <v>2024-09-18</v>
      </c>
      <c r="I12" s="2" t="str">
        <f>TEXT(IF(B12&lt;0, A12+1+((B12+(G12/24))-(INT(B12+(G12/24)))), A12+(B12+(G12/24))), "hh:mm")</f>
        <v>00:45</v>
      </c>
    </row>
    <row r="13" spans="1:9" x14ac:dyDescent="0.25">
      <c r="A13" s="50">
        <v>45552</v>
      </c>
      <c r="B13" s="47">
        <v>0.79166666666666663</v>
      </c>
      <c r="C13" s="59" t="s">
        <v>8</v>
      </c>
      <c r="D13" s="56" t="s">
        <v>196</v>
      </c>
      <c r="E13" s="9" t="s">
        <v>21</v>
      </c>
      <c r="F13" s="8">
        <f>(INT(Table_Kyrgyzstan[[#This Row],[Date]]) - DATE(1970, 1, 1)) * 86400000</f>
        <v>1726531200000</v>
      </c>
      <c r="G13" s="10">
        <f>'GMT Glossary'!$B$4</f>
        <v>6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01:00</v>
      </c>
    </row>
    <row r="14" spans="1:9" x14ac:dyDescent="0.25">
      <c r="A14" s="50">
        <v>45552</v>
      </c>
      <c r="B14" s="47">
        <v>0.875</v>
      </c>
      <c r="C14" s="59" t="s">
        <v>8</v>
      </c>
      <c r="D14" s="35" t="s">
        <v>197</v>
      </c>
      <c r="E14" s="9" t="s">
        <v>21</v>
      </c>
      <c r="F14" s="8">
        <f>(INT(Table_Kyrgyzstan[[#This Row],[Date]]) - DATE(1970, 1, 1)) * 86400000</f>
        <v>1726531200000</v>
      </c>
      <c r="G14">
        <f>'GMT Glossary'!$B$4</f>
        <v>6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03:00</v>
      </c>
    </row>
    <row r="15" spans="1:9" x14ac:dyDescent="0.25">
      <c r="A15" s="46">
        <v>45552</v>
      </c>
      <c r="B15" s="38">
        <v>0.875</v>
      </c>
      <c r="C15" s="49" t="s">
        <v>8</v>
      </c>
      <c r="D15" s="35" t="s">
        <v>89</v>
      </c>
      <c r="E15" s="9" t="s">
        <v>72</v>
      </c>
      <c r="F15" s="8">
        <f>(INT(Table_Kyrgyzstan[[#This Row],[Date]]) - DATE(1970, 1, 1)) * 86400000</f>
        <v>1726531200000</v>
      </c>
      <c r="G15" s="10">
        <f>'GMT Glossary'!$B$4</f>
        <v>6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03:00</v>
      </c>
    </row>
    <row r="16" spans="1:9" x14ac:dyDescent="0.25">
      <c r="A16" s="50">
        <v>45552</v>
      </c>
      <c r="B16" s="47">
        <v>0.95833333333333337</v>
      </c>
      <c r="C16" s="59" t="s">
        <v>8</v>
      </c>
      <c r="D16" s="35" t="s">
        <v>198</v>
      </c>
      <c r="E16" s="9" t="s">
        <v>21</v>
      </c>
      <c r="F16" s="8">
        <f>(INT(Table_Kyrgyzstan[[#This Row],[Date]]) - DATE(1970, 1, 1)) * 86400000</f>
        <v>1726531200000</v>
      </c>
      <c r="G16" s="10">
        <f>'GMT Glossary'!$B$4</f>
        <v>6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05:00</v>
      </c>
    </row>
    <row r="17" spans="1:9" x14ac:dyDescent="0.25">
      <c r="A17" s="46">
        <v>45552</v>
      </c>
      <c r="B17" s="38">
        <v>0.95833333333333337</v>
      </c>
      <c r="C17" s="49" t="s">
        <v>8</v>
      </c>
      <c r="D17" s="55" t="s">
        <v>232</v>
      </c>
      <c r="E17" s="9" t="s">
        <v>72</v>
      </c>
      <c r="F17" s="8">
        <f>(INT(Table_Kyrgyzstan[[#This Row],[Date]]) - DATE(1970, 1, 1)) * 86400000</f>
        <v>1726531200000</v>
      </c>
      <c r="G17">
        <f>'GMT Glossary'!$B$4</f>
        <v>6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05:00</v>
      </c>
    </row>
    <row r="18" spans="1:9" x14ac:dyDescent="0.25">
      <c r="A18" s="50">
        <v>45553</v>
      </c>
      <c r="B18" s="47">
        <v>4.1666666666666664E-2</v>
      </c>
      <c r="C18" s="59" t="s">
        <v>8</v>
      </c>
      <c r="D18" s="35" t="s">
        <v>74</v>
      </c>
      <c r="E18" s="9" t="s">
        <v>21</v>
      </c>
      <c r="F18" s="8">
        <f>(INT(Table_Kyrgyzstan[[#This Row],[Date]]) - DATE(1970, 1, 1)) * 86400000</f>
        <v>1726617600000</v>
      </c>
      <c r="G18">
        <f>'GMT Glossary'!$B$4</f>
        <v>6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07:00</v>
      </c>
    </row>
    <row r="19" spans="1:9" x14ac:dyDescent="0.25">
      <c r="A19" s="50">
        <v>45553</v>
      </c>
      <c r="B19" s="47">
        <v>4.1666666666666664E-2</v>
      </c>
      <c r="C19" s="59" t="s">
        <v>8</v>
      </c>
      <c r="D19" s="35" t="s">
        <v>75</v>
      </c>
      <c r="E19" s="9" t="s">
        <v>21</v>
      </c>
      <c r="F19" s="8">
        <f>(INT(Table_Kyrgyzstan[[#This Row],[Date]]) - DATE(1970, 1, 1)) * 86400000</f>
        <v>1726617600000</v>
      </c>
      <c r="G19" s="10">
        <f>'GMT Glossary'!$B$4</f>
        <v>6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07:00</v>
      </c>
    </row>
    <row r="20" spans="1:9" x14ac:dyDescent="0.25">
      <c r="A20" s="46">
        <v>45553</v>
      </c>
      <c r="B20" s="38">
        <v>4.1666666666666664E-2</v>
      </c>
      <c r="C20" s="49" t="s">
        <v>8</v>
      </c>
      <c r="D20" s="35" t="s">
        <v>102</v>
      </c>
      <c r="E20" s="9" t="s">
        <v>72</v>
      </c>
      <c r="F20" s="8">
        <f>(INT(Table_Kyrgyzstan[[#This Row],[Date]]) - DATE(1970, 1, 1)) * 86400000</f>
        <v>1726617600000</v>
      </c>
      <c r="G20" s="10">
        <f>'GMT Glossary'!$B$4</f>
        <v>6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07:00</v>
      </c>
    </row>
    <row r="21" spans="1:9" x14ac:dyDescent="0.25">
      <c r="A21" s="50">
        <v>45553</v>
      </c>
      <c r="B21" s="47">
        <v>0.125</v>
      </c>
      <c r="C21" s="59" t="s">
        <v>8</v>
      </c>
      <c r="D21" s="58" t="s">
        <v>77</v>
      </c>
      <c r="E21" s="9" t="s">
        <v>21</v>
      </c>
      <c r="F21" s="8">
        <f>(INT(Table_Kyrgyzstan[[#This Row],[Date]]) - DATE(1970, 1, 1)) * 86400000</f>
        <v>1726617600000</v>
      </c>
      <c r="G21" s="10">
        <f>'GMT Glossary'!$B$4</f>
        <v>6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09:00</v>
      </c>
    </row>
    <row r="22" spans="1:9" x14ac:dyDescent="0.25">
      <c r="A22" s="46">
        <v>45553</v>
      </c>
      <c r="B22" s="38">
        <v>0.125</v>
      </c>
      <c r="C22" s="49" t="s">
        <v>401</v>
      </c>
      <c r="D22" s="35" t="s">
        <v>81</v>
      </c>
      <c r="E22" s="9" t="s">
        <v>72</v>
      </c>
      <c r="F22" s="8">
        <f>(INT(Table_Kyrgyzstan[[#This Row],[Date]]) - DATE(1970, 1, 1)) * 86400000</f>
        <v>1726617600000</v>
      </c>
      <c r="G22">
        <f>'GMT Glossary'!$B$4</f>
        <v>6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09:00</v>
      </c>
    </row>
    <row r="23" spans="1:9" x14ac:dyDescent="0.25">
      <c r="A23" s="50">
        <v>45553</v>
      </c>
      <c r="B23" s="47">
        <v>0.20833333333333334</v>
      </c>
      <c r="C23" s="59" t="s">
        <v>8</v>
      </c>
      <c r="D23" s="35" t="s">
        <v>80</v>
      </c>
      <c r="E23" s="9" t="s">
        <v>21</v>
      </c>
      <c r="F23" s="8">
        <f>(INT(Table_Kyrgyzstan[[#This Row],[Date]]) - DATE(1970, 1, 1)) * 86400000</f>
        <v>1726617600000</v>
      </c>
      <c r="G23" s="10">
        <f>'GMT Glossary'!$B$4</f>
        <v>6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11:00</v>
      </c>
    </row>
    <row r="24" spans="1:9" x14ac:dyDescent="0.25">
      <c r="A24" s="46">
        <v>45553</v>
      </c>
      <c r="B24" s="38">
        <v>0.25</v>
      </c>
      <c r="C24" s="49" t="s">
        <v>402</v>
      </c>
      <c r="D24" s="55" t="s">
        <v>82</v>
      </c>
      <c r="E24" s="9" t="s">
        <v>72</v>
      </c>
      <c r="F24" s="8">
        <f>(INT(Table_Kyrgyzstan[[#This Row],[Date]]) - DATE(1970, 1, 1)) * 86400000</f>
        <v>1726617600000</v>
      </c>
      <c r="G24" s="10">
        <f>'GMT Glossary'!$B$4</f>
        <v>6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12:00</v>
      </c>
    </row>
    <row r="25" spans="1:9" x14ac:dyDescent="0.25">
      <c r="A25" s="50">
        <v>45553</v>
      </c>
      <c r="B25" s="47">
        <v>0.29166666666666669</v>
      </c>
      <c r="C25" s="59" t="s">
        <v>8</v>
      </c>
      <c r="D25" s="35" t="s">
        <v>199</v>
      </c>
      <c r="E25" s="9" t="s">
        <v>21</v>
      </c>
      <c r="F25" s="8">
        <f>(INT(Table_Kyrgyzstan[[#This Row],[Date]]) - DATE(1970, 1, 1)) * 86400000</f>
        <v>1726617600000</v>
      </c>
      <c r="G25">
        <f>'GMT Glossary'!$B$4</f>
        <v>6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13:00</v>
      </c>
    </row>
    <row r="26" spans="1:9" x14ac:dyDescent="0.25">
      <c r="A26" s="50">
        <v>45553</v>
      </c>
      <c r="B26" s="47">
        <v>0.375</v>
      </c>
      <c r="C26" s="59" t="s">
        <v>8</v>
      </c>
      <c r="D26" s="35" t="s">
        <v>200</v>
      </c>
      <c r="E26" s="9" t="s">
        <v>21</v>
      </c>
      <c r="F26" s="8">
        <f>(INT(Table_Kyrgyzstan[[#This Row],[Date]]) - DATE(1970, 1, 1)) * 86400000</f>
        <v>1726617600000</v>
      </c>
      <c r="G26">
        <f>'GMT Glossary'!$B$4</f>
        <v>6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15:00</v>
      </c>
    </row>
    <row r="27" spans="1:9" x14ac:dyDescent="0.25">
      <c r="A27" s="46">
        <v>45553</v>
      </c>
      <c r="B27" s="38">
        <v>0.375</v>
      </c>
      <c r="C27" s="49" t="s">
        <v>8</v>
      </c>
      <c r="D27" s="55" t="s">
        <v>90</v>
      </c>
      <c r="E27" s="9" t="s">
        <v>72</v>
      </c>
      <c r="F27" s="8">
        <f>(INT(Table_Kyrgyzstan[[#This Row],[Date]]) - DATE(1970, 1, 1)) * 86400000</f>
        <v>1726617600000</v>
      </c>
      <c r="G27" s="10">
        <f>'GMT Glossary'!$B$4</f>
        <v>6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15:00</v>
      </c>
    </row>
    <row r="28" spans="1:9" x14ac:dyDescent="0.25">
      <c r="A28" s="50">
        <v>45553</v>
      </c>
      <c r="B28" s="47">
        <v>0.41666666666666669</v>
      </c>
      <c r="C28" s="59" t="s">
        <v>8</v>
      </c>
      <c r="D28" s="35" t="s">
        <v>99</v>
      </c>
      <c r="E28" s="9" t="s">
        <v>21</v>
      </c>
      <c r="F28" s="8">
        <f>(INT(Table_Kyrgyzstan[[#This Row],[Date]]) - DATE(1970, 1, 1)) * 86400000</f>
        <v>1726617600000</v>
      </c>
      <c r="G28" s="10">
        <f>'GMT Glossary'!$B$4</f>
        <v>6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16:00</v>
      </c>
    </row>
    <row r="29" spans="1:9" x14ac:dyDescent="0.25">
      <c r="A29" s="50">
        <v>45553</v>
      </c>
      <c r="B29" s="47">
        <v>0.45833333333333331</v>
      </c>
      <c r="C29" s="59" t="s">
        <v>8</v>
      </c>
      <c r="D29" s="35" t="s">
        <v>201</v>
      </c>
      <c r="E29" s="9" t="s">
        <v>21</v>
      </c>
      <c r="F29" s="8">
        <f>(INT(Table_Kyrgyzstan[[#This Row],[Date]]) - DATE(1970, 1, 1)) * 86400000</f>
        <v>1726617600000</v>
      </c>
      <c r="G29">
        <f>'GMT Glossary'!$B$4</f>
        <v>6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17:00</v>
      </c>
    </row>
    <row r="30" spans="1:9" x14ac:dyDescent="0.25">
      <c r="A30" s="46">
        <v>45553</v>
      </c>
      <c r="B30" s="38">
        <v>0.45833333333333331</v>
      </c>
      <c r="C30" s="49" t="s">
        <v>8</v>
      </c>
      <c r="D30" s="35" t="s">
        <v>108</v>
      </c>
      <c r="E30" s="9" t="s">
        <v>72</v>
      </c>
      <c r="F30" s="8">
        <f>(INT(Table_Kyrgyzstan[[#This Row],[Date]]) - DATE(1970, 1, 1)) * 86400000</f>
        <v>1726617600000</v>
      </c>
      <c r="G30">
        <f>'GMT Glossary'!$B$4</f>
        <v>6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17:00</v>
      </c>
    </row>
    <row r="31" spans="1:9" x14ac:dyDescent="0.25">
      <c r="A31" s="50">
        <v>45553</v>
      </c>
      <c r="B31" s="47">
        <v>0.5</v>
      </c>
      <c r="C31" s="59" t="s">
        <v>8</v>
      </c>
      <c r="D31" s="35" t="s">
        <v>202</v>
      </c>
      <c r="E31" s="9" t="s">
        <v>21</v>
      </c>
      <c r="F31" s="8">
        <f>(INT(Table_Kyrgyzstan[[#This Row],[Date]]) - DATE(1970, 1, 1)) * 86400000</f>
        <v>1726617600000</v>
      </c>
      <c r="G31" s="10">
        <f>'GMT Glossary'!$B$4</f>
        <v>6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18:00</v>
      </c>
    </row>
    <row r="32" spans="1:9" x14ac:dyDescent="0.25">
      <c r="A32" s="50">
        <v>45553</v>
      </c>
      <c r="B32" s="47">
        <v>0.54166666666666663</v>
      </c>
      <c r="C32" s="59" t="s">
        <v>8</v>
      </c>
      <c r="D32" s="35" t="s">
        <v>203</v>
      </c>
      <c r="E32" s="9" t="s">
        <v>21</v>
      </c>
      <c r="F32" s="8">
        <f>(INT(Table_Kyrgyzstan[[#This Row],[Date]]) - DATE(1970, 1, 1)) * 86400000</f>
        <v>1726617600000</v>
      </c>
      <c r="G32">
        <f>'GMT Glossary'!$B$4</f>
        <v>6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19:00</v>
      </c>
    </row>
    <row r="33" spans="1:9" x14ac:dyDescent="0.25">
      <c r="A33" s="46">
        <v>45553</v>
      </c>
      <c r="B33" s="38">
        <v>0.54166666666666663</v>
      </c>
      <c r="C33" s="49" t="s">
        <v>8</v>
      </c>
      <c r="D33" s="35" t="s">
        <v>35</v>
      </c>
      <c r="E33" s="9" t="s">
        <v>72</v>
      </c>
      <c r="F33" s="8">
        <f>(INT(Table_Kyrgyzstan[[#This Row],[Date]]) - DATE(1970, 1, 1)) * 86400000</f>
        <v>1726617600000</v>
      </c>
      <c r="G33" s="10">
        <f>'GMT Glossary'!$B$4</f>
        <v>6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19:00</v>
      </c>
    </row>
    <row r="34" spans="1:9" x14ac:dyDescent="0.25">
      <c r="A34" s="50">
        <v>45553</v>
      </c>
      <c r="B34" s="47">
        <v>0.625</v>
      </c>
      <c r="C34" s="59" t="s">
        <v>8</v>
      </c>
      <c r="D34" s="58" t="s">
        <v>74</v>
      </c>
      <c r="E34" s="9" t="s">
        <v>21</v>
      </c>
      <c r="F34" s="8">
        <f>(INT(Table_Kyrgyzstan[[#This Row],[Date]]) - DATE(1970, 1, 1)) * 86400000</f>
        <v>1726617600000</v>
      </c>
      <c r="G34">
        <f>'GMT Glossary'!$B$4</f>
        <v>6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21:00</v>
      </c>
    </row>
    <row r="35" spans="1:9" x14ac:dyDescent="0.25">
      <c r="A35" s="46">
        <v>45553</v>
      </c>
      <c r="B35" s="38">
        <v>0.625</v>
      </c>
      <c r="C35" s="49" t="s">
        <v>8</v>
      </c>
      <c r="D35" s="55" t="s">
        <v>86</v>
      </c>
      <c r="E35" s="9" t="s">
        <v>72</v>
      </c>
      <c r="F35" s="8">
        <f>(INT(Table_Kyrgyzstan[[#This Row],[Date]]) - DATE(1970, 1, 1)) * 86400000</f>
        <v>1726617600000</v>
      </c>
      <c r="G35">
        <f>'GMT Glossary'!$B$4</f>
        <v>6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21:00</v>
      </c>
    </row>
    <row r="36" spans="1:9" x14ac:dyDescent="0.25">
      <c r="A36" s="50">
        <v>45553</v>
      </c>
      <c r="B36" s="47">
        <v>0.70833333333333337</v>
      </c>
      <c r="C36" s="59" t="s">
        <v>8</v>
      </c>
      <c r="D36" s="35" t="s">
        <v>115</v>
      </c>
      <c r="E36" s="9" t="s">
        <v>21</v>
      </c>
      <c r="F36" s="8">
        <f>(INT(Table_Kyrgyzstan[[#This Row],[Date]]) - DATE(1970, 1, 1)) * 86400000</f>
        <v>1726617600000</v>
      </c>
      <c r="G36" s="10">
        <f>'GMT Glossary'!$B$4</f>
        <v>6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23:00</v>
      </c>
    </row>
    <row r="37" spans="1:9" x14ac:dyDescent="0.25">
      <c r="A37" s="46">
        <v>45553</v>
      </c>
      <c r="B37" s="38">
        <v>0.70833333333333337</v>
      </c>
      <c r="C37" s="49" t="s">
        <v>8</v>
      </c>
      <c r="D37" s="61" t="s">
        <v>126</v>
      </c>
      <c r="E37" s="9" t="s">
        <v>72</v>
      </c>
      <c r="F37" s="8">
        <f>(INT(Table_Kyrgyzstan[[#This Row],[Date]]) - DATE(1970, 1, 1)) * 86400000</f>
        <v>1726617600000</v>
      </c>
      <c r="G37" s="10">
        <f>'GMT Glossary'!$B$4</f>
        <v>6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23:00</v>
      </c>
    </row>
    <row r="38" spans="1:9" x14ac:dyDescent="0.25">
      <c r="A38" s="50">
        <v>45553</v>
      </c>
      <c r="B38" s="47">
        <v>0.79166666666666663</v>
      </c>
      <c r="C38" s="59" t="s">
        <v>8</v>
      </c>
      <c r="D38" s="56" t="s">
        <v>204</v>
      </c>
      <c r="E38" s="9" t="s">
        <v>21</v>
      </c>
      <c r="F38" s="8">
        <f>(INT(Table_Kyrgyzstan[[#This Row],[Date]]) - DATE(1970, 1, 1)) * 86400000</f>
        <v>1726617600000</v>
      </c>
      <c r="G38">
        <f>'GMT Glossary'!$B$4</f>
        <v>6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01:00</v>
      </c>
    </row>
    <row r="39" spans="1:9" x14ac:dyDescent="0.25">
      <c r="A39" s="46">
        <v>45553</v>
      </c>
      <c r="B39" s="38">
        <v>0.79166666666666663</v>
      </c>
      <c r="C39" s="49" t="s">
        <v>8</v>
      </c>
      <c r="D39" s="55" t="s">
        <v>64</v>
      </c>
      <c r="E39" s="9" t="s">
        <v>72</v>
      </c>
      <c r="F39" s="8">
        <f>(INT(Table_Kyrgyzstan[[#This Row],[Date]]) - DATE(1970, 1, 1)) * 86400000</f>
        <v>1726617600000</v>
      </c>
      <c r="G39">
        <f>'GMT Glossary'!$B$4</f>
        <v>6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01:00</v>
      </c>
    </row>
    <row r="40" spans="1:9" x14ac:dyDescent="0.25">
      <c r="A40" s="50">
        <v>45553</v>
      </c>
      <c r="B40" s="47">
        <v>0.875</v>
      </c>
      <c r="C40" s="59" t="s">
        <v>8</v>
      </c>
      <c r="D40" s="35" t="s">
        <v>205</v>
      </c>
      <c r="E40" s="9" t="s">
        <v>21</v>
      </c>
      <c r="F40" s="8">
        <f>(INT(Table_Kyrgyzstan[[#This Row],[Date]]) - DATE(1970, 1, 1)) * 86400000</f>
        <v>1726617600000</v>
      </c>
      <c r="G40" s="10">
        <f>'GMT Glossary'!$B$4</f>
        <v>6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03:00</v>
      </c>
    </row>
    <row r="41" spans="1:9" x14ac:dyDescent="0.25">
      <c r="A41" s="46">
        <v>45553</v>
      </c>
      <c r="B41" s="38">
        <v>0.875</v>
      </c>
      <c r="C41" s="49" t="s">
        <v>8</v>
      </c>
      <c r="D41" s="35" t="s">
        <v>88</v>
      </c>
      <c r="E41" s="9" t="s">
        <v>72</v>
      </c>
      <c r="F41" s="8">
        <f>(INT(Table_Kyrgyzstan[[#This Row],[Date]]) - DATE(1970, 1, 1)) * 86400000</f>
        <v>1726617600000</v>
      </c>
      <c r="G41" s="10">
        <f>'GMT Glossary'!$B$4</f>
        <v>6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03:00</v>
      </c>
    </row>
    <row r="42" spans="1:9" x14ac:dyDescent="0.25">
      <c r="A42" s="50">
        <v>45553</v>
      </c>
      <c r="B42" s="47">
        <v>0.95833333333333337</v>
      </c>
      <c r="C42" s="59" t="s">
        <v>8</v>
      </c>
      <c r="D42" s="35" t="s">
        <v>73</v>
      </c>
      <c r="E42" s="9" t="s">
        <v>21</v>
      </c>
      <c r="F42" s="8">
        <f>(INT(Table_Kyrgyzstan[[#This Row],[Date]]) - DATE(1970, 1, 1)) * 86400000</f>
        <v>1726617600000</v>
      </c>
      <c r="G42">
        <f>'GMT Glossary'!$B$4</f>
        <v>6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05:00</v>
      </c>
    </row>
    <row r="43" spans="1:9" x14ac:dyDescent="0.25">
      <c r="A43" s="46">
        <v>45553</v>
      </c>
      <c r="B43" s="38">
        <v>0.95833333333333337</v>
      </c>
      <c r="C43" s="49" t="s">
        <v>8</v>
      </c>
      <c r="D43" s="55" t="s">
        <v>40</v>
      </c>
      <c r="E43" s="9" t="s">
        <v>72</v>
      </c>
      <c r="F43" s="8">
        <f>(INT(Table_Kyrgyzstan[[#This Row],[Date]]) - DATE(1970, 1, 1)) * 86400000</f>
        <v>1726617600000</v>
      </c>
      <c r="G43" s="10">
        <f>'GMT Glossary'!$B$4</f>
        <v>6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05:00</v>
      </c>
    </row>
    <row r="44" spans="1:9" x14ac:dyDescent="0.25">
      <c r="A44" s="46">
        <v>45554</v>
      </c>
      <c r="B44" s="38">
        <v>4.1666666666666664E-2</v>
      </c>
      <c r="C44" s="49" t="s">
        <v>402</v>
      </c>
      <c r="D44" s="55" t="s">
        <v>91</v>
      </c>
      <c r="E44" s="9" t="s">
        <v>72</v>
      </c>
      <c r="F44" s="8">
        <f>(INT(Table_Kyrgyzstan[[#This Row],[Date]]) - DATE(1970, 1, 1)) * 86400000</f>
        <v>1726704000000</v>
      </c>
      <c r="G44">
        <f>'GMT Glossary'!$B$4</f>
        <v>6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07:00</v>
      </c>
    </row>
    <row r="45" spans="1:9" x14ac:dyDescent="0.25">
      <c r="A45" s="50">
        <v>45554</v>
      </c>
      <c r="B45" s="47">
        <v>0.125</v>
      </c>
      <c r="C45" s="59" t="s">
        <v>8</v>
      </c>
      <c r="D45" s="35" t="s">
        <v>78</v>
      </c>
      <c r="E45" s="9" t="s">
        <v>21</v>
      </c>
      <c r="F45" s="8">
        <f>(INT(Table_Kyrgyzstan[[#This Row],[Date]]) - DATE(1970, 1, 1)) * 86400000</f>
        <v>1726704000000</v>
      </c>
      <c r="G45">
        <f>'GMT Glossary'!$B$4</f>
        <v>6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09:00</v>
      </c>
    </row>
    <row r="46" spans="1:9" x14ac:dyDescent="0.25">
      <c r="A46" s="46">
        <v>45554</v>
      </c>
      <c r="B46" s="38">
        <v>0.16666666666666666</v>
      </c>
      <c r="C46" s="49" t="s">
        <v>401</v>
      </c>
      <c r="D46" s="58" t="s">
        <v>81</v>
      </c>
      <c r="E46" s="9" t="s">
        <v>72</v>
      </c>
      <c r="F46" s="8">
        <f>(INT(Table_Kyrgyzstan[[#This Row],[Date]]) - DATE(1970, 1, 1)) * 86400000</f>
        <v>1726704000000</v>
      </c>
      <c r="G46">
        <f>'GMT Glossary'!$B$4</f>
        <v>6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10:00</v>
      </c>
    </row>
    <row r="47" spans="1:9" x14ac:dyDescent="0.25">
      <c r="A47" s="50">
        <v>45554</v>
      </c>
      <c r="B47" s="47">
        <v>0.20833333333333334</v>
      </c>
      <c r="C47" s="59" t="s">
        <v>8</v>
      </c>
      <c r="D47" s="58" t="s">
        <v>195</v>
      </c>
      <c r="E47" s="9" t="s">
        <v>21</v>
      </c>
      <c r="F47" s="8">
        <f>(INT(Table_Kyrgyzstan[[#This Row],[Date]]) - DATE(1970, 1, 1)) * 86400000</f>
        <v>1726704000000</v>
      </c>
      <c r="G47">
        <f>'GMT Glossary'!$B$4</f>
        <v>6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11:00</v>
      </c>
    </row>
    <row r="48" spans="1:9" x14ac:dyDescent="0.25">
      <c r="A48" s="50">
        <v>45554</v>
      </c>
      <c r="B48" s="47">
        <v>0.29166666666666669</v>
      </c>
      <c r="C48" s="59" t="s">
        <v>8</v>
      </c>
      <c r="D48" s="35" t="s">
        <v>79</v>
      </c>
      <c r="E48" s="9" t="s">
        <v>21</v>
      </c>
      <c r="F48" s="8">
        <f>(INT(Table_Kyrgyzstan[[#This Row],[Date]]) - DATE(1970, 1, 1)) * 86400000</f>
        <v>1726704000000</v>
      </c>
      <c r="G48" s="10">
        <f>'GMT Glossary'!$B$4</f>
        <v>6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13:00</v>
      </c>
    </row>
    <row r="49" spans="1:9" x14ac:dyDescent="0.25">
      <c r="A49" s="46">
        <v>45554</v>
      </c>
      <c r="B49" s="38">
        <v>0.29166666666666669</v>
      </c>
      <c r="C49" s="49" t="s">
        <v>8</v>
      </c>
      <c r="D49" s="55" t="s">
        <v>233</v>
      </c>
      <c r="E49" s="9" t="s">
        <v>72</v>
      </c>
      <c r="F49" s="8">
        <f>(INT(Table_Kyrgyzstan[[#This Row],[Date]]) - DATE(1970, 1, 1)) * 86400000</f>
        <v>1726704000000</v>
      </c>
      <c r="G49" s="10">
        <f>'GMT Glossary'!$B$4</f>
        <v>6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13:00</v>
      </c>
    </row>
    <row r="50" spans="1:9" x14ac:dyDescent="0.25">
      <c r="A50" s="50">
        <v>45554</v>
      </c>
      <c r="B50" s="47">
        <v>0.375</v>
      </c>
      <c r="C50" s="59" t="s">
        <v>8</v>
      </c>
      <c r="D50" s="35" t="s">
        <v>200</v>
      </c>
      <c r="E50" s="9" t="s">
        <v>21</v>
      </c>
      <c r="F50" s="8">
        <f>(INT(Table_Kyrgyzstan[[#This Row],[Date]]) - DATE(1970, 1, 1)) * 86400000</f>
        <v>1726704000000</v>
      </c>
      <c r="G50">
        <f>'GMT Glossary'!$B$4</f>
        <v>6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15:00</v>
      </c>
    </row>
    <row r="51" spans="1:9" x14ac:dyDescent="0.25">
      <c r="A51" s="46">
        <v>45554</v>
      </c>
      <c r="B51" s="38">
        <v>0.375</v>
      </c>
      <c r="C51" s="49" t="s">
        <v>8</v>
      </c>
      <c r="D51" s="35" t="s">
        <v>102</v>
      </c>
      <c r="E51" s="9" t="s">
        <v>72</v>
      </c>
      <c r="F51" s="8">
        <f>(INT(Table_Kyrgyzstan[[#This Row],[Date]]) - DATE(1970, 1, 1)) * 86400000</f>
        <v>1726704000000</v>
      </c>
      <c r="G51">
        <f>'GMT Glossary'!$B$4</f>
        <v>6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15:00</v>
      </c>
    </row>
    <row r="52" spans="1:9" x14ac:dyDescent="0.25">
      <c r="A52" s="50">
        <v>45554</v>
      </c>
      <c r="B52" s="47">
        <v>0.41666666666666669</v>
      </c>
      <c r="C52" s="59" t="s">
        <v>8</v>
      </c>
      <c r="D52" s="35" t="s">
        <v>99</v>
      </c>
      <c r="E52" s="9" t="s">
        <v>21</v>
      </c>
      <c r="F52" s="8">
        <f>(INT(Table_Kyrgyzstan[[#This Row],[Date]]) - DATE(1970, 1, 1)) * 86400000</f>
        <v>1726704000000</v>
      </c>
      <c r="G52">
        <f>'GMT Glossary'!$B$4</f>
        <v>6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16:00</v>
      </c>
    </row>
    <row r="53" spans="1:9" x14ac:dyDescent="0.25">
      <c r="A53" s="50">
        <v>45554</v>
      </c>
      <c r="B53" s="47">
        <v>0.45833333333333331</v>
      </c>
      <c r="C53" s="59" t="s">
        <v>8</v>
      </c>
      <c r="D53" s="35" t="s">
        <v>201</v>
      </c>
      <c r="E53" s="9" t="s">
        <v>21</v>
      </c>
      <c r="F53" s="8">
        <f>(INT(Table_Kyrgyzstan[[#This Row],[Date]]) - DATE(1970, 1, 1)) * 86400000</f>
        <v>1726704000000</v>
      </c>
      <c r="G53" s="10">
        <f>'GMT Glossary'!$B$4</f>
        <v>6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17:00</v>
      </c>
    </row>
    <row r="54" spans="1:9" x14ac:dyDescent="0.25">
      <c r="A54" s="46">
        <v>45554</v>
      </c>
      <c r="B54" s="38">
        <v>0.45833333333333331</v>
      </c>
      <c r="C54" s="49" t="s">
        <v>8</v>
      </c>
      <c r="D54" s="55" t="s">
        <v>84</v>
      </c>
      <c r="E54" s="9" t="s">
        <v>72</v>
      </c>
      <c r="F54" s="8">
        <f>(INT(Table_Kyrgyzstan[[#This Row],[Date]]) - DATE(1970, 1, 1)) * 86400000</f>
        <v>1726704000000</v>
      </c>
      <c r="G54" s="10">
        <f>'GMT Glossary'!$B$4</f>
        <v>6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17:00</v>
      </c>
    </row>
    <row r="55" spans="1:9" x14ac:dyDescent="0.25">
      <c r="A55" s="50">
        <v>45554</v>
      </c>
      <c r="B55" s="47">
        <v>0.5</v>
      </c>
      <c r="C55" s="59" t="s">
        <v>8</v>
      </c>
      <c r="D55" s="58" t="s">
        <v>202</v>
      </c>
      <c r="E55" s="9" t="s">
        <v>21</v>
      </c>
      <c r="F55" s="8">
        <f>(INT(Table_Kyrgyzstan[[#This Row],[Date]]) - DATE(1970, 1, 1)) * 86400000</f>
        <v>1726704000000</v>
      </c>
      <c r="G55">
        <f>'GMT Glossary'!$B$4</f>
        <v>6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18:00</v>
      </c>
    </row>
    <row r="56" spans="1:9" x14ac:dyDescent="0.25">
      <c r="A56" s="50">
        <v>45554</v>
      </c>
      <c r="B56" s="47">
        <v>0.54166666666666663</v>
      </c>
      <c r="C56" s="59" t="s">
        <v>8</v>
      </c>
      <c r="D56" s="58" t="s">
        <v>206</v>
      </c>
      <c r="E56" s="9" t="s">
        <v>21</v>
      </c>
      <c r="F56" s="8">
        <f>(INT(Table_Kyrgyzstan[[#This Row],[Date]]) - DATE(1970, 1, 1)) * 86400000</f>
        <v>1726704000000</v>
      </c>
      <c r="G56">
        <f>'GMT Glossary'!$B$4</f>
        <v>6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19:00</v>
      </c>
    </row>
    <row r="57" spans="1:9" x14ac:dyDescent="0.25">
      <c r="A57" s="46">
        <v>45554</v>
      </c>
      <c r="B57" s="38">
        <v>0.54166666666666663</v>
      </c>
      <c r="C57" s="49" t="s">
        <v>8</v>
      </c>
      <c r="D57" s="58" t="s">
        <v>35</v>
      </c>
      <c r="E57" s="9" t="s">
        <v>72</v>
      </c>
      <c r="F57" s="8">
        <f>(INT(Table_Kyrgyzstan[[#This Row],[Date]]) - DATE(1970, 1, 1)) * 86400000</f>
        <v>1726704000000</v>
      </c>
      <c r="G57">
        <f>'GMT Glossary'!$B$4</f>
        <v>6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19:00</v>
      </c>
    </row>
    <row r="58" spans="1:9" x14ac:dyDescent="0.25">
      <c r="A58" s="50">
        <v>45554</v>
      </c>
      <c r="B58" s="47">
        <v>0.625</v>
      </c>
      <c r="C58" s="59" t="s">
        <v>8</v>
      </c>
      <c r="D58" s="58" t="s">
        <v>43</v>
      </c>
      <c r="E58" s="9" t="s">
        <v>21</v>
      </c>
      <c r="F58" s="8">
        <f>(INT(Table_Kyrgyzstan[[#This Row],[Date]]) - DATE(1970, 1, 1)) * 86400000</f>
        <v>1726704000000</v>
      </c>
      <c r="G58" s="10">
        <f>'GMT Glossary'!$B$4</f>
        <v>6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21:00</v>
      </c>
    </row>
    <row r="59" spans="1:9" x14ac:dyDescent="0.25">
      <c r="A59" s="46">
        <v>45554</v>
      </c>
      <c r="B59" s="38">
        <v>0.625</v>
      </c>
      <c r="C59" s="49" t="s">
        <v>8</v>
      </c>
      <c r="D59" s="55" t="s">
        <v>234</v>
      </c>
      <c r="E59" s="9" t="s">
        <v>72</v>
      </c>
      <c r="F59" s="8">
        <f>(INT(Table_Kyrgyzstan[[#This Row],[Date]]) - DATE(1970, 1, 1)) * 86400000</f>
        <v>1726704000000</v>
      </c>
      <c r="G59" s="10">
        <f>'GMT Glossary'!$B$4</f>
        <v>6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21:00</v>
      </c>
    </row>
    <row r="60" spans="1:9" x14ac:dyDescent="0.25">
      <c r="A60" s="50">
        <v>45554</v>
      </c>
      <c r="B60" s="47">
        <v>0.70833333333333337</v>
      </c>
      <c r="C60" s="59" t="s">
        <v>8</v>
      </c>
      <c r="D60" s="56" t="s">
        <v>207</v>
      </c>
      <c r="E60" s="9" t="s">
        <v>21</v>
      </c>
      <c r="F60" s="8">
        <f>(INT(Table_Kyrgyzstan[[#This Row],[Date]]) - DATE(1970, 1, 1)) * 86400000</f>
        <v>1726704000000</v>
      </c>
      <c r="G60">
        <f>'GMT Glossary'!$B$4</f>
        <v>6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23:00</v>
      </c>
    </row>
    <row r="61" spans="1:9" x14ac:dyDescent="0.25">
      <c r="A61" s="46">
        <v>45554</v>
      </c>
      <c r="B61" s="38">
        <v>0.70833333333333337</v>
      </c>
      <c r="C61" s="49" t="s">
        <v>8</v>
      </c>
      <c r="D61" s="35" t="s">
        <v>89</v>
      </c>
      <c r="E61" s="9" t="s">
        <v>72</v>
      </c>
      <c r="F61" s="8">
        <f>(INT(Table_Kyrgyzstan[[#This Row],[Date]]) - DATE(1970, 1, 1)) * 86400000</f>
        <v>1726704000000</v>
      </c>
      <c r="G61">
        <f>'GMT Glossary'!$B$4</f>
        <v>6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23:00</v>
      </c>
    </row>
    <row r="62" spans="1:9" x14ac:dyDescent="0.25">
      <c r="A62" s="50">
        <v>45554</v>
      </c>
      <c r="B62" s="47">
        <v>0.79166666666666663</v>
      </c>
      <c r="C62" s="59" t="s">
        <v>8</v>
      </c>
      <c r="D62" s="35" t="s">
        <v>197</v>
      </c>
      <c r="E62" s="9" t="s">
        <v>21</v>
      </c>
      <c r="F62" s="8">
        <f>(INT(Table_Kyrgyzstan[[#This Row],[Date]]) - DATE(1970, 1, 1)) * 86400000</f>
        <v>1726704000000</v>
      </c>
      <c r="G62" s="10">
        <f>'GMT Glossary'!$B$4</f>
        <v>6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01:00</v>
      </c>
    </row>
    <row r="63" spans="1:9" x14ac:dyDescent="0.25">
      <c r="A63" s="46">
        <v>45554</v>
      </c>
      <c r="B63" s="38">
        <v>0.79166666666666663</v>
      </c>
      <c r="C63" s="49" t="s">
        <v>8</v>
      </c>
      <c r="D63" s="55" t="s">
        <v>42</v>
      </c>
      <c r="E63" s="9" t="s">
        <v>72</v>
      </c>
      <c r="F63" s="8">
        <f>(INT(Table_Kyrgyzstan[[#This Row],[Date]]) - DATE(1970, 1, 1)) * 86400000</f>
        <v>1726704000000</v>
      </c>
      <c r="G63" s="10">
        <f>'GMT Glossary'!$B$4</f>
        <v>6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01:00</v>
      </c>
    </row>
    <row r="64" spans="1:9" x14ac:dyDescent="0.25">
      <c r="A64" s="50">
        <v>45554</v>
      </c>
      <c r="B64" s="47">
        <v>0.875</v>
      </c>
      <c r="C64" s="59" t="s">
        <v>8</v>
      </c>
      <c r="D64" s="35" t="s">
        <v>77</v>
      </c>
      <c r="E64" s="9" t="s">
        <v>21</v>
      </c>
      <c r="F64" s="8">
        <f>(INT(Table_Kyrgyzstan[[#This Row],[Date]]) - DATE(1970, 1, 1)) * 86400000</f>
        <v>1726704000000</v>
      </c>
      <c r="G64">
        <f>'GMT Glossary'!$B$4</f>
        <v>6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03:00</v>
      </c>
    </row>
    <row r="65" spans="1:9" x14ac:dyDescent="0.25">
      <c r="A65" s="46">
        <v>45554</v>
      </c>
      <c r="B65" s="38">
        <v>0.875</v>
      </c>
      <c r="C65" s="49" t="s">
        <v>8</v>
      </c>
      <c r="D65" s="35" t="s">
        <v>88</v>
      </c>
      <c r="E65" s="9" t="s">
        <v>72</v>
      </c>
      <c r="F65" s="8">
        <f>(INT(Table_Kyrgyzstan[[#This Row],[Date]]) - DATE(1970, 1, 1)) * 86400000</f>
        <v>1726704000000</v>
      </c>
      <c r="G65">
        <f>'GMT Glossary'!$B$4</f>
        <v>6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03:00</v>
      </c>
    </row>
    <row r="66" spans="1:9" x14ac:dyDescent="0.25">
      <c r="A66" s="50">
        <v>45554</v>
      </c>
      <c r="B66" s="47">
        <v>0.95833333333333337</v>
      </c>
      <c r="C66" s="59" t="s">
        <v>8</v>
      </c>
      <c r="D66" s="58" t="s">
        <v>76</v>
      </c>
      <c r="E66" s="9" t="s">
        <v>21</v>
      </c>
      <c r="F66" s="8">
        <f>(INT(Table_Kyrgyzstan[[#This Row],[Date]]) - DATE(1970, 1, 1)) * 86400000</f>
        <v>1726704000000</v>
      </c>
      <c r="G66" s="10">
        <f>'GMT Glossary'!$B$4</f>
        <v>6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05:00</v>
      </c>
    </row>
    <row r="67" spans="1:9" x14ac:dyDescent="0.25">
      <c r="A67" s="46">
        <v>45554</v>
      </c>
      <c r="B67" s="38">
        <v>0.95833333333333337</v>
      </c>
      <c r="C67" s="49" t="s">
        <v>8</v>
      </c>
      <c r="D67" s="55" t="s">
        <v>93</v>
      </c>
      <c r="E67" s="9" t="s">
        <v>72</v>
      </c>
      <c r="F67" s="8">
        <f>(INT(Table_Kyrgyzstan[[#This Row],[Date]]) - DATE(1970, 1, 1)) * 86400000</f>
        <v>1726704000000</v>
      </c>
      <c r="G67" s="10">
        <f>'GMT Glossary'!$B$4</f>
        <v>6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05:00</v>
      </c>
    </row>
    <row r="68" spans="1:9" x14ac:dyDescent="0.25">
      <c r="A68" s="50">
        <v>45555</v>
      </c>
      <c r="B68" s="47">
        <v>4.1666666666666664E-2</v>
      </c>
      <c r="C68" s="59" t="s">
        <v>8</v>
      </c>
      <c r="D68" s="58" t="s">
        <v>198</v>
      </c>
      <c r="E68" s="9" t="s">
        <v>21</v>
      </c>
      <c r="F68" s="8">
        <f>(INT(Table_Kyrgyzstan[[#This Row],[Date]]) - DATE(1970, 1, 1)) * 86400000</f>
        <v>1726790400000</v>
      </c>
      <c r="G68">
        <f>'GMT Glossary'!$B$4</f>
        <v>6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07:00</v>
      </c>
    </row>
    <row r="69" spans="1:9" x14ac:dyDescent="0.25">
      <c r="A69" s="46">
        <v>45555</v>
      </c>
      <c r="B69" s="38">
        <v>4.1666666666666664E-2</v>
      </c>
      <c r="C69" s="49" t="s">
        <v>402</v>
      </c>
      <c r="D69" s="55" t="s">
        <v>83</v>
      </c>
      <c r="E69" s="9" t="s">
        <v>72</v>
      </c>
      <c r="F69" s="8">
        <f>(INT(Table_Kyrgyzstan[[#This Row],[Date]]) - DATE(1970, 1, 1)) * 86400000</f>
        <v>1726790400000</v>
      </c>
      <c r="G69">
        <f>'GMT Glossary'!$B$4</f>
        <v>6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07:00</v>
      </c>
    </row>
    <row r="70" spans="1:9" x14ac:dyDescent="0.25">
      <c r="A70" s="50">
        <v>45555</v>
      </c>
      <c r="B70" s="47">
        <v>0.125</v>
      </c>
      <c r="C70" s="59" t="s">
        <v>8</v>
      </c>
      <c r="D70" s="35" t="s">
        <v>74</v>
      </c>
      <c r="E70" s="9" t="s">
        <v>21</v>
      </c>
      <c r="F70" s="8">
        <f>(INT(Table_Kyrgyzstan[[#This Row],[Date]]) - DATE(1970, 1, 1)) * 86400000</f>
        <v>1726790400000</v>
      </c>
      <c r="G70" s="10">
        <f>'GMT Glossary'!$B$4</f>
        <v>6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09:00</v>
      </c>
    </row>
    <row r="71" spans="1:9" x14ac:dyDescent="0.25">
      <c r="A71" s="46">
        <v>45555</v>
      </c>
      <c r="B71" s="38">
        <v>0.125</v>
      </c>
      <c r="C71" s="49" t="s">
        <v>8</v>
      </c>
      <c r="D71" s="55" t="s">
        <v>235</v>
      </c>
      <c r="E71" s="9" t="s">
        <v>72</v>
      </c>
      <c r="F71" s="8">
        <f>(INT(Table_Kyrgyzstan[[#This Row],[Date]]) - DATE(1970, 1, 1)) * 86400000</f>
        <v>1726790400000</v>
      </c>
      <c r="G71" s="10">
        <f>'GMT Glossary'!$B$4</f>
        <v>6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09:00</v>
      </c>
    </row>
    <row r="72" spans="1:9" x14ac:dyDescent="0.25">
      <c r="A72" s="50">
        <v>45555</v>
      </c>
      <c r="B72" s="47">
        <v>0.20833333333333334</v>
      </c>
      <c r="C72" s="59" t="s">
        <v>8</v>
      </c>
      <c r="D72" s="35" t="s">
        <v>80</v>
      </c>
      <c r="E72" s="9" t="s">
        <v>21</v>
      </c>
      <c r="F72" s="8">
        <f>(INT(Table_Kyrgyzstan[[#This Row],[Date]]) - DATE(1970, 1, 1)) * 86400000</f>
        <v>1726790400000</v>
      </c>
      <c r="G72">
        <f>'GMT Glossary'!$B$4</f>
        <v>6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11:00</v>
      </c>
    </row>
    <row r="73" spans="1:9" x14ac:dyDescent="0.25">
      <c r="A73" s="46">
        <v>45555</v>
      </c>
      <c r="B73" s="38">
        <v>0.20833333333333334</v>
      </c>
      <c r="C73" s="49" t="s">
        <v>398</v>
      </c>
      <c r="D73" s="56" t="s">
        <v>236</v>
      </c>
      <c r="E73" s="9" t="s">
        <v>72</v>
      </c>
      <c r="F73" s="8">
        <f>(INT(Table_Kyrgyzstan[[#This Row],[Date]]) - DATE(1970, 1, 1)) * 86400000</f>
        <v>1726790400000</v>
      </c>
      <c r="G73">
        <f>'GMT Glossary'!$B$4</f>
        <v>6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11:00</v>
      </c>
    </row>
    <row r="74" spans="1:9" x14ac:dyDescent="0.25">
      <c r="A74" s="46">
        <v>45555</v>
      </c>
      <c r="B74" s="38">
        <v>0.27083333333333331</v>
      </c>
      <c r="C74" s="49" t="s">
        <v>398</v>
      </c>
      <c r="D74" s="56" t="s">
        <v>237</v>
      </c>
      <c r="E74" s="9" t="s">
        <v>72</v>
      </c>
      <c r="F74" s="8">
        <f>(INT(Table_Kyrgyzstan[[#This Row],[Date]]) - DATE(1970, 1, 1)) * 86400000</f>
        <v>1726790400000</v>
      </c>
      <c r="G74" s="10">
        <f>'GMT Glossary'!$B$4</f>
        <v>6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12:30</v>
      </c>
    </row>
    <row r="75" spans="1:9" x14ac:dyDescent="0.25">
      <c r="A75" s="50">
        <v>45555</v>
      </c>
      <c r="B75" s="47">
        <v>0.29166666666666669</v>
      </c>
      <c r="C75" s="59" t="s">
        <v>8</v>
      </c>
      <c r="D75" s="35" t="s">
        <v>205</v>
      </c>
      <c r="E75" s="9" t="s">
        <v>21</v>
      </c>
      <c r="F75" s="8">
        <f>(INT(Table_Kyrgyzstan[[#This Row],[Date]]) - DATE(1970, 1, 1)) * 86400000</f>
        <v>1726790400000</v>
      </c>
      <c r="G75" s="10">
        <f>'GMT Glossary'!$B$4</f>
        <v>6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13:00</v>
      </c>
    </row>
    <row r="76" spans="1:9" x14ac:dyDescent="0.25">
      <c r="A76" s="46">
        <v>45555</v>
      </c>
      <c r="B76" s="38">
        <v>0.33333333333333331</v>
      </c>
      <c r="C76" s="49" t="s">
        <v>398</v>
      </c>
      <c r="D76" s="56" t="s">
        <v>238</v>
      </c>
      <c r="E76" s="9" t="s">
        <v>72</v>
      </c>
      <c r="F76" s="8">
        <f>(INT(Table_Kyrgyzstan[[#This Row],[Date]]) - DATE(1970, 1, 1)) * 86400000</f>
        <v>1726790400000</v>
      </c>
      <c r="G76">
        <f>'GMT Glossary'!$B$4</f>
        <v>6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14:00</v>
      </c>
    </row>
    <row r="77" spans="1:9" x14ac:dyDescent="0.25">
      <c r="A77" s="50">
        <v>45555</v>
      </c>
      <c r="B77" s="47">
        <v>0.375</v>
      </c>
      <c r="C77" s="59" t="s">
        <v>8</v>
      </c>
      <c r="D77" s="35" t="s">
        <v>203</v>
      </c>
      <c r="E77" s="9" t="s">
        <v>21</v>
      </c>
      <c r="F77" s="8">
        <f>(INT(Table_Kyrgyzstan[[#This Row],[Date]]) - DATE(1970, 1, 1)) * 86400000</f>
        <v>1726790400000</v>
      </c>
      <c r="G77">
        <f>'GMT Glossary'!$B$4</f>
        <v>6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15:00</v>
      </c>
    </row>
    <row r="78" spans="1:9" x14ac:dyDescent="0.25">
      <c r="A78" s="46">
        <v>45555</v>
      </c>
      <c r="B78" s="38">
        <v>0.41666666666666669</v>
      </c>
      <c r="C78" s="49" t="s">
        <v>398</v>
      </c>
      <c r="D78" s="56" t="s">
        <v>239</v>
      </c>
      <c r="E78" s="9" t="s">
        <v>72</v>
      </c>
      <c r="F78" s="8">
        <f>(INT(Table_Kyrgyzstan[[#This Row],[Date]]) - DATE(1970, 1, 1)) * 86400000</f>
        <v>1726790400000</v>
      </c>
      <c r="G78" s="10">
        <f>'GMT Glossary'!$B$4</f>
        <v>6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16:00</v>
      </c>
    </row>
    <row r="79" spans="1:9" x14ac:dyDescent="0.25">
      <c r="A79" s="50">
        <v>45555</v>
      </c>
      <c r="B79" s="47">
        <v>0.45833333333333331</v>
      </c>
      <c r="C79" s="59" t="s">
        <v>8</v>
      </c>
      <c r="D79" s="35" t="s">
        <v>73</v>
      </c>
      <c r="E79" s="9" t="s">
        <v>21</v>
      </c>
      <c r="F79" s="8">
        <f>(INT(Table_Kyrgyzstan[[#This Row],[Date]]) - DATE(1970, 1, 1)) * 86400000</f>
        <v>1726790400000</v>
      </c>
      <c r="G79" s="10">
        <f>'GMT Glossary'!$B$4</f>
        <v>6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17:00</v>
      </c>
    </row>
    <row r="80" spans="1:9" x14ac:dyDescent="0.25">
      <c r="A80" s="50">
        <v>45555</v>
      </c>
      <c r="B80" s="47">
        <v>0.54166666666666663</v>
      </c>
      <c r="C80" s="59" t="s">
        <v>8</v>
      </c>
      <c r="D80" s="35" t="s">
        <v>78</v>
      </c>
      <c r="E80" s="9" t="s">
        <v>21</v>
      </c>
      <c r="F80" s="8">
        <f>(INT(Table_Kyrgyzstan[[#This Row],[Date]]) - DATE(1970, 1, 1)) * 86400000</f>
        <v>1726790400000</v>
      </c>
      <c r="G80" s="10">
        <f>'GMT Glossary'!$B$4</f>
        <v>6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19:00</v>
      </c>
    </row>
    <row r="81" spans="1:9" x14ac:dyDescent="0.25">
      <c r="A81" s="46">
        <v>45555</v>
      </c>
      <c r="B81" s="38">
        <v>0.54166666666666663</v>
      </c>
      <c r="C81" s="49" t="s">
        <v>8</v>
      </c>
      <c r="D81" s="55" t="s">
        <v>232</v>
      </c>
      <c r="E81" s="9" t="s">
        <v>72</v>
      </c>
      <c r="F81" s="8">
        <f>(INT(Table_Kyrgyzstan[[#This Row],[Date]]) - DATE(1970, 1, 1)) * 86400000</f>
        <v>1726790400000</v>
      </c>
      <c r="G81">
        <f>'GMT Glossary'!$B$4</f>
        <v>6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19:00</v>
      </c>
    </row>
    <row r="82" spans="1:9" x14ac:dyDescent="0.25">
      <c r="A82" s="50">
        <v>45555</v>
      </c>
      <c r="B82" s="47">
        <v>0.625</v>
      </c>
      <c r="C82" s="59" t="s">
        <v>8</v>
      </c>
      <c r="D82" s="35" t="s">
        <v>59</v>
      </c>
      <c r="E82" s="9" t="s">
        <v>21</v>
      </c>
      <c r="F82" s="8">
        <f>(INT(Table_Kyrgyzstan[[#This Row],[Date]]) - DATE(1970, 1, 1)) * 86400000</f>
        <v>1726790400000</v>
      </c>
      <c r="G82">
        <f>'GMT Glossary'!$B$4</f>
        <v>6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21:00</v>
      </c>
    </row>
    <row r="83" spans="1:9" x14ac:dyDescent="0.25">
      <c r="A83" s="46">
        <v>45555</v>
      </c>
      <c r="B83" s="38">
        <v>0.64583333333333337</v>
      </c>
      <c r="C83" s="49" t="s">
        <v>399</v>
      </c>
      <c r="D83" s="56" t="s">
        <v>131</v>
      </c>
      <c r="E83" s="9" t="s">
        <v>72</v>
      </c>
      <c r="F83" s="8">
        <f>(INT(Table_Kyrgyzstan[[#This Row],[Date]]) - DATE(1970, 1, 1)) * 86400000</f>
        <v>1726790400000</v>
      </c>
      <c r="G83" s="10">
        <f>'GMT Glossary'!$B$4</f>
        <v>6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21:30</v>
      </c>
    </row>
    <row r="84" spans="1:9" x14ac:dyDescent="0.25">
      <c r="A84" s="50">
        <v>45555</v>
      </c>
      <c r="B84" s="47">
        <v>0.6875</v>
      </c>
      <c r="C84" s="59" t="s">
        <v>8</v>
      </c>
      <c r="D84" s="56" t="s">
        <v>208</v>
      </c>
      <c r="E84" s="9" t="s">
        <v>21</v>
      </c>
      <c r="F84" s="8">
        <f>(INT(Table_Kyrgyzstan[[#This Row],[Date]]) - DATE(1970, 1, 1)) * 86400000</f>
        <v>1726790400000</v>
      </c>
      <c r="G84" s="10">
        <f>'GMT Glossary'!$B$4</f>
        <v>6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22:30</v>
      </c>
    </row>
    <row r="85" spans="1:9" x14ac:dyDescent="0.25">
      <c r="A85" s="50">
        <v>45555</v>
      </c>
      <c r="B85" s="47">
        <v>0.78125</v>
      </c>
      <c r="C85" s="59" t="s">
        <v>8</v>
      </c>
      <c r="D85" s="56" t="s">
        <v>209</v>
      </c>
      <c r="E85" s="9" t="s">
        <v>21</v>
      </c>
      <c r="F85" s="8">
        <f>(INT(Table_Kyrgyzstan[[#This Row],[Date]]) - DATE(1970, 1, 1)) * 86400000</f>
        <v>1726790400000</v>
      </c>
      <c r="G85">
        <f>'GMT Glossary'!$B$4</f>
        <v>6</v>
      </c>
      <c r="H85" s="2" t="str">
        <f>TEXT(IF(B85&lt;0, A85+1+((B85+(G85/24))-(INT(B85+(G85/24)))), A85+(B85+(G85/24))), "yyyy-mm-dd")</f>
        <v>2024-09-21</v>
      </c>
      <c r="I85" s="2" t="str">
        <f>TEXT(IF(B85&lt;0, A85+1+((B85+(G85/24))-(INT(B85+(G85/24)))), A85+(B85+(G85/24))), "hh:mm")</f>
        <v>00:45</v>
      </c>
    </row>
    <row r="86" spans="1:9" x14ac:dyDescent="0.25">
      <c r="A86" s="46">
        <v>45555</v>
      </c>
      <c r="B86" s="38">
        <v>0.79166666666666663</v>
      </c>
      <c r="C86" s="49" t="s">
        <v>8</v>
      </c>
      <c r="D86" s="55" t="s">
        <v>90</v>
      </c>
      <c r="E86" s="9" t="s">
        <v>72</v>
      </c>
      <c r="F86" s="8">
        <f>(INT(Table_Kyrgyzstan[[#This Row],[Date]]) - DATE(1970, 1, 1)) * 86400000</f>
        <v>1726790400000</v>
      </c>
      <c r="G86">
        <f>'GMT Glossary'!$B$4</f>
        <v>6</v>
      </c>
      <c r="H86" s="2" t="str">
        <f>TEXT(IF(B86&lt;0, A86+1+((B86+(G86/24))-(INT(B86+(G86/24)))), A86+(B86+(G86/24))), "yyyy-mm-dd")</f>
        <v>2024-09-21</v>
      </c>
      <c r="I86" s="2" t="str">
        <f>TEXT(IF(B86&lt;0, A86+1+((B86+(G86/24))-(INT(B86+(G86/24)))), A86+(B86+(G86/24))), "hh:mm")</f>
        <v>01:00</v>
      </c>
    </row>
    <row r="87" spans="1:9" x14ac:dyDescent="0.25">
      <c r="A87" s="50">
        <v>45555</v>
      </c>
      <c r="B87" s="47">
        <v>0.875</v>
      </c>
      <c r="C87" s="59" t="s">
        <v>8</v>
      </c>
      <c r="D87" s="35" t="s">
        <v>79</v>
      </c>
      <c r="E87" s="9" t="s">
        <v>21</v>
      </c>
      <c r="F87" s="8">
        <f>(INT(Table_Kyrgyzstan[[#This Row],[Date]]) - DATE(1970, 1, 1)) * 86400000</f>
        <v>1726790400000</v>
      </c>
      <c r="G87">
        <f>'GMT Glossary'!$B$4</f>
        <v>6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03:00</v>
      </c>
    </row>
    <row r="88" spans="1:9" x14ac:dyDescent="0.25">
      <c r="A88" s="46">
        <v>45555</v>
      </c>
      <c r="B88" s="38">
        <v>0.875</v>
      </c>
      <c r="C88" s="49" t="s">
        <v>8</v>
      </c>
      <c r="D88" s="55" t="s">
        <v>64</v>
      </c>
      <c r="E88" s="9" t="s">
        <v>72</v>
      </c>
      <c r="F88" s="8">
        <f>(INT(Table_Kyrgyzstan[[#This Row],[Date]]) - DATE(1970, 1, 1)) * 86400000</f>
        <v>1726790400000</v>
      </c>
      <c r="G88" s="10">
        <f>'GMT Glossary'!$B$4</f>
        <v>6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03:00</v>
      </c>
    </row>
    <row r="89" spans="1:9" x14ac:dyDescent="0.25">
      <c r="A89" s="63">
        <v>45555</v>
      </c>
      <c r="B89" s="88">
        <v>0.95833333333333337</v>
      </c>
      <c r="C89" s="86" t="s">
        <v>8</v>
      </c>
      <c r="D89" s="58" t="s">
        <v>206</v>
      </c>
      <c r="E89" s="9" t="s">
        <v>21</v>
      </c>
      <c r="F89" s="8">
        <f>(INT(Table_Kyrgyzstan[[#This Row],[Date]]) - DATE(1970, 1, 1)) * 86400000</f>
        <v>1726790400000</v>
      </c>
      <c r="G89" s="10">
        <f>'GMT Glossary'!$B$4</f>
        <v>6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05:00</v>
      </c>
    </row>
    <row r="90" spans="1:9" x14ac:dyDescent="0.25">
      <c r="A90" s="46">
        <v>45555</v>
      </c>
      <c r="B90" s="38">
        <v>0.95833333333333337</v>
      </c>
      <c r="C90" s="49" t="s">
        <v>8</v>
      </c>
      <c r="D90" s="58" t="s">
        <v>88</v>
      </c>
      <c r="E90" s="9" t="s">
        <v>72</v>
      </c>
      <c r="F90" s="8">
        <f>(INT(Table_Kyrgyzstan[[#This Row],[Date]]) - DATE(1970, 1, 1)) * 86400000</f>
        <v>1726790400000</v>
      </c>
      <c r="G90">
        <f>'GMT Glossary'!$B$4</f>
        <v>6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05:00</v>
      </c>
    </row>
    <row r="91" spans="1:9" x14ac:dyDescent="0.25">
      <c r="A91" s="63">
        <v>45556</v>
      </c>
      <c r="B91" s="88">
        <v>4.1666666666666664E-2</v>
      </c>
      <c r="C91" s="86" t="s">
        <v>8</v>
      </c>
      <c r="D91" s="35" t="s">
        <v>199</v>
      </c>
      <c r="E91" s="9" t="s">
        <v>21</v>
      </c>
      <c r="F91" s="8">
        <f>(INT(Table_Kyrgyzstan[[#This Row],[Date]]) - DATE(1970, 1, 1)) * 86400000</f>
        <v>1726876800000</v>
      </c>
      <c r="G91">
        <f>'GMT Glossary'!$B$4</f>
        <v>6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07:00</v>
      </c>
    </row>
    <row r="92" spans="1:9" x14ac:dyDescent="0.25">
      <c r="A92" s="46">
        <v>45556</v>
      </c>
      <c r="B92" s="38">
        <v>4.1666666666666664E-2</v>
      </c>
      <c r="C92" s="49" t="s">
        <v>8</v>
      </c>
      <c r="D92" s="53" t="s">
        <v>86</v>
      </c>
      <c r="E92" s="9" t="s">
        <v>72</v>
      </c>
      <c r="F92" s="8">
        <f>(INT(Table_Kyrgyzstan[[#This Row],[Date]]) - DATE(1970, 1, 1)) * 86400000</f>
        <v>1726876800000</v>
      </c>
      <c r="G92" s="10">
        <f>'GMT Glossary'!$B$4</f>
        <v>6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07:00</v>
      </c>
    </row>
    <row r="93" spans="1:9" x14ac:dyDescent="0.25">
      <c r="A93" s="63">
        <v>45556</v>
      </c>
      <c r="B93" s="88">
        <v>0.125</v>
      </c>
      <c r="C93" s="86" t="s">
        <v>8</v>
      </c>
      <c r="D93" s="58" t="s">
        <v>77</v>
      </c>
      <c r="E93" s="9" t="s">
        <v>21</v>
      </c>
      <c r="F93" s="8">
        <f>(INT(Table_Kyrgyzstan[[#This Row],[Date]]) - DATE(1970, 1, 1)) * 86400000</f>
        <v>1726876800000</v>
      </c>
      <c r="G93" s="10">
        <f>'GMT Glossary'!$B$4</f>
        <v>6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09:00</v>
      </c>
    </row>
    <row r="94" spans="1:9" x14ac:dyDescent="0.25">
      <c r="A94" s="46">
        <v>45556</v>
      </c>
      <c r="B94" s="38">
        <v>0.125</v>
      </c>
      <c r="C94" s="49" t="s">
        <v>8</v>
      </c>
      <c r="D94" s="55" t="s">
        <v>40</v>
      </c>
      <c r="E94" s="9" t="s">
        <v>72</v>
      </c>
      <c r="F94" s="8">
        <f>(INT(Table_Kyrgyzstan[[#This Row],[Date]]) - DATE(1970, 1, 1)) * 86400000</f>
        <v>1726876800000</v>
      </c>
      <c r="G94">
        <f>'GMT Glossary'!$B$4</f>
        <v>6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09:00</v>
      </c>
    </row>
    <row r="95" spans="1:9" x14ac:dyDescent="0.25">
      <c r="A95" s="63">
        <v>45556</v>
      </c>
      <c r="B95" s="88">
        <v>0.20833333333333334</v>
      </c>
      <c r="C95" s="86" t="s">
        <v>8</v>
      </c>
      <c r="D95" s="58" t="s">
        <v>75</v>
      </c>
      <c r="E95" s="9" t="s">
        <v>21</v>
      </c>
      <c r="F95" s="8">
        <f>(INT(Table_Kyrgyzstan[[#This Row],[Date]]) - DATE(1970, 1, 1)) * 86400000</f>
        <v>1726876800000</v>
      </c>
      <c r="G95">
        <f>'GMT Glossary'!$B$4</f>
        <v>6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11:00</v>
      </c>
    </row>
    <row r="96" spans="1:9" x14ac:dyDescent="0.25">
      <c r="A96" s="46">
        <v>45556</v>
      </c>
      <c r="B96" s="38">
        <v>0.20833333333333334</v>
      </c>
      <c r="C96" s="49" t="s">
        <v>402</v>
      </c>
      <c r="D96" s="55" t="s">
        <v>91</v>
      </c>
      <c r="E96" s="9" t="s">
        <v>72</v>
      </c>
      <c r="F96" s="8">
        <f>(INT(Table_Kyrgyzstan[[#This Row],[Date]]) - DATE(1970, 1, 1)) * 86400000</f>
        <v>1726876800000</v>
      </c>
      <c r="G96" s="10">
        <f>'GMT Glossary'!$B$4</f>
        <v>6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11:00</v>
      </c>
    </row>
    <row r="97" spans="1:9" x14ac:dyDescent="0.25">
      <c r="A97" s="63">
        <v>45556</v>
      </c>
      <c r="B97" s="88">
        <v>0.29166666666666669</v>
      </c>
      <c r="C97" s="86" t="s">
        <v>8</v>
      </c>
      <c r="D97" s="35" t="s">
        <v>76</v>
      </c>
      <c r="E97" s="9" t="s">
        <v>21</v>
      </c>
      <c r="F97" s="8">
        <f>(INT(Table_Kyrgyzstan[[#This Row],[Date]]) - DATE(1970, 1, 1)) * 86400000</f>
        <v>1726876800000</v>
      </c>
      <c r="G97">
        <f>'GMT Glossary'!$B$4</f>
        <v>6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13:00</v>
      </c>
    </row>
    <row r="98" spans="1:9" x14ac:dyDescent="0.25">
      <c r="A98" s="46">
        <v>45556</v>
      </c>
      <c r="B98" s="38">
        <v>0.29166666666666669</v>
      </c>
      <c r="C98" s="49" t="s">
        <v>398</v>
      </c>
      <c r="D98" s="56" t="s">
        <v>240</v>
      </c>
      <c r="E98" s="9" t="s">
        <v>72</v>
      </c>
      <c r="F98" s="8">
        <f>(INT(Table_Kyrgyzstan[[#This Row],[Date]]) - DATE(1970, 1, 1)) * 86400000</f>
        <v>1726876800000</v>
      </c>
      <c r="G98">
        <f>'GMT Glossary'!$B$4</f>
        <v>6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13:00</v>
      </c>
    </row>
    <row r="99" spans="1:9" x14ac:dyDescent="0.25">
      <c r="A99" s="46">
        <v>45556</v>
      </c>
      <c r="B99" s="38">
        <v>0.35416666666666669</v>
      </c>
      <c r="C99" s="49" t="s">
        <v>398</v>
      </c>
      <c r="D99" s="56" t="s">
        <v>241</v>
      </c>
      <c r="E99" s="9" t="s">
        <v>72</v>
      </c>
      <c r="F99" s="8">
        <f>(INT(Table_Kyrgyzstan[[#This Row],[Date]]) - DATE(1970, 1, 1)) * 86400000</f>
        <v>1726876800000</v>
      </c>
      <c r="G99" s="10">
        <f>'GMT Glossary'!$B$4</f>
        <v>6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14:30</v>
      </c>
    </row>
    <row r="100" spans="1:9" x14ac:dyDescent="0.25">
      <c r="A100" s="63">
        <v>45556</v>
      </c>
      <c r="B100" s="88">
        <v>0.375</v>
      </c>
      <c r="C100" s="86" t="s">
        <v>8</v>
      </c>
      <c r="D100" s="35" t="s">
        <v>74</v>
      </c>
      <c r="E100" s="9" t="s">
        <v>21</v>
      </c>
      <c r="F100" s="8">
        <f>(INT(Table_Kyrgyzstan[[#This Row],[Date]]) - DATE(1970, 1, 1)) * 86400000</f>
        <v>1726876800000</v>
      </c>
      <c r="G100" s="10">
        <f>'GMT Glossary'!$B$4</f>
        <v>6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15:00</v>
      </c>
    </row>
    <row r="101" spans="1:9" x14ac:dyDescent="0.25">
      <c r="A101" s="46">
        <v>45556</v>
      </c>
      <c r="B101" s="38">
        <v>0.45833333333333331</v>
      </c>
      <c r="C101" s="49" t="s">
        <v>8</v>
      </c>
      <c r="D101" s="55" t="s">
        <v>139</v>
      </c>
      <c r="E101" s="9" t="s">
        <v>72</v>
      </c>
      <c r="F101" s="8">
        <f>(INT(Table_Kyrgyzstan[[#This Row],[Date]]) - DATE(1970, 1, 1)) * 86400000</f>
        <v>1726876800000</v>
      </c>
      <c r="G101">
        <f>'GMT Glossary'!$B$4</f>
        <v>6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17:00</v>
      </c>
    </row>
    <row r="102" spans="1:9" x14ac:dyDescent="0.25">
      <c r="A102" s="63">
        <v>45556</v>
      </c>
      <c r="B102" s="88">
        <v>0.47916666666666669</v>
      </c>
      <c r="C102" s="86" t="s">
        <v>8</v>
      </c>
      <c r="D102" s="56" t="s">
        <v>210</v>
      </c>
      <c r="E102" s="9" t="s">
        <v>21</v>
      </c>
      <c r="F102" s="8">
        <f>(INT(Table_Kyrgyzstan[[#This Row],[Date]]) - DATE(1970, 1, 1)) * 86400000</f>
        <v>1726876800000</v>
      </c>
      <c r="G102">
        <f>'GMT Glossary'!$B$4</f>
        <v>6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17:30</v>
      </c>
    </row>
    <row r="103" spans="1:9" x14ac:dyDescent="0.25">
      <c r="A103" s="46">
        <v>45556</v>
      </c>
      <c r="B103" s="38">
        <v>0.54166666666666663</v>
      </c>
      <c r="C103" s="49" t="s">
        <v>402</v>
      </c>
      <c r="D103" s="56" t="s">
        <v>242</v>
      </c>
      <c r="E103" s="9" t="s">
        <v>72</v>
      </c>
      <c r="F103" s="8">
        <f>(INT(Table_Kyrgyzstan[[#This Row],[Date]]) - DATE(1970, 1, 1)) * 86400000</f>
        <v>1726876800000</v>
      </c>
      <c r="G103" s="10">
        <f>'GMT Glossary'!$B$4</f>
        <v>6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19:00</v>
      </c>
    </row>
    <row r="104" spans="1:9" x14ac:dyDescent="0.25">
      <c r="A104" s="63">
        <v>45556</v>
      </c>
      <c r="B104" s="88">
        <v>0.58333333333333337</v>
      </c>
      <c r="C104" s="86" t="s">
        <v>8</v>
      </c>
      <c r="D104" s="56" t="s">
        <v>211</v>
      </c>
      <c r="E104" s="9" t="s">
        <v>21</v>
      </c>
      <c r="F104" s="8">
        <f>(INT(Table_Kyrgyzstan[[#This Row],[Date]]) - DATE(1970, 1, 1)) * 86400000</f>
        <v>1726876800000</v>
      </c>
      <c r="G104">
        <f>'GMT Glossary'!$B$4</f>
        <v>6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20:00</v>
      </c>
    </row>
    <row r="105" spans="1:9" x14ac:dyDescent="0.25">
      <c r="A105" s="46">
        <v>45556</v>
      </c>
      <c r="B105" s="38">
        <v>0.58333333333333337</v>
      </c>
      <c r="C105" s="49" t="s">
        <v>8</v>
      </c>
      <c r="D105" s="56" t="s">
        <v>243</v>
      </c>
      <c r="E105" s="9" t="s">
        <v>72</v>
      </c>
      <c r="F105" s="8">
        <f>(INT(Table_Kyrgyzstan[[#This Row],[Date]]) - DATE(1970, 1, 1)) * 86400000</f>
        <v>1726876800000</v>
      </c>
      <c r="G105">
        <f>'GMT Glossary'!$B$4</f>
        <v>6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20:00</v>
      </c>
    </row>
    <row r="106" spans="1:9" x14ac:dyDescent="0.25">
      <c r="A106" s="46">
        <v>45556</v>
      </c>
      <c r="B106" s="38">
        <v>0.66666666666666663</v>
      </c>
      <c r="C106" s="49" t="s">
        <v>8</v>
      </c>
      <c r="D106" s="61" t="s">
        <v>136</v>
      </c>
      <c r="E106" s="9" t="s">
        <v>72</v>
      </c>
      <c r="F106" s="8">
        <f>(INT(Table_Kyrgyzstan[[#This Row],[Date]]) - DATE(1970, 1, 1)) * 86400000</f>
        <v>1726876800000</v>
      </c>
      <c r="G106" s="10">
        <f>'GMT Glossary'!$B$4</f>
        <v>6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22:00</v>
      </c>
    </row>
    <row r="107" spans="1:9" x14ac:dyDescent="0.25">
      <c r="A107" s="63">
        <v>45556</v>
      </c>
      <c r="B107" s="88">
        <v>0.6875</v>
      </c>
      <c r="C107" s="86" t="s">
        <v>8</v>
      </c>
      <c r="D107" s="56" t="s">
        <v>212</v>
      </c>
      <c r="E107" s="9" t="s">
        <v>21</v>
      </c>
      <c r="F107" s="8">
        <f>(INT(Table_Kyrgyzstan[[#This Row],[Date]]) - DATE(1970, 1, 1)) * 86400000</f>
        <v>1726876800000</v>
      </c>
      <c r="G107" s="10">
        <f>'GMT Glossary'!$B$4</f>
        <v>6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22:30</v>
      </c>
    </row>
    <row r="108" spans="1:9" x14ac:dyDescent="0.25">
      <c r="A108" s="63">
        <v>45556</v>
      </c>
      <c r="B108" s="88">
        <v>0.79166666666666663</v>
      </c>
      <c r="C108" s="86" t="s">
        <v>8</v>
      </c>
      <c r="D108" s="56" t="s">
        <v>213</v>
      </c>
      <c r="E108" s="9" t="s">
        <v>21</v>
      </c>
      <c r="F108" s="8">
        <f>(INT(Table_Kyrgyzstan[[#This Row],[Date]]) - DATE(1970, 1, 1)) * 86400000</f>
        <v>1726876800000</v>
      </c>
      <c r="G108">
        <f>'GMT Glossary'!$B$4</f>
        <v>6</v>
      </c>
      <c r="H108" s="2" t="str">
        <f>TEXT(IF(B108&lt;0, A108+1+((B108+(G108/24))-(INT(B108+(G108/24)))), A108+(B108+(G108/24))), "yyyy-mm-dd")</f>
        <v>2024-09-22</v>
      </c>
      <c r="I108" s="2" t="str">
        <f>TEXT(IF(B108&lt;0, A108+1+((B108+(G108/24))-(INT(B108+(G108/24)))), A108+(B108+(G108/24))), "hh:mm")</f>
        <v>01:00</v>
      </c>
    </row>
    <row r="109" spans="1:9" x14ac:dyDescent="0.25">
      <c r="A109" s="46">
        <v>45556</v>
      </c>
      <c r="B109" s="38">
        <v>0.79166666666666663</v>
      </c>
      <c r="C109" s="49" t="s">
        <v>8</v>
      </c>
      <c r="D109" s="61" t="s">
        <v>137</v>
      </c>
      <c r="E109" s="9" t="s">
        <v>72</v>
      </c>
      <c r="F109" s="8">
        <f>(INT(Table_Kyrgyzstan[[#This Row],[Date]]) - DATE(1970, 1, 1)) * 86400000</f>
        <v>1726876800000</v>
      </c>
      <c r="G109">
        <f>'GMT Glossary'!$B$4</f>
        <v>6</v>
      </c>
      <c r="H109" s="2" t="str">
        <f>TEXT(IF(B109&lt;0, A109+1+((B109+(G109/24))-(INT(B109+(G109/24)))), A109+(B109+(G109/24))), "yyyy-mm-dd")</f>
        <v>2024-09-22</v>
      </c>
      <c r="I109" s="2" t="str">
        <f>TEXT(IF(B109&lt;0, A109+1+((B109+(G109/24))-(INT(B109+(G109/24)))), A109+(B109+(G109/24))), "hh:mm")</f>
        <v>01:00</v>
      </c>
    </row>
    <row r="110" spans="1:9" x14ac:dyDescent="0.25">
      <c r="A110" s="63">
        <v>45556</v>
      </c>
      <c r="B110" s="88">
        <v>0.875</v>
      </c>
      <c r="C110" s="86" t="s">
        <v>8</v>
      </c>
      <c r="D110" s="35" t="s">
        <v>79</v>
      </c>
      <c r="E110" s="9" t="s">
        <v>21</v>
      </c>
      <c r="F110" s="8">
        <f>(INT(Table_Kyrgyzstan[[#This Row],[Date]]) - DATE(1970, 1, 1)) * 86400000</f>
        <v>1726876800000</v>
      </c>
      <c r="G110" s="10">
        <f>'GMT Glossary'!$B$4</f>
        <v>6</v>
      </c>
      <c r="H110" s="2" t="str">
        <f>TEXT(IF(B110&lt;0, A110+1+((B110+(G110/24))-(INT(B110+(G110/24)))), A110+(B110+(G110/24))), "yyyy-mm-dd")</f>
        <v>2024-09-22</v>
      </c>
      <c r="I110" s="2" t="str">
        <f>TEXT(IF(B110&lt;0, A110+1+((B110+(G110/24))-(INT(B110+(G110/24)))), A110+(B110+(G110/24))), "hh:mm")</f>
        <v>03:00</v>
      </c>
    </row>
    <row r="111" spans="1:9" x14ac:dyDescent="0.25">
      <c r="A111" s="46">
        <v>45556</v>
      </c>
      <c r="B111" s="38">
        <v>0.875</v>
      </c>
      <c r="C111" s="49" t="s">
        <v>8</v>
      </c>
      <c r="D111" s="58" t="s">
        <v>244</v>
      </c>
      <c r="E111" s="9" t="s">
        <v>72</v>
      </c>
      <c r="F111" s="8">
        <f>(INT(Table_Kyrgyzstan[[#This Row],[Date]]) - DATE(1970, 1, 1)) * 86400000</f>
        <v>1726876800000</v>
      </c>
      <c r="G111">
        <f>'GMT Glossary'!$B$4</f>
        <v>6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03:00</v>
      </c>
    </row>
    <row r="112" spans="1:9" x14ac:dyDescent="0.25">
      <c r="A112" s="63">
        <v>45556</v>
      </c>
      <c r="B112" s="88">
        <v>0.95833333333333337</v>
      </c>
      <c r="C112" s="86" t="s">
        <v>8</v>
      </c>
      <c r="D112" s="35" t="s">
        <v>214</v>
      </c>
      <c r="E112" s="9" t="s">
        <v>21</v>
      </c>
      <c r="F112" s="8">
        <f>(INT(Table_Kyrgyzstan[[#This Row],[Date]]) - DATE(1970, 1, 1)) * 86400000</f>
        <v>1726876800000</v>
      </c>
      <c r="G112">
        <f>'GMT Glossary'!$B$4</f>
        <v>6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05:00</v>
      </c>
    </row>
    <row r="113" spans="1:9" x14ac:dyDescent="0.25">
      <c r="A113" s="46">
        <v>45556</v>
      </c>
      <c r="B113" s="38">
        <v>0.95833333333333337</v>
      </c>
      <c r="C113" s="49" t="s">
        <v>8</v>
      </c>
      <c r="D113" s="53" t="s">
        <v>64</v>
      </c>
      <c r="E113" s="9" t="s">
        <v>72</v>
      </c>
      <c r="F113" s="8">
        <f>(INT(Table_Kyrgyzstan[[#This Row],[Date]]) - DATE(1970, 1, 1)) * 86400000</f>
        <v>1726876800000</v>
      </c>
      <c r="G113" s="10">
        <f>'GMT Glossary'!$B$4</f>
        <v>6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05:00</v>
      </c>
    </row>
    <row r="114" spans="1:9" x14ac:dyDescent="0.25">
      <c r="A114" s="63">
        <v>45557</v>
      </c>
      <c r="B114" s="88">
        <v>4.1666666666666664E-2</v>
      </c>
      <c r="C114" s="86" t="s">
        <v>8</v>
      </c>
      <c r="D114" s="35" t="s">
        <v>77</v>
      </c>
      <c r="E114" s="9" t="s">
        <v>21</v>
      </c>
      <c r="F114" s="8">
        <f>(INT(Table_Kyrgyzstan[[#This Row],[Date]]) - DATE(1970, 1, 1)) * 86400000</f>
        <v>1726963200000</v>
      </c>
      <c r="G114" s="10">
        <f>'GMT Glossary'!$B$4</f>
        <v>6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07:00</v>
      </c>
    </row>
    <row r="115" spans="1:9" x14ac:dyDescent="0.25">
      <c r="A115" s="46">
        <v>45557</v>
      </c>
      <c r="B115" s="38">
        <v>4.1666666666666664E-2</v>
      </c>
      <c r="C115" s="49" t="s">
        <v>8</v>
      </c>
      <c r="D115" s="53" t="s">
        <v>139</v>
      </c>
      <c r="E115" s="9" t="s">
        <v>72</v>
      </c>
      <c r="F115" s="8">
        <f>(INT(Table_Kyrgyzstan[[#This Row],[Date]]) - DATE(1970, 1, 1)) * 86400000</f>
        <v>1726963200000</v>
      </c>
      <c r="G115">
        <f>'GMT Glossary'!$B$4</f>
        <v>6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07:00</v>
      </c>
    </row>
    <row r="116" spans="1:9" x14ac:dyDescent="0.25">
      <c r="A116" s="63">
        <v>45557</v>
      </c>
      <c r="B116" s="88">
        <v>0.125</v>
      </c>
      <c r="C116" s="86" t="s">
        <v>8</v>
      </c>
      <c r="D116" s="35" t="s">
        <v>195</v>
      </c>
      <c r="E116" s="9" t="s">
        <v>21</v>
      </c>
      <c r="F116" s="8">
        <f>(INT(Table_Kyrgyzstan[[#This Row],[Date]]) - DATE(1970, 1, 1)) * 86400000</f>
        <v>1726963200000</v>
      </c>
      <c r="G116">
        <f>'GMT Glossary'!$B$4</f>
        <v>6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09:00</v>
      </c>
    </row>
    <row r="117" spans="1:9" x14ac:dyDescent="0.25">
      <c r="A117" s="46">
        <v>45557</v>
      </c>
      <c r="B117" s="38">
        <v>0.125</v>
      </c>
      <c r="C117" s="49" t="s">
        <v>8</v>
      </c>
      <c r="D117" s="58" t="s">
        <v>244</v>
      </c>
      <c r="E117" s="9" t="s">
        <v>72</v>
      </c>
      <c r="F117" s="8">
        <f>(INT(Table_Kyrgyzstan[[#This Row],[Date]]) - DATE(1970, 1, 1)) * 86400000</f>
        <v>1726963200000</v>
      </c>
      <c r="G117" s="10">
        <f>'GMT Glossary'!$B$4</f>
        <v>6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09:00</v>
      </c>
    </row>
    <row r="118" spans="1:9" x14ac:dyDescent="0.25">
      <c r="A118" s="63">
        <v>45557</v>
      </c>
      <c r="B118" s="88">
        <v>0.20833333333333334</v>
      </c>
      <c r="C118" s="86" t="s">
        <v>8</v>
      </c>
      <c r="D118" s="58" t="s">
        <v>129</v>
      </c>
      <c r="E118" s="9" t="s">
        <v>21</v>
      </c>
      <c r="F118" s="8">
        <f>(INT(Table_Kyrgyzstan[[#This Row],[Date]]) - DATE(1970, 1, 1)) * 86400000</f>
        <v>1726963200000</v>
      </c>
      <c r="G118" s="10">
        <f>'GMT Glossary'!$B$4</f>
        <v>6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11:00</v>
      </c>
    </row>
    <row r="119" spans="1:9" x14ac:dyDescent="0.25">
      <c r="A119" s="46">
        <v>45557</v>
      </c>
      <c r="B119" s="38">
        <v>0.20833333333333334</v>
      </c>
      <c r="C119" s="49" t="s">
        <v>402</v>
      </c>
      <c r="D119" s="53" t="s">
        <v>85</v>
      </c>
      <c r="E119" s="9" t="s">
        <v>72</v>
      </c>
      <c r="F119" s="8">
        <f>(INT(Table_Kyrgyzstan[[#This Row],[Date]]) - DATE(1970, 1, 1)) * 86400000</f>
        <v>1726963200000</v>
      </c>
      <c r="G119">
        <f>'GMT Glossary'!$B$4</f>
        <v>6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11:00</v>
      </c>
    </row>
    <row r="120" spans="1:9" x14ac:dyDescent="0.25">
      <c r="A120" s="63">
        <v>45557</v>
      </c>
      <c r="B120" s="88">
        <v>0.29166666666666669</v>
      </c>
      <c r="C120" s="86" t="s">
        <v>8</v>
      </c>
      <c r="D120" s="58" t="s">
        <v>74</v>
      </c>
      <c r="E120" s="9" t="s">
        <v>21</v>
      </c>
      <c r="F120" s="8">
        <f>(INT(Table_Kyrgyzstan[[#This Row],[Date]]) - DATE(1970, 1, 1)) * 86400000</f>
        <v>1726963200000</v>
      </c>
      <c r="G120">
        <f>'GMT Glossary'!$B$4</f>
        <v>6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13:00</v>
      </c>
    </row>
    <row r="121" spans="1:9" x14ac:dyDescent="0.25">
      <c r="A121" s="46">
        <v>45557</v>
      </c>
      <c r="B121" s="38">
        <v>0.29166666666666669</v>
      </c>
      <c r="C121" s="49" t="s">
        <v>398</v>
      </c>
      <c r="D121" s="56" t="s">
        <v>245</v>
      </c>
      <c r="E121" s="9" t="s">
        <v>72</v>
      </c>
      <c r="F121" s="8">
        <f>(INT(Table_Kyrgyzstan[[#This Row],[Date]]) - DATE(1970, 1, 1)) * 86400000</f>
        <v>1726963200000</v>
      </c>
      <c r="G121" s="10">
        <f>'GMT Glossary'!$B$4</f>
        <v>6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13:00</v>
      </c>
    </row>
    <row r="122" spans="1:9" x14ac:dyDescent="0.25">
      <c r="A122" s="63">
        <v>45557</v>
      </c>
      <c r="B122" s="88">
        <v>0.375</v>
      </c>
      <c r="C122" s="86" t="s">
        <v>8</v>
      </c>
      <c r="D122" s="58" t="s">
        <v>59</v>
      </c>
      <c r="E122" s="9" t="s">
        <v>21</v>
      </c>
      <c r="F122" s="8">
        <f>(INT(Table_Kyrgyzstan[[#This Row],[Date]]) - DATE(1970, 1, 1)) * 86400000</f>
        <v>1726963200000</v>
      </c>
      <c r="G122" s="10">
        <f>'GMT Glossary'!$B$4</f>
        <v>6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15:00</v>
      </c>
    </row>
    <row r="123" spans="1:9" x14ac:dyDescent="0.25">
      <c r="A123" s="46">
        <v>45557</v>
      </c>
      <c r="B123" s="38">
        <v>0.375</v>
      </c>
      <c r="C123" s="49" t="s">
        <v>8</v>
      </c>
      <c r="D123" s="55" t="s">
        <v>141</v>
      </c>
      <c r="E123" s="9" t="s">
        <v>72</v>
      </c>
      <c r="F123" s="8">
        <f>(INT(Table_Kyrgyzstan[[#This Row],[Date]]) - DATE(1970, 1, 1)) * 86400000</f>
        <v>1726963200000</v>
      </c>
      <c r="G123">
        <f>'GMT Glossary'!$B$4</f>
        <v>6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15:00</v>
      </c>
    </row>
    <row r="124" spans="1:9" x14ac:dyDescent="0.25">
      <c r="A124" s="63">
        <v>45557</v>
      </c>
      <c r="B124" s="88">
        <v>0.4375</v>
      </c>
      <c r="C124" s="86" t="s">
        <v>8</v>
      </c>
      <c r="D124" s="56" t="s">
        <v>215</v>
      </c>
      <c r="E124" s="9" t="s">
        <v>21</v>
      </c>
      <c r="F124" s="8">
        <f>(INT(Table_Kyrgyzstan[[#This Row],[Date]]) - DATE(1970, 1, 1)) * 86400000</f>
        <v>1726963200000</v>
      </c>
      <c r="G124">
        <f>'GMT Glossary'!$B$4</f>
        <v>6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16:30</v>
      </c>
    </row>
    <row r="125" spans="1:9" x14ac:dyDescent="0.25">
      <c r="A125" s="46">
        <v>45557</v>
      </c>
      <c r="B125" s="38">
        <v>0.5</v>
      </c>
      <c r="C125" s="49" t="s">
        <v>402</v>
      </c>
      <c r="D125" s="61" t="s">
        <v>246</v>
      </c>
      <c r="E125" s="9" t="s">
        <v>72</v>
      </c>
      <c r="F125" s="8">
        <f>(INT(Table_Kyrgyzstan[[#This Row],[Date]]) - DATE(1970, 1, 1)) * 86400000</f>
        <v>1726963200000</v>
      </c>
      <c r="G125" s="10">
        <f>'GMT Glossary'!$B$4</f>
        <v>6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18:00</v>
      </c>
    </row>
    <row r="126" spans="1:9" x14ac:dyDescent="0.25">
      <c r="A126" s="63">
        <v>45557</v>
      </c>
      <c r="B126" s="88">
        <v>0.54166666666666663</v>
      </c>
      <c r="C126" s="86" t="s">
        <v>8</v>
      </c>
      <c r="D126" s="56" t="s">
        <v>216</v>
      </c>
      <c r="E126" s="9" t="s">
        <v>21</v>
      </c>
      <c r="F126" s="8">
        <f>(INT(Table_Kyrgyzstan[[#This Row],[Date]]) - DATE(1970, 1, 1)) * 86400000</f>
        <v>1726963200000</v>
      </c>
      <c r="G126" s="10">
        <f>'GMT Glossary'!$B$4</f>
        <v>6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19:00</v>
      </c>
    </row>
    <row r="127" spans="1:9" x14ac:dyDescent="0.25">
      <c r="A127" s="46">
        <v>45557</v>
      </c>
      <c r="B127" s="38">
        <v>0.59375</v>
      </c>
      <c r="C127" s="49" t="s">
        <v>8</v>
      </c>
      <c r="D127" s="61" t="s">
        <v>247</v>
      </c>
      <c r="E127" s="9" t="s">
        <v>72</v>
      </c>
      <c r="F127" s="8">
        <f>(INT(Table_Kyrgyzstan[[#This Row],[Date]]) - DATE(1970, 1, 1)) * 86400000</f>
        <v>1726963200000</v>
      </c>
      <c r="G127">
        <f>'GMT Glossary'!$B$4</f>
        <v>6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20:15</v>
      </c>
    </row>
    <row r="128" spans="1:9" x14ac:dyDescent="0.25">
      <c r="A128" s="63">
        <v>45557</v>
      </c>
      <c r="B128" s="88">
        <v>0.64583333333333337</v>
      </c>
      <c r="C128" s="86" t="s">
        <v>8</v>
      </c>
      <c r="D128" s="56" t="s">
        <v>217</v>
      </c>
      <c r="E128" s="9" t="s">
        <v>21</v>
      </c>
      <c r="F128" s="8">
        <f>(INT(Table_Kyrgyzstan[[#This Row],[Date]]) - DATE(1970, 1, 1)) * 86400000</f>
        <v>1726963200000</v>
      </c>
      <c r="G128">
        <f>'GMT Glossary'!$B$4</f>
        <v>6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21:30</v>
      </c>
    </row>
    <row r="129" spans="1:9" x14ac:dyDescent="0.25">
      <c r="A129" s="46">
        <v>45557</v>
      </c>
      <c r="B129" s="38">
        <v>0.6875</v>
      </c>
      <c r="C129" s="49" t="s">
        <v>8</v>
      </c>
      <c r="D129" s="61" t="s">
        <v>248</v>
      </c>
      <c r="E129" s="9" t="s">
        <v>72</v>
      </c>
      <c r="F129" s="8">
        <f>(INT(Table_Kyrgyzstan[[#This Row],[Date]]) - DATE(1970, 1, 1)) * 86400000</f>
        <v>1726963200000</v>
      </c>
      <c r="G129" s="10">
        <f>'GMT Glossary'!$B$4</f>
        <v>6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22:30</v>
      </c>
    </row>
    <row r="130" spans="1:9" x14ac:dyDescent="0.25">
      <c r="A130" s="63">
        <v>45557</v>
      </c>
      <c r="B130" s="88">
        <v>0.78125</v>
      </c>
      <c r="C130" s="86" t="s">
        <v>8</v>
      </c>
      <c r="D130" s="56" t="s">
        <v>218</v>
      </c>
      <c r="E130" s="9" t="s">
        <v>21</v>
      </c>
      <c r="F130" s="8">
        <f>(INT(Table_Kyrgyzstan[[#This Row],[Date]]) - DATE(1970, 1, 1)) * 86400000</f>
        <v>1726963200000</v>
      </c>
      <c r="G130" s="10">
        <f>'GMT Glossary'!$B$4</f>
        <v>6</v>
      </c>
      <c r="H130" s="2" t="str">
        <f>TEXT(IF(B130&lt;0, A130+1+((B130+(G130/24))-(INT(B130+(G130/24)))), A130+(B130+(G130/24))), "yyyy-mm-dd")</f>
        <v>2024-09-23</v>
      </c>
      <c r="I130" s="2" t="str">
        <f>TEXT(IF(B130&lt;0, A130+1+((B130+(G130/24))-(INT(B130+(G130/24)))), A130+(B130+(G130/24))), "hh:mm")</f>
        <v>00:45</v>
      </c>
    </row>
    <row r="131" spans="1:9" x14ac:dyDescent="0.25">
      <c r="A131" s="46">
        <v>45557</v>
      </c>
      <c r="B131" s="38">
        <v>0.78125</v>
      </c>
      <c r="C131" s="49" t="s">
        <v>8</v>
      </c>
      <c r="D131" s="61" t="s">
        <v>249</v>
      </c>
      <c r="E131" s="9" t="s">
        <v>72</v>
      </c>
      <c r="F131" s="8">
        <f>(INT(Table_Kyrgyzstan[[#This Row],[Date]]) - DATE(1970, 1, 1)) * 86400000</f>
        <v>1726963200000</v>
      </c>
      <c r="G131">
        <f>'GMT Glossary'!$B$4</f>
        <v>6</v>
      </c>
      <c r="H131" s="2" t="str">
        <f>TEXT(IF(B131&lt;0, A131+1+((B131+(G131/24))-(INT(B131+(G131/24)))), A131+(B131+(G131/24))), "yyyy-mm-dd")</f>
        <v>2024-09-23</v>
      </c>
      <c r="I131" s="2" t="str">
        <f>TEXT(IF(B131&lt;0, A131+1+((B131+(G131/24))-(INT(B131+(G131/24)))), A131+(B131+(G131/24))), "hh:mm")</f>
        <v>00:45</v>
      </c>
    </row>
    <row r="132" spans="1:9" x14ac:dyDescent="0.25">
      <c r="A132" s="63">
        <v>45557</v>
      </c>
      <c r="B132" s="88">
        <v>0.875</v>
      </c>
      <c r="C132" s="86" t="s">
        <v>8</v>
      </c>
      <c r="D132" s="58" t="s">
        <v>219</v>
      </c>
      <c r="E132" s="9" t="s">
        <v>21</v>
      </c>
      <c r="F132" s="8">
        <f>(INT(Table_Kyrgyzstan[[#This Row],[Date]]) - DATE(1970, 1, 1)) * 86400000</f>
        <v>1726963200000</v>
      </c>
      <c r="G132">
        <f>'GMT Glossary'!$B$4</f>
        <v>6</v>
      </c>
      <c r="H132" s="2" t="str">
        <f>TEXT(IF(B132&lt;0, A132+1+((B132+(G132/24))-(INT(B132+(G132/24)))), A132+(B132+(G132/24))), "yyyy-mm-dd")</f>
        <v>2024-09-23</v>
      </c>
      <c r="I132" s="2" t="str">
        <f>TEXT(IF(B132&lt;0, A132+1+((B132+(G132/24))-(INT(B132+(G132/24)))), A132+(B132+(G132/24))), "hh:mm")</f>
        <v>03:00</v>
      </c>
    </row>
    <row r="133" spans="1:9" x14ac:dyDescent="0.25">
      <c r="A133" s="46">
        <v>45557</v>
      </c>
      <c r="B133" s="38">
        <v>0.875</v>
      </c>
      <c r="C133" s="49" t="s">
        <v>8</v>
      </c>
      <c r="D133" s="55" t="s">
        <v>141</v>
      </c>
      <c r="E133" s="9" t="s">
        <v>72</v>
      </c>
      <c r="F133" s="8">
        <f>(INT(Table_Kyrgyzstan[[#This Row],[Date]]) - DATE(1970, 1, 1)) * 86400000</f>
        <v>1726963200000</v>
      </c>
      <c r="G133" s="10">
        <f>'GMT Glossary'!$B$4</f>
        <v>6</v>
      </c>
      <c r="H133" s="2" t="str">
        <f>TEXT(IF(B133&lt;0, A133+1+((B133+(G133/24))-(INT(B133+(G133/24)))), A133+(B133+(G133/24))), "yyyy-mm-dd")</f>
        <v>2024-09-23</v>
      </c>
      <c r="I133" s="2" t="str">
        <f>TEXT(IF(B133&lt;0, A133+1+((B133+(G133/24))-(INT(B133+(G133/24)))), A133+(B133+(G133/24))), "hh:mm")</f>
        <v>03:00</v>
      </c>
    </row>
    <row r="134" spans="1:9" x14ac:dyDescent="0.25">
      <c r="A134" s="63">
        <v>45557</v>
      </c>
      <c r="B134" s="88">
        <v>0.95833333333333337</v>
      </c>
      <c r="C134" s="86" t="s">
        <v>8</v>
      </c>
      <c r="D134" s="58" t="s">
        <v>220</v>
      </c>
      <c r="E134" s="9" t="s">
        <v>21</v>
      </c>
      <c r="F134" s="8">
        <f>(INT(Table_Kyrgyzstan[[#This Row],[Date]]) - DATE(1970, 1, 1)) * 86400000</f>
        <v>1726963200000</v>
      </c>
      <c r="G134" s="10">
        <f>'GMT Glossary'!$B$4</f>
        <v>6</v>
      </c>
      <c r="H134" s="2" t="str">
        <f>TEXT(IF(B134&lt;0, A134+1+((B134+(G134/24))-(INT(B134+(G134/24)))), A134+(B134+(G134/24))), "yyyy-mm-dd")</f>
        <v>2024-09-23</v>
      </c>
      <c r="I134" s="2" t="str">
        <f>TEXT(IF(B134&lt;0, A134+1+((B134+(G134/24))-(INT(B134+(G134/24)))), A134+(B134+(G134/24))), "hh:mm")</f>
        <v>05:00</v>
      </c>
    </row>
    <row r="135" spans="1:9" x14ac:dyDescent="0.25">
      <c r="A135" s="46">
        <v>45557</v>
      </c>
      <c r="B135" s="38">
        <v>0.97916666666666663</v>
      </c>
      <c r="C135" s="49" t="s">
        <v>398</v>
      </c>
      <c r="D135" s="55" t="s">
        <v>92</v>
      </c>
      <c r="E135" s="9" t="s">
        <v>72</v>
      </c>
      <c r="F135" s="8">
        <f>(INT(Table_Kyrgyzstan[[#This Row],[Date]]) - DATE(1970, 1, 1)) * 86400000</f>
        <v>1726963200000</v>
      </c>
      <c r="G135">
        <f>'GMT Glossary'!$B$4</f>
        <v>6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05:30</v>
      </c>
    </row>
    <row r="136" spans="1:9" x14ac:dyDescent="0.25">
      <c r="A136" s="63">
        <v>45558</v>
      </c>
      <c r="B136" s="88">
        <v>4.1666666666666664E-2</v>
      </c>
      <c r="C136" s="86" t="s">
        <v>8</v>
      </c>
      <c r="D136" s="58" t="s">
        <v>221</v>
      </c>
      <c r="E136" s="9" t="s">
        <v>21</v>
      </c>
      <c r="F136" s="8">
        <f>(INT(Table_Kyrgyzstan[[#This Row],[Date]]) - DATE(1970, 1, 1)) * 86400000</f>
        <v>1727049600000</v>
      </c>
      <c r="G136">
        <f>'GMT Glossary'!$B$4</f>
        <v>6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07:00</v>
      </c>
    </row>
    <row r="137" spans="1:9" x14ac:dyDescent="0.25">
      <c r="A137" s="46">
        <v>45558</v>
      </c>
      <c r="B137" s="38">
        <v>8.3333333333333329E-2</v>
      </c>
      <c r="C137" s="49" t="s">
        <v>401</v>
      </c>
      <c r="D137" s="58" t="s">
        <v>87</v>
      </c>
      <c r="E137" s="9" t="s">
        <v>72</v>
      </c>
      <c r="F137" s="8">
        <f>(INT(Table_Kyrgyzstan[[#This Row],[Date]]) - DATE(1970, 1, 1)) * 86400000</f>
        <v>1727049600000</v>
      </c>
      <c r="G137" s="10">
        <f>'GMT Glossary'!$B$4</f>
        <v>6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08:00</v>
      </c>
    </row>
    <row r="138" spans="1:9" x14ac:dyDescent="0.25">
      <c r="A138" s="63">
        <v>45558</v>
      </c>
      <c r="B138" s="88">
        <v>0.125</v>
      </c>
      <c r="C138" s="86" t="s">
        <v>8</v>
      </c>
      <c r="D138" s="58" t="s">
        <v>222</v>
      </c>
      <c r="E138" s="9" t="s">
        <v>21</v>
      </c>
      <c r="F138" s="8">
        <f>(INT(Table_Kyrgyzstan[[#This Row],[Date]]) - DATE(1970, 1, 1)) * 86400000</f>
        <v>1727049600000</v>
      </c>
      <c r="G138" s="10">
        <f>'GMT Glossary'!$B$4</f>
        <v>6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09:00</v>
      </c>
    </row>
    <row r="139" spans="1:9" x14ac:dyDescent="0.25">
      <c r="A139" s="63">
        <v>45558</v>
      </c>
      <c r="B139" s="88">
        <v>0.20833333333333334</v>
      </c>
      <c r="C139" s="86" t="s">
        <v>8</v>
      </c>
      <c r="D139" s="35" t="s">
        <v>223</v>
      </c>
      <c r="E139" s="9" t="s">
        <v>21</v>
      </c>
      <c r="F139" s="8">
        <f>(INT(Table_Kyrgyzstan[[#This Row],[Date]]) - DATE(1970, 1, 1)) * 86400000</f>
        <v>1727049600000</v>
      </c>
      <c r="G139" s="10">
        <f>'GMT Glossary'!$B$4</f>
        <v>6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11:00</v>
      </c>
    </row>
    <row r="140" spans="1:9" x14ac:dyDescent="0.25">
      <c r="A140" s="46">
        <v>45558</v>
      </c>
      <c r="B140" s="38">
        <v>0.20833333333333334</v>
      </c>
      <c r="C140" s="49" t="s">
        <v>8</v>
      </c>
      <c r="D140" s="58" t="s">
        <v>250</v>
      </c>
      <c r="E140" s="9" t="s">
        <v>72</v>
      </c>
      <c r="F140" s="8">
        <f>(INT(Table_Kyrgyzstan[[#This Row],[Date]]) - DATE(1970, 1, 1)) * 86400000</f>
        <v>1727049600000</v>
      </c>
      <c r="G140">
        <f>'GMT Glossary'!$B$4</f>
        <v>6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11:00</v>
      </c>
    </row>
    <row r="141" spans="1:9" x14ac:dyDescent="0.25">
      <c r="A141" s="63">
        <v>45558</v>
      </c>
      <c r="B141" s="88">
        <v>0.29166666666666669</v>
      </c>
      <c r="C141" s="86" t="s">
        <v>8</v>
      </c>
      <c r="D141" s="58" t="s">
        <v>219</v>
      </c>
      <c r="E141" s="9" t="s">
        <v>21</v>
      </c>
      <c r="F141" s="8">
        <f>(INT(Table_Kyrgyzstan[[#This Row],[Date]]) - DATE(1970, 1, 1)) * 86400000</f>
        <v>1727049600000</v>
      </c>
      <c r="G141">
        <f>'GMT Glossary'!$B$4</f>
        <v>6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13:00</v>
      </c>
    </row>
    <row r="142" spans="1:9" x14ac:dyDescent="0.25">
      <c r="A142" s="46">
        <v>45558</v>
      </c>
      <c r="B142" s="38">
        <v>0.29166666666666669</v>
      </c>
      <c r="C142" s="49" t="s">
        <v>8</v>
      </c>
      <c r="D142" s="35" t="s">
        <v>251</v>
      </c>
      <c r="E142" s="9" t="s">
        <v>72</v>
      </c>
      <c r="F142" s="8">
        <f>(INT(Table_Kyrgyzstan[[#This Row],[Date]]) - DATE(1970, 1, 1)) * 86400000</f>
        <v>1727049600000</v>
      </c>
      <c r="G142" s="10">
        <f>'GMT Glossary'!$B$4</f>
        <v>6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13:00</v>
      </c>
    </row>
    <row r="143" spans="1:9" x14ac:dyDescent="0.25">
      <c r="A143" s="63">
        <v>45558</v>
      </c>
      <c r="B143" s="88">
        <v>0.375</v>
      </c>
      <c r="C143" s="86" t="s">
        <v>8</v>
      </c>
      <c r="D143" s="58" t="s">
        <v>224</v>
      </c>
      <c r="E143" s="9" t="s">
        <v>21</v>
      </c>
      <c r="F143" s="8">
        <f>(INT(Table_Kyrgyzstan[[#This Row],[Date]]) - DATE(1970, 1, 1)) * 86400000</f>
        <v>1727049600000</v>
      </c>
      <c r="G143" s="10">
        <f>'GMT Glossary'!$B$4</f>
        <v>6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15:00</v>
      </c>
    </row>
    <row r="144" spans="1:9" x14ac:dyDescent="0.25">
      <c r="A144" s="46">
        <v>45558</v>
      </c>
      <c r="B144" s="38">
        <v>0.375</v>
      </c>
      <c r="C144" s="49" t="s">
        <v>8</v>
      </c>
      <c r="D144" s="55" t="s">
        <v>252</v>
      </c>
      <c r="E144" s="9" t="s">
        <v>72</v>
      </c>
      <c r="F144" s="8">
        <f>(INT(Table_Kyrgyzstan[[#This Row],[Date]]) - DATE(1970, 1, 1)) * 86400000</f>
        <v>1727049600000</v>
      </c>
      <c r="G144">
        <f>'GMT Glossary'!$B$4</f>
        <v>6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15:00</v>
      </c>
    </row>
    <row r="145" spans="1:9" x14ac:dyDescent="0.25">
      <c r="A145" s="63">
        <v>45558</v>
      </c>
      <c r="B145" s="88">
        <v>0.45833333333333331</v>
      </c>
      <c r="C145" s="86" t="s">
        <v>8</v>
      </c>
      <c r="D145" s="58" t="s">
        <v>225</v>
      </c>
      <c r="E145" s="9" t="s">
        <v>21</v>
      </c>
      <c r="F145" s="8">
        <f>(INT(Table_Kyrgyzstan[[#This Row],[Date]]) - DATE(1970, 1, 1)) * 86400000</f>
        <v>1727049600000</v>
      </c>
      <c r="G145">
        <f>'GMT Glossary'!$B$4</f>
        <v>6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17:00</v>
      </c>
    </row>
    <row r="146" spans="1:9" x14ac:dyDescent="0.25">
      <c r="A146" s="46">
        <v>45558</v>
      </c>
      <c r="B146" s="38">
        <v>0.45833333333333331</v>
      </c>
      <c r="C146" s="49" t="s">
        <v>402</v>
      </c>
      <c r="D146" s="55" t="s">
        <v>91</v>
      </c>
      <c r="E146" s="9" t="s">
        <v>72</v>
      </c>
      <c r="F146" s="8">
        <f>(INT(Table_Kyrgyzstan[[#This Row],[Date]]) - DATE(1970, 1, 1)) * 86400000</f>
        <v>1727049600000</v>
      </c>
      <c r="G146" s="10">
        <f>'GMT Glossary'!$B$4</f>
        <v>6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17:00</v>
      </c>
    </row>
    <row r="147" spans="1:9" x14ac:dyDescent="0.25">
      <c r="A147" s="63">
        <v>45558</v>
      </c>
      <c r="B147" s="88">
        <v>0.54166666666666663</v>
      </c>
      <c r="C147" s="86" t="s">
        <v>8</v>
      </c>
      <c r="D147" s="58" t="s">
        <v>226</v>
      </c>
      <c r="E147" s="9" t="s">
        <v>21</v>
      </c>
      <c r="F147" s="8">
        <f>(INT(Table_Kyrgyzstan[[#This Row],[Date]]) - DATE(1970, 1, 1)) * 86400000</f>
        <v>1727049600000</v>
      </c>
      <c r="G147" s="10">
        <f>'GMT Glossary'!$B$4</f>
        <v>6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19:00</v>
      </c>
    </row>
    <row r="148" spans="1:9" x14ac:dyDescent="0.25">
      <c r="A148" s="46">
        <v>45558</v>
      </c>
      <c r="B148" s="38">
        <v>0.54166666666666663</v>
      </c>
      <c r="C148" s="49" t="s">
        <v>398</v>
      </c>
      <c r="D148" s="58" t="s">
        <v>92</v>
      </c>
      <c r="E148" s="9" t="s">
        <v>72</v>
      </c>
      <c r="F148" s="8">
        <f>(INT(Table_Kyrgyzstan[[#This Row],[Date]]) - DATE(1970, 1, 1)) * 86400000</f>
        <v>1727049600000</v>
      </c>
      <c r="G148">
        <f>'GMT Glossary'!$B$4</f>
        <v>6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19:00</v>
      </c>
    </row>
    <row r="149" spans="1:9" x14ac:dyDescent="0.25">
      <c r="A149" s="63">
        <v>45558</v>
      </c>
      <c r="B149" s="88">
        <v>0.625</v>
      </c>
      <c r="C149" s="86" t="s">
        <v>8</v>
      </c>
      <c r="D149" s="58" t="s">
        <v>223</v>
      </c>
      <c r="E149" s="9" t="s">
        <v>21</v>
      </c>
      <c r="F149" s="8">
        <f>(INT(Table_Kyrgyzstan[[#This Row],[Date]]) - DATE(1970, 1, 1)) * 86400000</f>
        <v>1727049600000</v>
      </c>
      <c r="G149">
        <f>'GMT Glossary'!$B$4</f>
        <v>6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21:00</v>
      </c>
    </row>
    <row r="150" spans="1:9" x14ac:dyDescent="0.25">
      <c r="A150" s="46">
        <v>45558</v>
      </c>
      <c r="B150" s="38">
        <v>0.625</v>
      </c>
      <c r="C150" s="49" t="s">
        <v>8</v>
      </c>
      <c r="D150" s="53" t="s">
        <v>253</v>
      </c>
      <c r="E150" s="9" t="s">
        <v>72</v>
      </c>
      <c r="F150" s="8">
        <f>(INT(Table_Kyrgyzstan[[#This Row],[Date]]) - DATE(1970, 1, 1)) * 86400000</f>
        <v>1727049600000</v>
      </c>
      <c r="G150" s="10">
        <f>'GMT Glossary'!$B$4</f>
        <v>6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21:00</v>
      </c>
    </row>
    <row r="151" spans="1:9" x14ac:dyDescent="0.25">
      <c r="A151" s="63">
        <v>45558</v>
      </c>
      <c r="B151" s="88">
        <v>0.70833333333333337</v>
      </c>
      <c r="C151" s="86" t="s">
        <v>8</v>
      </c>
      <c r="D151" s="58" t="s">
        <v>221</v>
      </c>
      <c r="E151" s="9" t="s">
        <v>21</v>
      </c>
      <c r="F151" s="8">
        <f>(INT(Table_Kyrgyzstan[[#This Row],[Date]]) - DATE(1970, 1, 1)) * 86400000</f>
        <v>1727049600000</v>
      </c>
      <c r="G151">
        <f>'GMT Glossary'!$B$4</f>
        <v>6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23:00</v>
      </c>
    </row>
    <row r="152" spans="1:9" x14ac:dyDescent="0.25">
      <c r="A152" s="46">
        <v>45558</v>
      </c>
      <c r="B152" s="38">
        <v>0.70833333333333337</v>
      </c>
      <c r="C152" s="49" t="s">
        <v>8</v>
      </c>
      <c r="D152" s="55" t="s">
        <v>254</v>
      </c>
      <c r="E152" s="9" t="s">
        <v>72</v>
      </c>
      <c r="F152" s="8">
        <f>(INT(Table_Kyrgyzstan[[#This Row],[Date]]) - DATE(1970, 1, 1)) * 86400000</f>
        <v>1727049600000</v>
      </c>
      <c r="G152">
        <f>'GMT Glossary'!$B$4</f>
        <v>6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23:00</v>
      </c>
    </row>
    <row r="153" spans="1:9" x14ac:dyDescent="0.25">
      <c r="A153" s="63">
        <v>45558</v>
      </c>
      <c r="B153" s="88">
        <v>0.78125</v>
      </c>
      <c r="C153" s="86" t="s">
        <v>8</v>
      </c>
      <c r="D153" s="56" t="s">
        <v>227</v>
      </c>
      <c r="E153" s="9" t="s">
        <v>21</v>
      </c>
      <c r="F153" s="8">
        <f>(INT(Table_Kyrgyzstan[[#This Row],[Date]]) - DATE(1970, 1, 1)) * 86400000</f>
        <v>1727049600000</v>
      </c>
      <c r="G153" s="10">
        <f>'GMT Glossary'!$B$4</f>
        <v>6</v>
      </c>
      <c r="H153" s="2" t="str">
        <f>TEXT(IF(B153&lt;0, A153+1+((B153+(G153/24))-(INT(B153+(G153/24)))), A153+(B153+(G153/24))), "yyyy-mm-dd")</f>
        <v>2024-09-24</v>
      </c>
      <c r="I153" s="2" t="str">
        <f>TEXT(IF(B153&lt;0, A153+1+((B153+(G153/24))-(INT(B153+(G153/24)))), A153+(B153+(G153/24))), "hh:mm")</f>
        <v>00:45</v>
      </c>
    </row>
    <row r="154" spans="1:9" x14ac:dyDescent="0.25">
      <c r="A154" s="46">
        <v>45558</v>
      </c>
      <c r="B154" s="38">
        <v>0.79166666666666663</v>
      </c>
      <c r="C154" s="49" t="s">
        <v>8</v>
      </c>
      <c r="D154" s="55" t="s">
        <v>141</v>
      </c>
      <c r="E154" s="9" t="s">
        <v>72</v>
      </c>
      <c r="F154" s="8">
        <f>(INT(Table_Kyrgyzstan[[#This Row],[Date]]) - DATE(1970, 1, 1)) * 86400000</f>
        <v>1727049600000</v>
      </c>
      <c r="G154" s="10">
        <f>'GMT Glossary'!$B$4</f>
        <v>6</v>
      </c>
      <c r="H154" s="2" t="str">
        <f>TEXT(IF(B154&lt;0, A154+1+((B154+(G154/24))-(INT(B154+(G154/24)))), A154+(B154+(G154/24))), "yyyy-mm-dd")</f>
        <v>2024-09-24</v>
      </c>
      <c r="I154" s="2" t="str">
        <f>TEXT(IF(B154&lt;0, A154+1+((B154+(G154/24))-(INT(B154+(G154/24)))), A154+(B154+(G154/24))), "hh:mm")</f>
        <v>01:00</v>
      </c>
    </row>
    <row r="155" spans="1:9" x14ac:dyDescent="0.25">
      <c r="A155" s="63">
        <v>45558</v>
      </c>
      <c r="B155" s="88">
        <v>0.875</v>
      </c>
      <c r="C155" s="86" t="s">
        <v>8</v>
      </c>
      <c r="D155" s="58" t="s">
        <v>225</v>
      </c>
      <c r="E155" s="9" t="s">
        <v>21</v>
      </c>
      <c r="F155" s="8">
        <f>(INT(Table_Kyrgyzstan[[#This Row],[Date]]) - DATE(1970, 1, 1)) * 86400000</f>
        <v>1727049600000</v>
      </c>
      <c r="G155">
        <f>'GMT Glossary'!$B$4</f>
        <v>6</v>
      </c>
      <c r="H155" s="2" t="str">
        <f>TEXT(IF(B155&lt;0, A155+1+((B155+(G155/24))-(INT(B155+(G155/24)))), A155+(B155+(G155/24))), "yyyy-mm-dd")</f>
        <v>2024-09-24</v>
      </c>
      <c r="I155" s="2" t="str">
        <f>TEXT(IF(B155&lt;0, A155+1+((B155+(G155/24))-(INT(B155+(G155/24)))), A155+(B155+(G155/24))), "hh:mm")</f>
        <v>03:00</v>
      </c>
    </row>
    <row r="156" spans="1:9" x14ac:dyDescent="0.25">
      <c r="A156" s="46">
        <v>45558</v>
      </c>
      <c r="B156" s="38">
        <v>0.875</v>
      </c>
      <c r="C156" s="49" t="s">
        <v>8</v>
      </c>
      <c r="D156" s="53" t="s">
        <v>139</v>
      </c>
      <c r="E156" s="9" t="s">
        <v>72</v>
      </c>
      <c r="F156" s="8">
        <f>(INT(Table_Kyrgyzstan[[#This Row],[Date]]) - DATE(1970, 1, 1)) * 86400000</f>
        <v>1727049600000</v>
      </c>
      <c r="G156">
        <f>'GMT Glossary'!$B$4</f>
        <v>6</v>
      </c>
      <c r="H156" s="2" t="str">
        <f>TEXT(IF(B156&lt;0, A156+1+((B156+(G156/24))-(INT(B156+(G156/24)))), A156+(B156+(G156/24))), "yyyy-mm-dd")</f>
        <v>2024-09-24</v>
      </c>
      <c r="I156" s="2" t="str">
        <f>TEXT(IF(B156&lt;0, A156+1+((B156+(G156/24))-(INT(B156+(G156/24)))), A156+(B156+(G156/24))), "hh:mm")</f>
        <v>03:00</v>
      </c>
    </row>
    <row r="157" spans="1:9" x14ac:dyDescent="0.25">
      <c r="A157" s="63">
        <v>45558</v>
      </c>
      <c r="B157" s="88">
        <v>0.95833333333333337</v>
      </c>
      <c r="C157" s="86" t="s">
        <v>8</v>
      </c>
      <c r="D157" s="35" t="s">
        <v>228</v>
      </c>
      <c r="E157" s="9" t="s">
        <v>21</v>
      </c>
      <c r="F157" s="8">
        <f>(INT(Table_Kyrgyzstan[[#This Row],[Date]]) - DATE(1970, 1, 1)) * 86400000</f>
        <v>1727049600000</v>
      </c>
      <c r="G157" s="10">
        <f>'GMT Glossary'!$B$4</f>
        <v>6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05:00</v>
      </c>
    </row>
    <row r="158" spans="1:9" x14ac:dyDescent="0.25">
      <c r="A158" s="46">
        <v>45558</v>
      </c>
      <c r="B158" s="38">
        <v>0.95833333333333337</v>
      </c>
      <c r="C158" s="49" t="s">
        <v>401</v>
      </c>
      <c r="D158" s="58" t="s">
        <v>87</v>
      </c>
      <c r="E158" s="9" t="s">
        <v>72</v>
      </c>
      <c r="F158" s="8">
        <f>(INT(Table_Kyrgyzstan[[#This Row],[Date]]) - DATE(1970, 1, 1)) * 86400000</f>
        <v>1727049600000</v>
      </c>
      <c r="G158">
        <f>'GMT Glossary'!$B$4</f>
        <v>6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05:00</v>
      </c>
    </row>
    <row r="159" spans="1:9" x14ac:dyDescent="0.25">
      <c r="A159" s="63">
        <v>45559</v>
      </c>
      <c r="B159" s="88">
        <v>4.1666666666666664E-2</v>
      </c>
      <c r="C159" s="86" t="s">
        <v>8</v>
      </c>
      <c r="D159" s="58" t="s">
        <v>224</v>
      </c>
      <c r="E159" s="9" t="s">
        <v>21</v>
      </c>
      <c r="F159" s="8">
        <f>(INT(Table_Kyrgyzstan[[#This Row],[Date]]) - DATE(1970, 1, 1)) * 86400000</f>
        <v>1727136000000</v>
      </c>
      <c r="G159">
        <f>'GMT Glossary'!$B$4</f>
        <v>6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07:00</v>
      </c>
    </row>
    <row r="160" spans="1:9" x14ac:dyDescent="0.25">
      <c r="A160" s="46">
        <v>45559</v>
      </c>
      <c r="B160" s="38">
        <v>8.3333333333333329E-2</v>
      </c>
      <c r="C160" s="49" t="s">
        <v>402</v>
      </c>
      <c r="D160" s="53" t="s">
        <v>91</v>
      </c>
      <c r="E160" s="9" t="s">
        <v>72</v>
      </c>
      <c r="F160" s="8">
        <f>(INT(Table_Kyrgyzstan[[#This Row],[Date]]) - DATE(1970, 1, 1)) * 86400000</f>
        <v>1727136000000</v>
      </c>
      <c r="G160" s="10">
        <f>'GMT Glossary'!$B$4</f>
        <v>6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08:00</v>
      </c>
    </row>
    <row r="161" spans="1:9" x14ac:dyDescent="0.25">
      <c r="A161" s="63">
        <v>45559</v>
      </c>
      <c r="B161" s="88">
        <v>0.125</v>
      </c>
      <c r="C161" s="86" t="s">
        <v>8</v>
      </c>
      <c r="D161" s="58" t="s">
        <v>220</v>
      </c>
      <c r="E161" s="9" t="s">
        <v>21</v>
      </c>
      <c r="F161" s="8">
        <f>(INT(Table_Kyrgyzstan[[#This Row],[Date]]) - DATE(1970, 1, 1)) * 86400000</f>
        <v>1727136000000</v>
      </c>
      <c r="G161">
        <f>'GMT Glossary'!$B$4</f>
        <v>6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09:00</v>
      </c>
    </row>
    <row r="162" spans="1:9" x14ac:dyDescent="0.25">
      <c r="A162" s="63">
        <v>45559</v>
      </c>
      <c r="B162" s="88">
        <v>0.20833333333333334</v>
      </c>
      <c r="C162" s="86" t="s">
        <v>8</v>
      </c>
      <c r="D162" s="35" t="s">
        <v>222</v>
      </c>
      <c r="E162" s="9" t="s">
        <v>21</v>
      </c>
      <c r="F162" s="8">
        <f>(INT(Table_Kyrgyzstan[[#This Row],[Date]]) - DATE(1970, 1, 1)) * 86400000</f>
        <v>1727136000000</v>
      </c>
      <c r="G162" s="10">
        <f>'GMT Glossary'!$B$4</f>
        <v>6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11:00</v>
      </c>
    </row>
    <row r="163" spans="1:9" x14ac:dyDescent="0.25">
      <c r="A163" s="46">
        <v>45559</v>
      </c>
      <c r="B163" s="38">
        <v>0.20833333333333334</v>
      </c>
      <c r="C163" s="49" t="s">
        <v>398</v>
      </c>
      <c r="D163" s="58" t="s">
        <v>92</v>
      </c>
      <c r="E163" s="9" t="s">
        <v>72</v>
      </c>
      <c r="F163" s="8">
        <f>(INT(Table_Kyrgyzstan[[#This Row],[Date]]) - DATE(1970, 1, 1)) * 86400000</f>
        <v>1727136000000</v>
      </c>
      <c r="G163" s="10">
        <f>'GMT Glossary'!$B$4</f>
        <v>6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11:00</v>
      </c>
    </row>
    <row r="164" spans="1:9" x14ac:dyDescent="0.25">
      <c r="A164" s="63">
        <v>45559</v>
      </c>
      <c r="B164" s="88">
        <v>0.29166666666666669</v>
      </c>
      <c r="C164" s="86" t="s">
        <v>8</v>
      </c>
      <c r="D164" s="35" t="s">
        <v>219</v>
      </c>
      <c r="E164" s="9" t="s">
        <v>21</v>
      </c>
      <c r="F164" s="8">
        <f>(INT(Table_Kyrgyzstan[[#This Row],[Date]]) - DATE(1970, 1, 1)) * 86400000</f>
        <v>1727136000000</v>
      </c>
      <c r="G164">
        <f>'GMT Glossary'!$B$4</f>
        <v>6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13:00</v>
      </c>
    </row>
    <row r="165" spans="1:9" x14ac:dyDescent="0.25">
      <c r="A165" s="39">
        <v>45559</v>
      </c>
      <c r="B165" s="57">
        <v>0.29166666666666669</v>
      </c>
      <c r="C165" s="48" t="s">
        <v>8</v>
      </c>
      <c r="D165" s="54" t="s">
        <v>252</v>
      </c>
      <c r="E165" s="9" t="s">
        <v>72</v>
      </c>
      <c r="F165" s="21">
        <f>(INT(Table_Kyrgyzstan[[#This Row],[Date]]) - DATE(1970, 1, 1)) * 86400000</f>
        <v>1727136000000</v>
      </c>
      <c r="G165" s="12">
        <f>'GMT Glossary'!$B$4</f>
        <v>6</v>
      </c>
      <c r="H165" s="18" t="str">
        <f>TEXT(IF(B165&lt;0, A165+1+((B165+(G165/24))-(INT(B165+(G165/24)))), A165+(B165+(G165/24))), "yyyy-mm-dd")</f>
        <v>2024-09-24</v>
      </c>
      <c r="I165" s="18" t="str">
        <f>TEXT(IF(B165&lt;0, A165+1+((B165+(G165/24))-(INT(B165+(G165/24)))), A165+(B165+(G165/24))), "hh:mm")</f>
        <v>13:00</v>
      </c>
    </row>
  </sheetData>
  <sortState ref="A2:I165">
    <sortCondition ref="A2:A165"/>
    <sortCondition ref="B2:B165"/>
  </sortState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3EF9-22E2-44C3-9046-6143BD30FB8C}">
  <sheetPr codeName="Sheet10"/>
  <dimension ref="A1:I251"/>
  <sheetViews>
    <sheetView workbookViewId="0">
      <selection activeCell="C254" sqref="C254"/>
    </sheetView>
  </sheetViews>
  <sheetFormatPr defaultRowHeight="15" x14ac:dyDescent="0.25"/>
  <cols>
    <col min="1" max="1" width="27.28515625" style="1" customWidth="1"/>
    <col min="2" max="3" width="25.570312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20</v>
      </c>
      <c r="I1" t="s">
        <v>7</v>
      </c>
    </row>
    <row r="2" spans="1:9" x14ac:dyDescent="0.25">
      <c r="A2" s="50">
        <v>45552</v>
      </c>
      <c r="B2" s="47">
        <v>0.375</v>
      </c>
      <c r="C2" s="59" t="s">
        <v>8</v>
      </c>
      <c r="D2" s="35" t="s">
        <v>78</v>
      </c>
      <c r="E2" s="9" t="s">
        <v>21</v>
      </c>
      <c r="F2" s="8">
        <f>(INT(Table_Moldova[[#This Row],[Date]]) - DATE(1970, 1, 1)) * 86400000</f>
        <v>1726531200000</v>
      </c>
      <c r="G2">
        <f>'GMT Glossary'!$B$7</f>
        <v>3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12:00</v>
      </c>
    </row>
    <row r="3" spans="1:9" x14ac:dyDescent="0.25">
      <c r="A3" s="46">
        <v>45552</v>
      </c>
      <c r="B3" s="38">
        <v>0.375</v>
      </c>
      <c r="C3" s="49" t="s">
        <v>8</v>
      </c>
      <c r="D3" s="35" t="s">
        <v>108</v>
      </c>
      <c r="E3" s="9" t="s">
        <v>72</v>
      </c>
      <c r="F3" s="8">
        <f>(INT(Table_Moldova[[#This Row],[Date]]) - DATE(1970, 1, 1)) * 86400000</f>
        <v>1726531200000</v>
      </c>
      <c r="G3" s="10">
        <f>'GMT Glossary'!$B$7</f>
        <v>3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12:00</v>
      </c>
    </row>
    <row r="4" spans="1:9" ht="15.75" x14ac:dyDescent="0.25">
      <c r="A4" s="14">
        <v>45552</v>
      </c>
      <c r="B4" s="19">
        <v>0.375</v>
      </c>
      <c r="C4" s="98" t="s">
        <v>403</v>
      </c>
      <c r="D4" s="16" t="s">
        <v>260</v>
      </c>
      <c r="E4" s="32" t="s">
        <v>100</v>
      </c>
      <c r="F4" s="8">
        <f>(INT(Table_Moldova[[#This Row],[Date]]) - DATE(1970, 1, 1)) * 86400000</f>
        <v>1726531200000</v>
      </c>
      <c r="G4" s="10">
        <f>'GMT Glossary'!$B$7</f>
        <v>3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12:00</v>
      </c>
    </row>
    <row r="5" spans="1:9" ht="15.75" x14ac:dyDescent="0.25">
      <c r="A5" s="14">
        <v>45552</v>
      </c>
      <c r="B5" s="19">
        <v>0.39583333333333337</v>
      </c>
      <c r="C5" s="98" t="s">
        <v>403</v>
      </c>
      <c r="D5" s="16" t="s">
        <v>261</v>
      </c>
      <c r="E5" s="32" t="s">
        <v>100</v>
      </c>
      <c r="F5" s="8">
        <f>(INT(Table_Moldova[[#This Row],[Date]]) - DATE(1970, 1, 1)) * 86400000</f>
        <v>1726531200000</v>
      </c>
      <c r="G5" s="10">
        <f>'GMT Glossary'!$B$7</f>
        <v>3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12:30</v>
      </c>
    </row>
    <row r="6" spans="1:9" ht="15.75" x14ac:dyDescent="0.25">
      <c r="A6" s="14">
        <v>45552</v>
      </c>
      <c r="B6" s="19">
        <v>0.41666666666666674</v>
      </c>
      <c r="C6" s="95" t="s">
        <v>8</v>
      </c>
      <c r="D6" s="16" t="s">
        <v>159</v>
      </c>
      <c r="E6" s="32" t="s">
        <v>100</v>
      </c>
      <c r="F6" s="8">
        <f>(INT(Table_Moldova[[#This Row],[Date]]) - DATE(1970, 1, 1)) * 86400000</f>
        <v>1726531200000</v>
      </c>
      <c r="G6" s="10">
        <f>'GMT Glossary'!$B$7</f>
        <v>3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13:00</v>
      </c>
    </row>
    <row r="7" spans="1:9" x14ac:dyDescent="0.25">
      <c r="A7" s="50">
        <v>45552</v>
      </c>
      <c r="B7" s="47">
        <v>0.45833333333333331</v>
      </c>
      <c r="C7" s="59" t="s">
        <v>8</v>
      </c>
      <c r="D7" s="58" t="s">
        <v>195</v>
      </c>
      <c r="E7" s="9" t="s">
        <v>21</v>
      </c>
      <c r="F7" s="8">
        <f>(INT(Table_Moldova[[#This Row],[Date]]) - DATE(1970, 1, 1)) * 86400000</f>
        <v>1726531200000</v>
      </c>
      <c r="G7" s="10">
        <f>'GMT Glossary'!$B$7</f>
        <v>3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14:00</v>
      </c>
    </row>
    <row r="8" spans="1:9" x14ac:dyDescent="0.25">
      <c r="A8" s="46">
        <v>45552</v>
      </c>
      <c r="B8" s="38">
        <v>0.45833333333333331</v>
      </c>
      <c r="C8" s="49" t="s">
        <v>8</v>
      </c>
      <c r="D8" s="55" t="s">
        <v>229</v>
      </c>
      <c r="E8" s="9" t="s">
        <v>72</v>
      </c>
      <c r="F8" s="8">
        <f>(INT(Table_Moldova[[#This Row],[Date]]) - DATE(1970, 1, 1)) * 86400000</f>
        <v>1726531200000</v>
      </c>
      <c r="G8" s="10">
        <f>'GMT Glossary'!$B$7</f>
        <v>3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14:00</v>
      </c>
    </row>
    <row r="9" spans="1:9" ht="15.75" x14ac:dyDescent="0.25">
      <c r="A9" s="14">
        <v>45552</v>
      </c>
      <c r="B9" s="19">
        <v>0.5</v>
      </c>
      <c r="C9" s="95" t="s">
        <v>8</v>
      </c>
      <c r="D9" s="16" t="s">
        <v>262</v>
      </c>
      <c r="E9" s="32" t="s">
        <v>100</v>
      </c>
      <c r="F9" s="8">
        <f>(INT(Table_Moldova[[#This Row],[Date]]) - DATE(1970, 1, 1)) * 86400000</f>
        <v>1726531200000</v>
      </c>
      <c r="G9" s="10">
        <f>'GMT Glossary'!$B$7</f>
        <v>3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15:00</v>
      </c>
    </row>
    <row r="10" spans="1:9" x14ac:dyDescent="0.25">
      <c r="A10" s="50">
        <v>45552</v>
      </c>
      <c r="B10" s="47">
        <v>0.54166666666666663</v>
      </c>
      <c r="C10" s="59" t="s">
        <v>8</v>
      </c>
      <c r="D10" s="35" t="s">
        <v>129</v>
      </c>
      <c r="E10" s="9" t="s">
        <v>21</v>
      </c>
      <c r="F10" s="8">
        <f>(INT(Table_Moldova[[#This Row],[Date]]) - DATE(1970, 1, 1)) * 86400000</f>
        <v>1726531200000</v>
      </c>
      <c r="G10" s="10">
        <f>'GMT Glossary'!$B$7</f>
        <v>3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16:00</v>
      </c>
    </row>
    <row r="11" spans="1:9" x14ac:dyDescent="0.25">
      <c r="A11" s="46">
        <v>45552</v>
      </c>
      <c r="B11" s="38">
        <v>0.54166666666666663</v>
      </c>
      <c r="C11" s="49" t="s">
        <v>8</v>
      </c>
      <c r="D11" s="55" t="s">
        <v>230</v>
      </c>
      <c r="E11" s="9" t="s">
        <v>72</v>
      </c>
      <c r="F11" s="8">
        <f>(INT(Table_Moldova[[#This Row],[Date]]) - DATE(1970, 1, 1)) * 86400000</f>
        <v>1726531200000</v>
      </c>
      <c r="G11" s="10">
        <f>'GMT Glossary'!$B$7</f>
        <v>3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16:00</v>
      </c>
    </row>
    <row r="12" spans="1:9" ht="15.75" x14ac:dyDescent="0.25">
      <c r="A12" s="14">
        <v>45552</v>
      </c>
      <c r="B12" s="19">
        <v>0.58333333333333337</v>
      </c>
      <c r="C12" s="95" t="s">
        <v>8</v>
      </c>
      <c r="D12" s="16" t="s">
        <v>263</v>
      </c>
      <c r="E12" s="32" t="s">
        <v>100</v>
      </c>
      <c r="F12" s="8">
        <f>(INT(Table_Moldova[[#This Row],[Date]]) - DATE(1970, 1, 1)) * 86400000</f>
        <v>1726531200000</v>
      </c>
      <c r="G12" s="10">
        <f>'GMT Glossary'!$B$7</f>
        <v>3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17:00</v>
      </c>
    </row>
    <row r="13" spans="1:9" x14ac:dyDescent="0.25">
      <c r="A13" s="50">
        <v>45552</v>
      </c>
      <c r="B13" s="47">
        <v>0.625</v>
      </c>
      <c r="C13" s="59" t="s">
        <v>8</v>
      </c>
      <c r="D13" s="35" t="s">
        <v>79</v>
      </c>
      <c r="E13" s="9" t="s">
        <v>21</v>
      </c>
      <c r="F13" s="8">
        <f>(INT(Table_Moldova[[#This Row],[Date]]) - DATE(1970, 1, 1)) * 86400000</f>
        <v>1726531200000</v>
      </c>
      <c r="G13" s="10">
        <f>'GMT Glossary'!$B$7</f>
        <v>3</v>
      </c>
      <c r="H13" s="2" t="str">
        <f>TEXT(IF(B13&lt;0, A13+1+((B13+(G13/24))-(INT(B13+(G13/24)))), A13+(B13+(G13/24))), "yyyy-mm-dd")</f>
        <v>2024-09-17</v>
      </c>
      <c r="I13" s="2" t="str">
        <f>TEXT(IF(B13&lt;0, A13+1+((B13+(G13/24))-(INT(B13+(G13/24)))), A13+(B13+(G13/24))), "hh:mm")</f>
        <v>18:00</v>
      </c>
    </row>
    <row r="14" spans="1:9" x14ac:dyDescent="0.25">
      <c r="A14" s="46">
        <v>45552</v>
      </c>
      <c r="B14" s="38">
        <v>0.625</v>
      </c>
      <c r="C14" s="49" t="s">
        <v>8</v>
      </c>
      <c r="D14" s="35" t="s">
        <v>88</v>
      </c>
      <c r="E14" s="9" t="s">
        <v>72</v>
      </c>
      <c r="F14" s="8">
        <f>(INT(Table_Moldova[[#This Row],[Date]]) - DATE(1970, 1, 1)) * 86400000</f>
        <v>1726531200000</v>
      </c>
      <c r="G14">
        <f>'GMT Glossary'!$B$7</f>
        <v>3</v>
      </c>
      <c r="H14" s="2" t="str">
        <f>TEXT(IF(B14&lt;0, A14+1+((B14+(G14/24))-(INT(B14+(G14/24)))), A14+(B14+(G14/24))), "yyyy-mm-dd")</f>
        <v>2024-09-17</v>
      </c>
      <c r="I14" s="2" t="str">
        <f>TEXT(IF(B14&lt;0, A14+1+((B14+(G14/24))-(INT(B14+(G14/24)))), A14+(B14+(G14/24))), "hh:mm")</f>
        <v>18:00</v>
      </c>
    </row>
    <row r="15" spans="1:9" ht="15.75" x14ac:dyDescent="0.25">
      <c r="A15" s="14">
        <v>45552</v>
      </c>
      <c r="B15" s="19">
        <v>0.69791666666666663</v>
      </c>
      <c r="C15" s="95" t="s">
        <v>8</v>
      </c>
      <c r="D15" s="16" t="s">
        <v>264</v>
      </c>
      <c r="E15" s="32" t="s">
        <v>100</v>
      </c>
      <c r="F15" s="8">
        <f>(INT(Table_Moldova[[#This Row],[Date]]) - DATE(1970, 1, 1)) * 86400000</f>
        <v>1726531200000</v>
      </c>
      <c r="G15" s="10">
        <f>'GMT Glossary'!$B$7</f>
        <v>3</v>
      </c>
      <c r="H15" s="2" t="str">
        <f>TEXT(IF(B15&lt;0, A15+1+((B15+(G15/24))-(INT(B15+(G15/24)))), A15+(B15+(G15/24))), "yyyy-mm-dd")</f>
        <v>2024-09-17</v>
      </c>
      <c r="I15" s="2" t="str">
        <f>TEXT(IF(B15&lt;0, A15+1+((B15+(G15/24))-(INT(B15+(G15/24)))), A15+(B15+(G15/24))), "hh:mm")</f>
        <v>19:45</v>
      </c>
    </row>
    <row r="16" spans="1:9" x14ac:dyDescent="0.25">
      <c r="A16" s="50">
        <v>45552</v>
      </c>
      <c r="B16" s="47">
        <v>0.70833333333333337</v>
      </c>
      <c r="C16" s="59" t="s">
        <v>8</v>
      </c>
      <c r="D16" s="35" t="s">
        <v>43</v>
      </c>
      <c r="E16" s="9" t="s">
        <v>21</v>
      </c>
      <c r="F16" s="8">
        <f>(INT(Table_Moldova[[#This Row],[Date]]) - DATE(1970, 1, 1)) * 86400000</f>
        <v>1726531200000</v>
      </c>
      <c r="G16" s="10">
        <f>'GMT Glossary'!$B$7</f>
        <v>3</v>
      </c>
      <c r="H16" s="2" t="str">
        <f>TEXT(IF(B16&lt;0, A16+1+((B16+(G16/24))-(INT(B16+(G16/24)))), A16+(B16+(G16/24))), "yyyy-mm-dd")</f>
        <v>2024-09-17</v>
      </c>
      <c r="I16" s="2" t="str">
        <f>TEXT(IF(B16&lt;0, A16+1+((B16+(G16/24))-(INT(B16+(G16/24)))), A16+(B16+(G16/24))), "hh:mm")</f>
        <v>20:00</v>
      </c>
    </row>
    <row r="17" spans="1:9" x14ac:dyDescent="0.25">
      <c r="A17" s="46">
        <v>45552</v>
      </c>
      <c r="B17" s="38">
        <v>0.70833333333333337</v>
      </c>
      <c r="C17" s="49" t="s">
        <v>8</v>
      </c>
      <c r="D17" s="55" t="s">
        <v>93</v>
      </c>
      <c r="E17" s="9" t="s">
        <v>72</v>
      </c>
      <c r="F17" s="8">
        <f>(INT(Table_Moldova[[#This Row],[Date]]) - DATE(1970, 1, 1)) * 86400000</f>
        <v>1726531200000</v>
      </c>
      <c r="G17" s="10">
        <f>'GMT Glossary'!$B$7</f>
        <v>3</v>
      </c>
      <c r="H17" s="2" t="str">
        <f>TEXT(IF(B17&lt;0, A17+1+((B17+(G17/24))-(INT(B17+(G17/24)))), A17+(B17+(G17/24))), "yyyy-mm-dd")</f>
        <v>2024-09-17</v>
      </c>
      <c r="I17" s="2" t="str">
        <f>TEXT(IF(B17&lt;0, A17+1+((B17+(G17/24))-(INT(B17+(G17/24)))), A17+(B17+(G17/24))), "hh:mm")</f>
        <v>20:00</v>
      </c>
    </row>
    <row r="18" spans="1:9" x14ac:dyDescent="0.25">
      <c r="A18" s="46">
        <v>45552</v>
      </c>
      <c r="B18" s="38">
        <v>0.78125</v>
      </c>
      <c r="C18" s="49" t="s">
        <v>8</v>
      </c>
      <c r="D18" s="61" t="s">
        <v>231</v>
      </c>
      <c r="E18" s="9" t="s">
        <v>72</v>
      </c>
      <c r="F18" s="8">
        <f>(INT(Table_Moldova[[#This Row],[Date]]) - DATE(1970, 1, 1)) * 86400000</f>
        <v>1726531200000</v>
      </c>
      <c r="G18">
        <f>'GMT Glossary'!$B$7</f>
        <v>3</v>
      </c>
      <c r="H18" s="2" t="str">
        <f>TEXT(IF(B18&lt;0, A18+1+((B18+(G18/24))-(INT(B18+(G18/24)))), A18+(B18+(G18/24))), "yyyy-mm-dd")</f>
        <v>2024-09-17</v>
      </c>
      <c r="I18" s="2" t="str">
        <f>TEXT(IF(B18&lt;0, A18+1+((B18+(G18/24))-(INT(B18+(G18/24)))), A18+(B18+(G18/24))), "hh:mm")</f>
        <v>21:45</v>
      </c>
    </row>
    <row r="19" spans="1:9" x14ac:dyDescent="0.25">
      <c r="A19" s="50">
        <v>45552</v>
      </c>
      <c r="B19" s="47">
        <v>0.79166666666666663</v>
      </c>
      <c r="C19" s="59" t="s">
        <v>8</v>
      </c>
      <c r="D19" s="56" t="s">
        <v>196</v>
      </c>
      <c r="E19" s="9" t="s">
        <v>21</v>
      </c>
      <c r="F19" s="8">
        <f>(INT(Table_Moldova[[#This Row],[Date]]) - DATE(1970, 1, 1)) * 86400000</f>
        <v>1726531200000</v>
      </c>
      <c r="G19">
        <f>'GMT Glossary'!$B$7</f>
        <v>3</v>
      </c>
      <c r="H19" s="2" t="str">
        <f>TEXT(IF(B19&lt;0, A19+1+((B19+(G19/24))-(INT(B19+(G19/24)))), A19+(B19+(G19/24))), "yyyy-mm-dd")</f>
        <v>2024-09-17</v>
      </c>
      <c r="I19" s="2" t="str">
        <f>TEXT(IF(B19&lt;0, A19+1+((B19+(G19/24))-(INT(B19+(G19/24)))), A19+(B19+(G19/24))), "hh:mm")</f>
        <v>22:00</v>
      </c>
    </row>
    <row r="20" spans="1:9" ht="15.75" x14ac:dyDescent="0.25">
      <c r="A20" s="14">
        <v>45552</v>
      </c>
      <c r="B20" s="19">
        <v>0.79166666666666663</v>
      </c>
      <c r="C20" s="95" t="s">
        <v>8</v>
      </c>
      <c r="D20" s="16" t="s">
        <v>265</v>
      </c>
      <c r="E20" s="32" t="s">
        <v>100</v>
      </c>
      <c r="F20" s="8">
        <f>(INT(Table_Moldova[[#This Row],[Date]]) - DATE(1970, 1, 1)) * 86400000</f>
        <v>1726531200000</v>
      </c>
      <c r="G20" s="10">
        <f>'GMT Glossary'!$B$7</f>
        <v>3</v>
      </c>
      <c r="H20" s="2" t="str">
        <f>TEXT(IF(B20&lt;0, A20+1+((B20+(G20/24))-(INT(B20+(G20/24)))), A20+(B20+(G20/24))), "yyyy-mm-dd")</f>
        <v>2024-09-17</v>
      </c>
      <c r="I20" s="2" t="str">
        <f>TEXT(IF(B20&lt;0, A20+1+((B20+(G20/24))-(INT(B20+(G20/24)))), A20+(B20+(G20/24))), "hh:mm")</f>
        <v>22:00</v>
      </c>
    </row>
    <row r="21" spans="1:9" x14ac:dyDescent="0.25">
      <c r="A21" s="50">
        <v>45552</v>
      </c>
      <c r="B21" s="47">
        <v>0.875</v>
      </c>
      <c r="C21" s="59" t="s">
        <v>8</v>
      </c>
      <c r="D21" s="58" t="s">
        <v>197</v>
      </c>
      <c r="E21" s="9" t="s">
        <v>21</v>
      </c>
      <c r="F21" s="8">
        <f>(INT(Table_Moldova[[#This Row],[Date]]) - DATE(1970, 1, 1)) * 86400000</f>
        <v>1726531200000</v>
      </c>
      <c r="G21" s="10">
        <f>'GMT Glossary'!$B$7</f>
        <v>3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00:00</v>
      </c>
    </row>
    <row r="22" spans="1:9" x14ac:dyDescent="0.25">
      <c r="A22" s="46">
        <v>45552</v>
      </c>
      <c r="B22" s="38">
        <v>0.875</v>
      </c>
      <c r="C22" s="49" t="s">
        <v>8</v>
      </c>
      <c r="D22" s="35" t="s">
        <v>89</v>
      </c>
      <c r="E22" s="9" t="s">
        <v>72</v>
      </c>
      <c r="F22" s="8">
        <f>(INT(Table_Moldova[[#This Row],[Date]]) - DATE(1970, 1, 1)) * 86400000</f>
        <v>1726531200000</v>
      </c>
      <c r="G22" s="10">
        <f>'GMT Glossary'!$B$7</f>
        <v>3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00:00</v>
      </c>
    </row>
    <row r="23" spans="1:9" ht="15.75" x14ac:dyDescent="0.25">
      <c r="A23" s="14">
        <v>45552</v>
      </c>
      <c r="B23" s="19">
        <v>0.875</v>
      </c>
      <c r="C23" s="95" t="s">
        <v>398</v>
      </c>
      <c r="D23" s="16" t="s">
        <v>92</v>
      </c>
      <c r="E23" s="32" t="s">
        <v>100</v>
      </c>
      <c r="F23" s="8">
        <f>(INT(Table_Moldova[[#This Row],[Date]]) - DATE(1970, 1, 1)) * 86400000</f>
        <v>1726531200000</v>
      </c>
      <c r="G23" s="10">
        <f>'GMT Glossary'!$B$7</f>
        <v>3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00:00</v>
      </c>
    </row>
    <row r="24" spans="1:9" x14ac:dyDescent="0.25">
      <c r="A24" s="50">
        <v>45552</v>
      </c>
      <c r="B24" s="47">
        <v>0.95833333333333337</v>
      </c>
      <c r="C24" s="59" t="s">
        <v>8</v>
      </c>
      <c r="D24" s="35" t="s">
        <v>198</v>
      </c>
      <c r="E24" s="9" t="s">
        <v>21</v>
      </c>
      <c r="F24" s="8">
        <f>(INT(Table_Moldova[[#This Row],[Date]]) - DATE(1970, 1, 1)) * 86400000</f>
        <v>1726531200000</v>
      </c>
      <c r="G24" s="10">
        <f>'GMT Glossary'!$B$7</f>
        <v>3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02:00</v>
      </c>
    </row>
    <row r="25" spans="1:9" x14ac:dyDescent="0.25">
      <c r="A25" s="46">
        <v>45552</v>
      </c>
      <c r="B25" s="38">
        <v>0.95833333333333337</v>
      </c>
      <c r="C25" s="49" t="s">
        <v>8</v>
      </c>
      <c r="D25" s="55" t="s">
        <v>232</v>
      </c>
      <c r="E25" s="9" t="s">
        <v>72</v>
      </c>
      <c r="F25" s="8">
        <f>(INT(Table_Moldova[[#This Row],[Date]]) - DATE(1970, 1, 1)) * 86400000</f>
        <v>1726531200000</v>
      </c>
      <c r="G25" s="10">
        <f>'GMT Glossary'!$B$7</f>
        <v>3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02:00</v>
      </c>
    </row>
    <row r="26" spans="1:9" ht="15.75" x14ac:dyDescent="0.25">
      <c r="A26" s="14">
        <v>45553</v>
      </c>
      <c r="B26" s="19">
        <v>0</v>
      </c>
      <c r="C26" s="95" t="s">
        <v>8</v>
      </c>
      <c r="D26" s="16" t="s">
        <v>129</v>
      </c>
      <c r="E26" s="32" t="s">
        <v>100</v>
      </c>
      <c r="F26" s="8">
        <f>(INT(Table_Moldova[[#This Row],[Date]]) - DATE(1970, 1, 1)) * 86400000</f>
        <v>1726617600000</v>
      </c>
      <c r="G26" s="10">
        <f>'GMT Glossary'!$B$7</f>
        <v>3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03:00</v>
      </c>
    </row>
    <row r="27" spans="1:9" x14ac:dyDescent="0.25">
      <c r="A27" s="50">
        <v>45553</v>
      </c>
      <c r="B27" s="47">
        <v>4.1666666666666664E-2</v>
      </c>
      <c r="C27" s="59" t="s">
        <v>8</v>
      </c>
      <c r="D27" s="35" t="s">
        <v>74</v>
      </c>
      <c r="E27" s="9" t="s">
        <v>21</v>
      </c>
      <c r="F27" s="8">
        <f>(INT(Table_Moldova[[#This Row],[Date]]) - DATE(1970, 1, 1)) * 86400000</f>
        <v>1726617600000</v>
      </c>
      <c r="G27">
        <f>'GMT Glossary'!$B$7</f>
        <v>3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04:00</v>
      </c>
    </row>
    <row r="28" spans="1:9" x14ac:dyDescent="0.25">
      <c r="A28" s="50">
        <v>45553</v>
      </c>
      <c r="B28" s="47">
        <v>4.1666666666666664E-2</v>
      </c>
      <c r="C28" s="59" t="s">
        <v>8</v>
      </c>
      <c r="D28" s="35" t="s">
        <v>75</v>
      </c>
      <c r="E28" s="9" t="s">
        <v>21</v>
      </c>
      <c r="F28" s="8">
        <f>(INT(Table_Moldova[[#This Row],[Date]]) - DATE(1970, 1, 1)) * 86400000</f>
        <v>1726617600000</v>
      </c>
      <c r="G28">
        <f>'GMT Glossary'!$B$7</f>
        <v>3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04:00</v>
      </c>
    </row>
    <row r="29" spans="1:9" x14ac:dyDescent="0.25">
      <c r="A29" s="46">
        <v>45553</v>
      </c>
      <c r="B29" s="38">
        <v>4.1666666666666664E-2</v>
      </c>
      <c r="C29" s="49" t="s">
        <v>8</v>
      </c>
      <c r="D29" s="35" t="s">
        <v>102</v>
      </c>
      <c r="E29" s="9" t="s">
        <v>72</v>
      </c>
      <c r="F29" s="8">
        <f>(INT(Table_Moldova[[#This Row],[Date]]) - DATE(1970, 1, 1)) * 86400000</f>
        <v>1726617600000</v>
      </c>
      <c r="G29">
        <f>'GMT Glossary'!$B$7</f>
        <v>3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04:00</v>
      </c>
    </row>
    <row r="30" spans="1:9" ht="15.75" x14ac:dyDescent="0.25">
      <c r="A30" s="14">
        <v>45553</v>
      </c>
      <c r="B30" s="19">
        <v>8.3333333333333329E-2</v>
      </c>
      <c r="C30" s="95" t="s">
        <v>8</v>
      </c>
      <c r="D30" s="16" t="s">
        <v>64</v>
      </c>
      <c r="E30" s="32" t="s">
        <v>100</v>
      </c>
      <c r="F30" s="8">
        <f>(INT(Table_Moldova[[#This Row],[Date]]) - DATE(1970, 1, 1)) * 86400000</f>
        <v>1726617600000</v>
      </c>
      <c r="G30" s="10">
        <f>'GMT Glossary'!$B$7</f>
        <v>3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05:00</v>
      </c>
    </row>
    <row r="31" spans="1:9" x14ac:dyDescent="0.25">
      <c r="A31" s="50">
        <v>45553</v>
      </c>
      <c r="B31" s="47">
        <v>0.125</v>
      </c>
      <c r="C31" s="59" t="s">
        <v>8</v>
      </c>
      <c r="D31" s="35" t="s">
        <v>77</v>
      </c>
      <c r="E31" s="9" t="s">
        <v>21</v>
      </c>
      <c r="F31" s="8">
        <f>(INT(Table_Moldova[[#This Row],[Date]]) - DATE(1970, 1, 1)) * 86400000</f>
        <v>1726617600000</v>
      </c>
      <c r="G31" s="10">
        <f>'GMT Glossary'!$B$7</f>
        <v>3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06:00</v>
      </c>
    </row>
    <row r="32" spans="1:9" x14ac:dyDescent="0.25">
      <c r="A32" s="46">
        <v>45553</v>
      </c>
      <c r="B32" s="38">
        <v>0.125</v>
      </c>
      <c r="C32" s="49" t="s">
        <v>401</v>
      </c>
      <c r="D32" s="35" t="s">
        <v>81</v>
      </c>
      <c r="E32" s="9" t="s">
        <v>72</v>
      </c>
      <c r="F32" s="8">
        <f>(INT(Table_Moldova[[#This Row],[Date]]) - DATE(1970, 1, 1)) * 86400000</f>
        <v>1726617600000</v>
      </c>
      <c r="G32" s="10">
        <f>'GMT Glossary'!$B$7</f>
        <v>3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06:00</v>
      </c>
    </row>
    <row r="33" spans="1:9" ht="15.75" x14ac:dyDescent="0.25">
      <c r="A33" s="14">
        <v>45553</v>
      </c>
      <c r="B33" s="19">
        <v>0.16666666666666666</v>
      </c>
      <c r="C33" s="95" t="s">
        <v>399</v>
      </c>
      <c r="D33" s="16" t="s">
        <v>97</v>
      </c>
      <c r="E33" s="32" t="s">
        <v>100</v>
      </c>
      <c r="F33" s="8">
        <f>(INT(Table_Moldova[[#This Row],[Date]]) - DATE(1970, 1, 1)) * 86400000</f>
        <v>1726617600000</v>
      </c>
      <c r="G33" s="10">
        <f>'GMT Glossary'!$B$7</f>
        <v>3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07:00</v>
      </c>
    </row>
    <row r="34" spans="1:9" x14ac:dyDescent="0.25">
      <c r="A34" s="50">
        <v>45553</v>
      </c>
      <c r="B34" s="47">
        <v>0.20833333333333334</v>
      </c>
      <c r="C34" s="59" t="s">
        <v>8</v>
      </c>
      <c r="D34" s="58" t="s">
        <v>80</v>
      </c>
      <c r="E34" s="9" t="s">
        <v>21</v>
      </c>
      <c r="F34" s="8">
        <f>(INT(Table_Moldova[[#This Row],[Date]]) - DATE(1970, 1, 1)) * 86400000</f>
        <v>1726617600000</v>
      </c>
      <c r="G34" s="10">
        <f>'GMT Glossary'!$B$7</f>
        <v>3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08:00</v>
      </c>
    </row>
    <row r="35" spans="1:9" x14ac:dyDescent="0.25">
      <c r="A35" s="46">
        <v>45553</v>
      </c>
      <c r="B35" s="38">
        <v>0.25</v>
      </c>
      <c r="C35" s="49" t="s">
        <v>402</v>
      </c>
      <c r="D35" s="55" t="s">
        <v>82</v>
      </c>
      <c r="E35" s="9" t="s">
        <v>72</v>
      </c>
      <c r="F35" s="8">
        <f>(INT(Table_Moldova[[#This Row],[Date]]) - DATE(1970, 1, 1)) * 86400000</f>
        <v>1726617600000</v>
      </c>
      <c r="G35" s="10">
        <f>'GMT Glossary'!$B$7</f>
        <v>3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09:00</v>
      </c>
    </row>
    <row r="36" spans="1:9" x14ac:dyDescent="0.25">
      <c r="A36" s="50">
        <v>45553</v>
      </c>
      <c r="B36" s="47">
        <v>0.29166666666666669</v>
      </c>
      <c r="C36" s="59" t="s">
        <v>8</v>
      </c>
      <c r="D36" s="35" t="s">
        <v>199</v>
      </c>
      <c r="E36" s="9" t="s">
        <v>21</v>
      </c>
      <c r="F36" s="8">
        <f>(INT(Table_Moldova[[#This Row],[Date]]) - DATE(1970, 1, 1)) * 86400000</f>
        <v>1726617600000</v>
      </c>
      <c r="G36">
        <f>'GMT Glossary'!$B$7</f>
        <v>3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10:00</v>
      </c>
    </row>
    <row r="37" spans="1:9" ht="15.75" x14ac:dyDescent="0.25">
      <c r="A37" s="14">
        <v>45553</v>
      </c>
      <c r="B37" s="19">
        <v>0.29166666666666669</v>
      </c>
      <c r="C37" s="95" t="s">
        <v>8</v>
      </c>
      <c r="D37" s="16" t="s">
        <v>41</v>
      </c>
      <c r="E37" s="32" t="s">
        <v>100</v>
      </c>
      <c r="F37" s="8">
        <f>(INT(Table_Moldova[[#This Row],[Date]]) - DATE(1970, 1, 1)) * 86400000</f>
        <v>1726617600000</v>
      </c>
      <c r="G37" s="10">
        <f>'GMT Glossary'!$B$7</f>
        <v>3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10:00</v>
      </c>
    </row>
    <row r="38" spans="1:9" x14ac:dyDescent="0.25">
      <c r="A38" s="50">
        <v>45553</v>
      </c>
      <c r="B38" s="47">
        <v>0.375</v>
      </c>
      <c r="C38" s="59" t="s">
        <v>8</v>
      </c>
      <c r="D38" s="35" t="s">
        <v>200</v>
      </c>
      <c r="E38" s="9" t="s">
        <v>21</v>
      </c>
      <c r="F38" s="8">
        <f>(INT(Table_Moldova[[#This Row],[Date]]) - DATE(1970, 1, 1)) * 86400000</f>
        <v>1726617600000</v>
      </c>
      <c r="G38" s="10">
        <f>'GMT Glossary'!$B$7</f>
        <v>3</v>
      </c>
      <c r="H38" s="2" t="str">
        <f>TEXT(IF(B38&lt;0, A38+1+((B38+(G38/24))-(INT(B38+(G38/24)))), A38+(B38+(G38/24))), "yyyy-mm-dd")</f>
        <v>2024-09-18</v>
      </c>
      <c r="I38" s="2" t="str">
        <f>TEXT(IF(B38&lt;0, A38+1+((B38+(G38/24))-(INT(B38+(G38/24)))), A38+(B38+(G38/24))), "hh:mm")</f>
        <v>12:00</v>
      </c>
    </row>
    <row r="39" spans="1:9" x14ac:dyDescent="0.25">
      <c r="A39" s="46">
        <v>45553</v>
      </c>
      <c r="B39" s="38">
        <v>0.375</v>
      </c>
      <c r="C39" s="49" t="s">
        <v>8</v>
      </c>
      <c r="D39" s="55" t="s">
        <v>90</v>
      </c>
      <c r="E39" s="9" t="s">
        <v>72</v>
      </c>
      <c r="F39" s="8">
        <f>(INT(Table_Moldova[[#This Row],[Date]]) - DATE(1970, 1, 1)) * 86400000</f>
        <v>1726617600000</v>
      </c>
      <c r="G39">
        <f>'GMT Glossary'!$B$7</f>
        <v>3</v>
      </c>
      <c r="H39" s="2" t="str">
        <f>TEXT(IF(B39&lt;0, A39+1+((B39+(G39/24))-(INT(B39+(G39/24)))), A39+(B39+(G39/24))), "yyyy-mm-dd")</f>
        <v>2024-09-18</v>
      </c>
      <c r="I39" s="2" t="str">
        <f>TEXT(IF(B39&lt;0, A39+1+((B39+(G39/24))-(INT(B39+(G39/24)))), A39+(B39+(G39/24))), "hh:mm")</f>
        <v>12:00</v>
      </c>
    </row>
    <row r="40" spans="1:9" ht="15.75" x14ac:dyDescent="0.25">
      <c r="A40" s="14">
        <v>45553</v>
      </c>
      <c r="B40" s="19">
        <v>0.375</v>
      </c>
      <c r="C40" s="95" t="s">
        <v>8</v>
      </c>
      <c r="D40" s="16" t="s">
        <v>266</v>
      </c>
      <c r="E40" s="32" t="s">
        <v>100</v>
      </c>
      <c r="F40" s="8">
        <f>(INT(Table_Moldova[[#This Row],[Date]]) - DATE(1970, 1, 1)) * 86400000</f>
        <v>1726617600000</v>
      </c>
      <c r="G40" s="10">
        <f>'GMT Glossary'!$B$7</f>
        <v>3</v>
      </c>
      <c r="H40" s="2" t="str">
        <f>TEXT(IF(B40&lt;0, A40+1+((B40+(G40/24))-(INT(B40+(G40/24)))), A40+(B40+(G40/24))), "yyyy-mm-dd")</f>
        <v>2024-09-18</v>
      </c>
      <c r="I40" s="2" t="str">
        <f>TEXT(IF(B40&lt;0, A40+1+((B40+(G40/24))-(INT(B40+(G40/24)))), A40+(B40+(G40/24))), "hh:mm")</f>
        <v>12:00</v>
      </c>
    </row>
    <row r="41" spans="1:9" x14ac:dyDescent="0.25">
      <c r="A41" s="50">
        <v>45553</v>
      </c>
      <c r="B41" s="47">
        <v>0.41666666666666669</v>
      </c>
      <c r="C41" s="59" t="s">
        <v>8</v>
      </c>
      <c r="D41" s="35" t="s">
        <v>99</v>
      </c>
      <c r="E41" s="9" t="s">
        <v>21</v>
      </c>
      <c r="F41" s="8">
        <f>(INT(Table_Moldova[[#This Row],[Date]]) - DATE(1970, 1, 1)) * 86400000</f>
        <v>1726617600000</v>
      </c>
      <c r="G41" s="10">
        <f>'GMT Glossary'!$B$7</f>
        <v>3</v>
      </c>
      <c r="H41" s="2" t="str">
        <f>TEXT(IF(B41&lt;0, A41+1+((B41+(G41/24))-(INT(B41+(G41/24)))), A41+(B41+(G41/24))), "yyyy-mm-dd")</f>
        <v>2024-09-18</v>
      </c>
      <c r="I41" s="2" t="str">
        <f>TEXT(IF(B41&lt;0, A41+1+((B41+(G41/24))-(INT(B41+(G41/24)))), A41+(B41+(G41/24))), "hh:mm")</f>
        <v>13:00</v>
      </c>
    </row>
    <row r="42" spans="1:9" x14ac:dyDescent="0.25">
      <c r="A42" s="50">
        <v>45553</v>
      </c>
      <c r="B42" s="47">
        <v>0.45833333333333331</v>
      </c>
      <c r="C42" s="59" t="s">
        <v>8</v>
      </c>
      <c r="D42" s="35" t="s">
        <v>201</v>
      </c>
      <c r="E42" s="9" t="s">
        <v>21</v>
      </c>
      <c r="F42" s="8">
        <f>(INT(Table_Moldova[[#This Row],[Date]]) - DATE(1970, 1, 1)) * 86400000</f>
        <v>1726617600000</v>
      </c>
      <c r="G42">
        <f>'GMT Glossary'!$B$7</f>
        <v>3</v>
      </c>
      <c r="H42" s="2" t="str">
        <f>TEXT(IF(B42&lt;0, A42+1+((B42+(G42/24))-(INT(B42+(G42/24)))), A42+(B42+(G42/24))), "yyyy-mm-dd")</f>
        <v>2024-09-18</v>
      </c>
      <c r="I42" s="2" t="str">
        <f>TEXT(IF(B42&lt;0, A42+1+((B42+(G42/24))-(INT(B42+(G42/24)))), A42+(B42+(G42/24))), "hh:mm")</f>
        <v>14:00</v>
      </c>
    </row>
    <row r="43" spans="1:9" x14ac:dyDescent="0.25">
      <c r="A43" s="46">
        <v>45553</v>
      </c>
      <c r="B43" s="38">
        <v>0.45833333333333331</v>
      </c>
      <c r="C43" s="49" t="s">
        <v>8</v>
      </c>
      <c r="D43" s="35" t="s">
        <v>108</v>
      </c>
      <c r="E43" s="9" t="s">
        <v>72</v>
      </c>
      <c r="F43" s="8">
        <f>(INT(Table_Moldova[[#This Row],[Date]]) - DATE(1970, 1, 1)) * 86400000</f>
        <v>1726617600000</v>
      </c>
      <c r="G43" s="10">
        <f>'GMT Glossary'!$B$7</f>
        <v>3</v>
      </c>
      <c r="H43" s="2" t="str">
        <f>TEXT(IF(B43&lt;0, A43+1+((B43+(G43/24))-(INT(B43+(G43/24)))), A43+(B43+(G43/24))), "yyyy-mm-dd")</f>
        <v>2024-09-18</v>
      </c>
      <c r="I43" s="2" t="str">
        <f>TEXT(IF(B43&lt;0, A43+1+((B43+(G43/24))-(INT(B43+(G43/24)))), A43+(B43+(G43/24))), "hh:mm")</f>
        <v>14:00</v>
      </c>
    </row>
    <row r="44" spans="1:9" ht="15.75" x14ac:dyDescent="0.25">
      <c r="A44" s="14">
        <v>45553</v>
      </c>
      <c r="B44" s="19">
        <v>0.45833333333333331</v>
      </c>
      <c r="C44" s="95" t="s">
        <v>8</v>
      </c>
      <c r="D44" s="16" t="s">
        <v>68</v>
      </c>
      <c r="E44" s="32" t="s">
        <v>100</v>
      </c>
      <c r="F44" s="8">
        <f>(INT(Table_Moldova[[#This Row],[Date]]) - DATE(1970, 1, 1)) * 86400000</f>
        <v>1726617600000</v>
      </c>
      <c r="G44" s="10">
        <f>'GMT Glossary'!$B$7</f>
        <v>3</v>
      </c>
      <c r="H44" s="2" t="str">
        <f>TEXT(IF(B44&lt;0, A44+1+((B44+(G44/24))-(INT(B44+(G44/24)))), A44+(B44+(G44/24))), "yyyy-mm-dd")</f>
        <v>2024-09-18</v>
      </c>
      <c r="I44" s="2" t="str">
        <f>TEXT(IF(B44&lt;0, A44+1+((B44+(G44/24))-(INT(B44+(G44/24)))), A44+(B44+(G44/24))), "hh:mm")</f>
        <v>14:00</v>
      </c>
    </row>
    <row r="45" spans="1:9" x14ac:dyDescent="0.25">
      <c r="A45" s="50">
        <v>45553</v>
      </c>
      <c r="B45" s="47">
        <v>0.5</v>
      </c>
      <c r="C45" s="59" t="s">
        <v>8</v>
      </c>
      <c r="D45" s="35" t="s">
        <v>202</v>
      </c>
      <c r="E45" s="9" t="s">
        <v>21</v>
      </c>
      <c r="F45" s="8">
        <f>(INT(Table_Moldova[[#This Row],[Date]]) - DATE(1970, 1, 1)) * 86400000</f>
        <v>1726617600000</v>
      </c>
      <c r="G45" s="10">
        <f>'GMT Glossary'!$B$7</f>
        <v>3</v>
      </c>
      <c r="H45" s="2" t="str">
        <f>TEXT(IF(B45&lt;0, A45+1+((B45+(G45/24))-(INT(B45+(G45/24)))), A45+(B45+(G45/24))), "yyyy-mm-dd")</f>
        <v>2024-09-18</v>
      </c>
      <c r="I45" s="2" t="str">
        <f>TEXT(IF(B45&lt;0, A45+1+((B45+(G45/24))-(INT(B45+(G45/24)))), A45+(B45+(G45/24))), "hh:mm")</f>
        <v>15:00</v>
      </c>
    </row>
    <row r="46" spans="1:9" x14ac:dyDescent="0.25">
      <c r="A46" s="50">
        <v>45553</v>
      </c>
      <c r="B46" s="47">
        <v>0.54166666666666663</v>
      </c>
      <c r="C46" s="59" t="s">
        <v>8</v>
      </c>
      <c r="D46" s="58" t="s">
        <v>203</v>
      </c>
      <c r="E46" s="9" t="s">
        <v>21</v>
      </c>
      <c r="F46" s="8">
        <f>(INT(Table_Moldova[[#This Row],[Date]]) - DATE(1970, 1, 1)) * 86400000</f>
        <v>1726617600000</v>
      </c>
      <c r="G46" s="10">
        <f>'GMT Glossary'!$B$7</f>
        <v>3</v>
      </c>
      <c r="H46" s="2" t="str">
        <f>TEXT(IF(B46&lt;0, A46+1+((B46+(G46/24))-(INT(B46+(G46/24)))), A46+(B46+(G46/24))), "yyyy-mm-dd")</f>
        <v>2024-09-18</v>
      </c>
      <c r="I46" s="2" t="str">
        <f>TEXT(IF(B46&lt;0, A46+1+((B46+(G46/24))-(INT(B46+(G46/24)))), A46+(B46+(G46/24))), "hh:mm")</f>
        <v>16:00</v>
      </c>
    </row>
    <row r="47" spans="1:9" x14ac:dyDescent="0.25">
      <c r="A47" s="46">
        <v>45553</v>
      </c>
      <c r="B47" s="38">
        <v>0.54166666666666663</v>
      </c>
      <c r="C47" s="49" t="s">
        <v>8</v>
      </c>
      <c r="D47" s="58" t="s">
        <v>35</v>
      </c>
      <c r="E47" s="9" t="s">
        <v>72</v>
      </c>
      <c r="F47" s="8">
        <f>(INT(Table_Moldova[[#This Row],[Date]]) - DATE(1970, 1, 1)) * 86400000</f>
        <v>1726617600000</v>
      </c>
      <c r="G47" s="10">
        <f>'GMT Glossary'!$B$7</f>
        <v>3</v>
      </c>
      <c r="H47" s="2" t="str">
        <f>TEXT(IF(B47&lt;0, A47+1+((B47+(G47/24))-(INT(B47+(G47/24)))), A47+(B47+(G47/24))), "yyyy-mm-dd")</f>
        <v>2024-09-18</v>
      </c>
      <c r="I47" s="2" t="str">
        <f>TEXT(IF(B47&lt;0, A47+1+((B47+(G47/24))-(INT(B47+(G47/24)))), A47+(B47+(G47/24))), "hh:mm")</f>
        <v>16:00</v>
      </c>
    </row>
    <row r="48" spans="1:9" ht="15.75" x14ac:dyDescent="0.25">
      <c r="A48" s="14">
        <v>45553</v>
      </c>
      <c r="B48" s="19">
        <v>0.54166666666666663</v>
      </c>
      <c r="C48" s="95" t="s">
        <v>8</v>
      </c>
      <c r="D48" s="16" t="s">
        <v>267</v>
      </c>
      <c r="E48" s="32" t="s">
        <v>100</v>
      </c>
      <c r="F48" s="8">
        <f>(INT(Table_Moldova[[#This Row],[Date]]) - DATE(1970, 1, 1)) * 86400000</f>
        <v>1726617600000</v>
      </c>
      <c r="G48" s="10">
        <f>'GMT Glossary'!$B$7</f>
        <v>3</v>
      </c>
      <c r="H48" s="2" t="str">
        <f>TEXT(IF(B48&lt;0, A48+1+((B48+(G48/24))-(INT(B48+(G48/24)))), A48+(B48+(G48/24))), "yyyy-mm-dd")</f>
        <v>2024-09-18</v>
      </c>
      <c r="I48" s="2" t="str">
        <f>TEXT(IF(B48&lt;0, A48+1+((B48+(G48/24))-(INT(B48+(G48/24)))), A48+(B48+(G48/24))), "hh:mm")</f>
        <v>16:00</v>
      </c>
    </row>
    <row r="49" spans="1:9" x14ac:dyDescent="0.25">
      <c r="A49" s="50">
        <v>45553</v>
      </c>
      <c r="B49" s="47">
        <v>0.625</v>
      </c>
      <c r="C49" s="59" t="s">
        <v>8</v>
      </c>
      <c r="D49" s="35" t="s">
        <v>74</v>
      </c>
      <c r="E49" s="9" t="s">
        <v>21</v>
      </c>
      <c r="F49" s="8">
        <f>(INT(Table_Moldova[[#This Row],[Date]]) - DATE(1970, 1, 1)) * 86400000</f>
        <v>1726617600000</v>
      </c>
      <c r="G49">
        <f>'GMT Glossary'!$B$7</f>
        <v>3</v>
      </c>
      <c r="H49" s="2" t="str">
        <f>TEXT(IF(B49&lt;0, A49+1+((B49+(G49/24))-(INT(B49+(G49/24)))), A49+(B49+(G49/24))), "yyyy-mm-dd")</f>
        <v>2024-09-18</v>
      </c>
      <c r="I49" s="2" t="str">
        <f>TEXT(IF(B49&lt;0, A49+1+((B49+(G49/24))-(INT(B49+(G49/24)))), A49+(B49+(G49/24))), "hh:mm")</f>
        <v>18:00</v>
      </c>
    </row>
    <row r="50" spans="1:9" x14ac:dyDescent="0.25">
      <c r="A50" s="46">
        <v>45553</v>
      </c>
      <c r="B50" s="38">
        <v>0.625</v>
      </c>
      <c r="C50" s="49" t="s">
        <v>8</v>
      </c>
      <c r="D50" s="55" t="s">
        <v>86</v>
      </c>
      <c r="E50" s="9" t="s">
        <v>72</v>
      </c>
      <c r="F50" s="8">
        <f>(INT(Table_Moldova[[#This Row],[Date]]) - DATE(1970, 1, 1)) * 86400000</f>
        <v>1726617600000</v>
      </c>
      <c r="G50">
        <f>'GMT Glossary'!$B$7</f>
        <v>3</v>
      </c>
      <c r="H50" s="2" t="str">
        <f>TEXT(IF(B50&lt;0, A50+1+((B50+(G50/24))-(INT(B50+(G50/24)))), A50+(B50+(G50/24))), "yyyy-mm-dd")</f>
        <v>2024-09-18</v>
      </c>
      <c r="I50" s="2" t="str">
        <f>TEXT(IF(B50&lt;0, A50+1+((B50+(G50/24))-(INT(B50+(G50/24)))), A50+(B50+(G50/24))), "hh:mm")</f>
        <v>18:00</v>
      </c>
    </row>
    <row r="51" spans="1:9" ht="15.75" x14ac:dyDescent="0.25">
      <c r="A51" s="14">
        <v>45553</v>
      </c>
      <c r="B51" s="19">
        <v>0.625</v>
      </c>
      <c r="C51" s="95" t="s">
        <v>8</v>
      </c>
      <c r="D51" s="16" t="s">
        <v>200</v>
      </c>
      <c r="E51" s="32" t="s">
        <v>100</v>
      </c>
      <c r="F51" s="8">
        <f>(INT(Table_Moldova[[#This Row],[Date]]) - DATE(1970, 1, 1)) * 86400000</f>
        <v>1726617600000</v>
      </c>
      <c r="G51" s="10">
        <f>'GMT Glossary'!$B$7</f>
        <v>3</v>
      </c>
      <c r="H51" s="2" t="str">
        <f>TEXT(IF(B51&lt;0, A51+1+((B51+(G51/24))-(INT(B51+(G51/24)))), A51+(B51+(G51/24))), "yyyy-mm-dd")</f>
        <v>2024-09-18</v>
      </c>
      <c r="I51" s="2" t="str">
        <f>TEXT(IF(B51&lt;0, A51+1+((B51+(G51/24))-(INT(B51+(G51/24)))), A51+(B51+(G51/24))), "hh:mm")</f>
        <v>18:00</v>
      </c>
    </row>
    <row r="52" spans="1:9" ht="15.75" x14ac:dyDescent="0.25">
      <c r="A52" s="14">
        <v>45553</v>
      </c>
      <c r="B52" s="19">
        <v>0.66666666666666663</v>
      </c>
      <c r="C52" s="95" t="s">
        <v>8</v>
      </c>
      <c r="D52" s="16" t="s">
        <v>201</v>
      </c>
      <c r="E52" s="32" t="s">
        <v>100</v>
      </c>
      <c r="F52" s="8">
        <f>(INT(Table_Moldova[[#This Row],[Date]]) - DATE(1970, 1, 1)) * 86400000</f>
        <v>1726617600000</v>
      </c>
      <c r="G52" s="10">
        <f>'GMT Glossary'!$B$7</f>
        <v>3</v>
      </c>
      <c r="H52" s="2" t="str">
        <f>TEXT(IF(B52&lt;0, A52+1+((B52+(G52/24))-(INT(B52+(G52/24)))), A52+(B52+(G52/24))), "yyyy-mm-dd")</f>
        <v>2024-09-18</v>
      </c>
      <c r="I52" s="2" t="str">
        <f>TEXT(IF(B52&lt;0, A52+1+((B52+(G52/24))-(INT(B52+(G52/24)))), A52+(B52+(G52/24))), "hh:mm")</f>
        <v>19:00</v>
      </c>
    </row>
    <row r="53" spans="1:9" ht="15.75" x14ac:dyDescent="0.25">
      <c r="A53" s="14">
        <v>45553</v>
      </c>
      <c r="B53" s="19">
        <v>0.69791666666666663</v>
      </c>
      <c r="C53" s="95" t="s">
        <v>8</v>
      </c>
      <c r="D53" s="16" t="s">
        <v>268</v>
      </c>
      <c r="E53" s="32" t="s">
        <v>100</v>
      </c>
      <c r="F53" s="8">
        <f>(INT(Table_Moldova[[#This Row],[Date]]) - DATE(1970, 1, 1)) * 86400000</f>
        <v>1726617600000</v>
      </c>
      <c r="G53" s="10">
        <f>'GMT Glossary'!$B$7</f>
        <v>3</v>
      </c>
      <c r="H53" s="2" t="str">
        <f>TEXT(IF(B53&lt;0, A53+1+((B53+(G53/24))-(INT(B53+(G53/24)))), A53+(B53+(G53/24))), "yyyy-mm-dd")</f>
        <v>2024-09-18</v>
      </c>
      <c r="I53" s="2" t="str">
        <f>TEXT(IF(B53&lt;0, A53+1+((B53+(G53/24))-(INT(B53+(G53/24)))), A53+(B53+(G53/24))), "hh:mm")</f>
        <v>19:45</v>
      </c>
    </row>
    <row r="54" spans="1:9" x14ac:dyDescent="0.25">
      <c r="A54" s="50">
        <v>45553</v>
      </c>
      <c r="B54" s="47">
        <v>0.70833333333333337</v>
      </c>
      <c r="C54" s="59" t="s">
        <v>8</v>
      </c>
      <c r="D54" s="35" t="s">
        <v>115</v>
      </c>
      <c r="E54" s="9" t="s">
        <v>21</v>
      </c>
      <c r="F54" s="8">
        <f>(INT(Table_Moldova[[#This Row],[Date]]) - DATE(1970, 1, 1)) * 86400000</f>
        <v>1726617600000</v>
      </c>
      <c r="G54" s="10">
        <f>'GMT Glossary'!$B$7</f>
        <v>3</v>
      </c>
      <c r="H54" s="2" t="str">
        <f>TEXT(IF(B54&lt;0, A54+1+((B54+(G54/24))-(INT(B54+(G54/24)))), A54+(B54+(G54/24))), "yyyy-mm-dd")</f>
        <v>2024-09-18</v>
      </c>
      <c r="I54" s="2" t="str">
        <f>TEXT(IF(B54&lt;0, A54+1+((B54+(G54/24))-(INT(B54+(G54/24)))), A54+(B54+(G54/24))), "hh:mm")</f>
        <v>20:00</v>
      </c>
    </row>
    <row r="55" spans="1:9" x14ac:dyDescent="0.25">
      <c r="A55" s="46">
        <v>45553</v>
      </c>
      <c r="B55" s="38">
        <v>0.70833333333333337</v>
      </c>
      <c r="C55" s="49" t="s">
        <v>8</v>
      </c>
      <c r="D55" s="61" t="s">
        <v>126</v>
      </c>
      <c r="E55" s="9" t="s">
        <v>72</v>
      </c>
      <c r="F55" s="8">
        <f>(INT(Table_Moldova[[#This Row],[Date]]) - DATE(1970, 1, 1)) * 86400000</f>
        <v>1726617600000</v>
      </c>
      <c r="G55" s="10">
        <f>'GMT Glossary'!$B$7</f>
        <v>3</v>
      </c>
      <c r="H55" s="2" t="str">
        <f>TEXT(IF(B55&lt;0, A55+1+((B55+(G55/24))-(INT(B55+(G55/24)))), A55+(B55+(G55/24))), "yyyy-mm-dd")</f>
        <v>2024-09-18</v>
      </c>
      <c r="I55" s="2" t="str">
        <f>TEXT(IF(B55&lt;0, A55+1+((B55+(G55/24))-(INT(B55+(G55/24)))), A55+(B55+(G55/24))), "hh:mm")</f>
        <v>20:00</v>
      </c>
    </row>
    <row r="56" spans="1:9" x14ac:dyDescent="0.25">
      <c r="A56" s="50">
        <v>45553</v>
      </c>
      <c r="B56" s="47">
        <v>0.79166666666666663</v>
      </c>
      <c r="C56" s="59" t="s">
        <v>8</v>
      </c>
      <c r="D56" s="56" t="s">
        <v>204</v>
      </c>
      <c r="E56" s="9" t="s">
        <v>21</v>
      </c>
      <c r="F56" s="8">
        <f>(INT(Table_Moldova[[#This Row],[Date]]) - DATE(1970, 1, 1)) * 86400000</f>
        <v>1726617600000</v>
      </c>
      <c r="G56">
        <f>'GMT Glossary'!$B$7</f>
        <v>3</v>
      </c>
      <c r="H56" s="2" t="str">
        <f>TEXT(IF(B56&lt;0, A56+1+((B56+(G56/24))-(INT(B56+(G56/24)))), A56+(B56+(G56/24))), "yyyy-mm-dd")</f>
        <v>2024-09-18</v>
      </c>
      <c r="I56" s="2" t="str">
        <f>TEXT(IF(B56&lt;0, A56+1+((B56+(G56/24))-(INT(B56+(G56/24)))), A56+(B56+(G56/24))), "hh:mm")</f>
        <v>22:00</v>
      </c>
    </row>
    <row r="57" spans="1:9" x14ac:dyDescent="0.25">
      <c r="A57" s="46">
        <v>45553</v>
      </c>
      <c r="B57" s="38">
        <v>0.79166666666666663</v>
      </c>
      <c r="C57" s="49" t="s">
        <v>8</v>
      </c>
      <c r="D57" s="55" t="s">
        <v>64</v>
      </c>
      <c r="E57" s="9" t="s">
        <v>72</v>
      </c>
      <c r="F57" s="8">
        <f>(INT(Table_Moldova[[#This Row],[Date]]) - DATE(1970, 1, 1)) * 86400000</f>
        <v>1726617600000</v>
      </c>
      <c r="G57" s="10">
        <f>'GMT Glossary'!$B$7</f>
        <v>3</v>
      </c>
      <c r="H57" s="2" t="str">
        <f>TEXT(IF(B57&lt;0, A57+1+((B57+(G57/24))-(INT(B57+(G57/24)))), A57+(B57+(G57/24))), "yyyy-mm-dd")</f>
        <v>2024-09-18</v>
      </c>
      <c r="I57" s="2" t="str">
        <f>TEXT(IF(B57&lt;0, A57+1+((B57+(G57/24))-(INT(B57+(G57/24)))), A57+(B57+(G57/24))), "hh:mm")</f>
        <v>22:00</v>
      </c>
    </row>
    <row r="58" spans="1:9" ht="15.75" x14ac:dyDescent="0.25">
      <c r="A58" s="14">
        <v>45553</v>
      </c>
      <c r="B58" s="19">
        <v>0.79166666666666663</v>
      </c>
      <c r="C58" s="95" t="s">
        <v>8</v>
      </c>
      <c r="D58" s="16" t="s">
        <v>269</v>
      </c>
      <c r="E58" s="32" t="s">
        <v>100</v>
      </c>
      <c r="F58" s="8">
        <f>(INT(Table_Moldova[[#This Row],[Date]]) - DATE(1970, 1, 1)) * 86400000</f>
        <v>1726617600000</v>
      </c>
      <c r="G58" s="10">
        <f>'GMT Glossary'!$B$7</f>
        <v>3</v>
      </c>
      <c r="H58" s="2" t="str">
        <f>TEXT(IF(B58&lt;0, A58+1+((B58+(G58/24))-(INT(B58+(G58/24)))), A58+(B58+(G58/24))), "yyyy-mm-dd")</f>
        <v>2024-09-18</v>
      </c>
      <c r="I58" s="2" t="str">
        <f>TEXT(IF(B58&lt;0, A58+1+((B58+(G58/24))-(INT(B58+(G58/24)))), A58+(B58+(G58/24))), "hh:mm")</f>
        <v>22:00</v>
      </c>
    </row>
    <row r="59" spans="1:9" x14ac:dyDescent="0.25">
      <c r="A59" s="50">
        <v>45553</v>
      </c>
      <c r="B59" s="47">
        <v>0.875</v>
      </c>
      <c r="C59" s="59" t="s">
        <v>8</v>
      </c>
      <c r="D59" s="35" t="s">
        <v>205</v>
      </c>
      <c r="E59" s="9" t="s">
        <v>21</v>
      </c>
      <c r="F59" s="8">
        <f>(INT(Table_Moldova[[#This Row],[Date]]) - DATE(1970, 1, 1)) * 86400000</f>
        <v>1726617600000</v>
      </c>
      <c r="G59" s="10">
        <f>'GMT Glossary'!$B$7</f>
        <v>3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00:00</v>
      </c>
    </row>
    <row r="60" spans="1:9" x14ac:dyDescent="0.25">
      <c r="A60" s="46">
        <v>45553</v>
      </c>
      <c r="B60" s="38">
        <v>0.875</v>
      </c>
      <c r="C60" s="49" t="s">
        <v>8</v>
      </c>
      <c r="D60" s="35" t="s">
        <v>88</v>
      </c>
      <c r="E60" s="9" t="s">
        <v>72</v>
      </c>
      <c r="F60" s="8">
        <f>(INT(Table_Moldova[[#This Row],[Date]]) - DATE(1970, 1, 1)) * 86400000</f>
        <v>1726617600000</v>
      </c>
      <c r="G60">
        <f>'GMT Glossary'!$B$7</f>
        <v>3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00:00</v>
      </c>
    </row>
    <row r="61" spans="1:9" ht="15.75" x14ac:dyDescent="0.25">
      <c r="A61" s="14">
        <v>45553</v>
      </c>
      <c r="B61" s="19">
        <v>0.875</v>
      </c>
      <c r="C61" s="95" t="s">
        <v>402</v>
      </c>
      <c r="D61" s="16" t="s">
        <v>98</v>
      </c>
      <c r="E61" s="32" t="s">
        <v>100</v>
      </c>
      <c r="F61" s="8">
        <f>(INT(Table_Moldova[[#This Row],[Date]]) - DATE(1970, 1, 1)) * 86400000</f>
        <v>1726617600000</v>
      </c>
      <c r="G61" s="10">
        <f>'GMT Glossary'!$B$7</f>
        <v>3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00:00</v>
      </c>
    </row>
    <row r="62" spans="1:9" x14ac:dyDescent="0.25">
      <c r="A62" s="50">
        <v>45553</v>
      </c>
      <c r="B62" s="47">
        <v>0.95833333333333337</v>
      </c>
      <c r="C62" s="59" t="s">
        <v>8</v>
      </c>
      <c r="D62" s="35" t="s">
        <v>73</v>
      </c>
      <c r="E62" s="9" t="s">
        <v>21</v>
      </c>
      <c r="F62" s="8">
        <f>(INT(Table_Moldova[[#This Row],[Date]]) - DATE(1970, 1, 1)) * 86400000</f>
        <v>1726617600000</v>
      </c>
      <c r="G62" s="10">
        <f>'GMT Glossary'!$B$7</f>
        <v>3</v>
      </c>
      <c r="H62" s="2" t="str">
        <f>TEXT(IF(B62&lt;0, A62+1+((B62+(G62/24))-(INT(B62+(G62/24)))), A62+(B62+(G62/24))), "yyyy-mm-dd")</f>
        <v>2024-09-19</v>
      </c>
      <c r="I62" s="2" t="str">
        <f>TEXT(IF(B62&lt;0, A62+1+((B62+(G62/24))-(INT(B62+(G62/24)))), A62+(B62+(G62/24))), "hh:mm")</f>
        <v>02:00</v>
      </c>
    </row>
    <row r="63" spans="1:9" x14ac:dyDescent="0.25">
      <c r="A63" s="46">
        <v>45553</v>
      </c>
      <c r="B63" s="38">
        <v>0.95833333333333337</v>
      </c>
      <c r="C63" s="49" t="s">
        <v>8</v>
      </c>
      <c r="D63" s="55" t="s">
        <v>40</v>
      </c>
      <c r="E63" s="9" t="s">
        <v>72</v>
      </c>
      <c r="F63" s="8">
        <f>(INT(Table_Moldova[[#This Row],[Date]]) - DATE(1970, 1, 1)) * 86400000</f>
        <v>1726617600000</v>
      </c>
      <c r="G63" s="10">
        <f>'GMT Glossary'!$B$7</f>
        <v>3</v>
      </c>
      <c r="H63" s="2" t="str">
        <f>TEXT(IF(B63&lt;0, A63+1+((B63+(G63/24))-(INT(B63+(G63/24)))), A63+(B63+(G63/24))), "yyyy-mm-dd")</f>
        <v>2024-09-19</v>
      </c>
      <c r="I63" s="2" t="str">
        <f>TEXT(IF(B63&lt;0, A63+1+((B63+(G63/24))-(INT(B63+(G63/24)))), A63+(B63+(G63/24))), "hh:mm")</f>
        <v>02:00</v>
      </c>
    </row>
    <row r="64" spans="1:9" ht="15.75" x14ac:dyDescent="0.25">
      <c r="A64" s="14">
        <v>45553</v>
      </c>
      <c r="B64" s="19">
        <v>0.95833333333333337</v>
      </c>
      <c r="C64" s="95" t="s">
        <v>8</v>
      </c>
      <c r="D64" s="16" t="s">
        <v>46</v>
      </c>
      <c r="E64" s="32" t="s">
        <v>100</v>
      </c>
      <c r="F64" s="8">
        <f>(INT(Table_Moldova[[#This Row],[Date]]) - DATE(1970, 1, 1)) * 86400000</f>
        <v>1726617600000</v>
      </c>
      <c r="G64" s="10">
        <f>'GMT Glossary'!$B$7</f>
        <v>3</v>
      </c>
      <c r="H64" s="2" t="str">
        <f>TEXT(IF(B64&lt;0, A64+1+((B64+(G64/24))-(INT(B64+(G64/24)))), A64+(B64+(G64/24))), "yyyy-mm-dd")</f>
        <v>2024-09-19</v>
      </c>
      <c r="I64" s="2" t="str">
        <f>TEXT(IF(B64&lt;0, A64+1+((B64+(G64/24))-(INT(B64+(G64/24)))), A64+(B64+(G64/24))), "hh:mm")</f>
        <v>02:00</v>
      </c>
    </row>
    <row r="65" spans="1:9" x14ac:dyDescent="0.25">
      <c r="A65" s="46">
        <v>45554</v>
      </c>
      <c r="B65" s="38">
        <v>4.1666666666666664E-2</v>
      </c>
      <c r="C65" s="49" t="s">
        <v>402</v>
      </c>
      <c r="D65" s="55" t="s">
        <v>91</v>
      </c>
      <c r="E65" s="9" t="s">
        <v>72</v>
      </c>
      <c r="F65" s="8">
        <f>(INT(Table_Moldova[[#This Row],[Date]]) - DATE(1970, 1, 1)) * 86400000</f>
        <v>1726704000000</v>
      </c>
      <c r="G65" s="10">
        <f>'GMT Glossary'!$B$7</f>
        <v>3</v>
      </c>
      <c r="H65" s="2" t="str">
        <f>TEXT(IF(B65&lt;0, A65+1+((B65+(G65/24))-(INT(B65+(G65/24)))), A65+(B65+(G65/24))), "yyyy-mm-dd")</f>
        <v>2024-09-19</v>
      </c>
      <c r="I65" s="2" t="str">
        <f>TEXT(IF(B65&lt;0, A65+1+((B65+(G65/24))-(INT(B65+(G65/24)))), A65+(B65+(G65/24))), "hh:mm")</f>
        <v>04:00</v>
      </c>
    </row>
    <row r="66" spans="1:9" ht="15.75" x14ac:dyDescent="0.25">
      <c r="A66" s="14">
        <v>45554</v>
      </c>
      <c r="B66" s="19">
        <v>4.1666666666666664E-2</v>
      </c>
      <c r="C66" s="95" t="s">
        <v>8</v>
      </c>
      <c r="D66" s="16" t="s">
        <v>270</v>
      </c>
      <c r="E66" s="32" t="s">
        <v>100</v>
      </c>
      <c r="F66" s="8">
        <f>(INT(Table_Moldova[[#This Row],[Date]]) - DATE(1970, 1, 1)) * 86400000</f>
        <v>1726704000000</v>
      </c>
      <c r="G66" s="10">
        <f>'GMT Glossary'!$B$7</f>
        <v>3</v>
      </c>
      <c r="H66" s="2" t="str">
        <f>TEXT(IF(B66&lt;0, A66+1+((B66+(G66/24))-(INT(B66+(G66/24)))), A66+(B66+(G66/24))), "yyyy-mm-dd")</f>
        <v>2024-09-19</v>
      </c>
      <c r="I66" s="2" t="str">
        <f>TEXT(IF(B66&lt;0, A66+1+((B66+(G66/24))-(INT(B66+(G66/24)))), A66+(B66+(G66/24))), "hh:mm")</f>
        <v>04:00</v>
      </c>
    </row>
    <row r="67" spans="1:9" x14ac:dyDescent="0.25">
      <c r="A67" s="50">
        <v>45554</v>
      </c>
      <c r="B67" s="47">
        <v>0.125</v>
      </c>
      <c r="C67" s="59" t="s">
        <v>8</v>
      </c>
      <c r="D67" s="58" t="s">
        <v>78</v>
      </c>
      <c r="E67" s="9" t="s">
        <v>21</v>
      </c>
      <c r="F67" s="8">
        <f>(INT(Table_Moldova[[#This Row],[Date]]) - DATE(1970, 1, 1)) * 86400000</f>
        <v>1726704000000</v>
      </c>
      <c r="G67" s="10">
        <f>'GMT Glossary'!$B$7</f>
        <v>3</v>
      </c>
      <c r="H67" s="2" t="str">
        <f>TEXT(IF(B67&lt;0, A67+1+((B67+(G67/24))-(INT(B67+(G67/24)))), A67+(B67+(G67/24))), "yyyy-mm-dd")</f>
        <v>2024-09-19</v>
      </c>
      <c r="I67" s="2" t="str">
        <f>TEXT(IF(B67&lt;0, A67+1+((B67+(G67/24))-(INT(B67+(G67/24)))), A67+(B67+(G67/24))), "hh:mm")</f>
        <v>06:00</v>
      </c>
    </row>
    <row r="68" spans="1:9" ht="15.75" x14ac:dyDescent="0.25">
      <c r="A68" s="14">
        <v>45554</v>
      </c>
      <c r="B68" s="19">
        <v>0.125</v>
      </c>
      <c r="C68" s="95" t="s">
        <v>8</v>
      </c>
      <c r="D68" s="16" t="s">
        <v>271</v>
      </c>
      <c r="E68" s="32" t="s">
        <v>100</v>
      </c>
      <c r="F68" s="8">
        <f>(INT(Table_Moldova[[#This Row],[Date]]) - DATE(1970, 1, 1)) * 86400000</f>
        <v>1726704000000</v>
      </c>
      <c r="G68" s="10">
        <f>'GMT Glossary'!$B$7</f>
        <v>3</v>
      </c>
      <c r="H68" s="2" t="str">
        <f>TEXT(IF(B68&lt;0, A68+1+((B68+(G68/24))-(INT(B68+(G68/24)))), A68+(B68+(G68/24))), "yyyy-mm-dd")</f>
        <v>2024-09-19</v>
      </c>
      <c r="I68" s="2" t="str">
        <f>TEXT(IF(B68&lt;0, A68+1+((B68+(G68/24))-(INT(B68+(G68/24)))), A68+(B68+(G68/24))), "hh:mm")</f>
        <v>06:00</v>
      </c>
    </row>
    <row r="69" spans="1:9" x14ac:dyDescent="0.25">
      <c r="A69" s="46">
        <v>45554</v>
      </c>
      <c r="B69" s="38">
        <v>0.16666666666666666</v>
      </c>
      <c r="C69" s="49" t="s">
        <v>401</v>
      </c>
      <c r="D69" s="58" t="s">
        <v>81</v>
      </c>
      <c r="E69" s="9" t="s">
        <v>72</v>
      </c>
      <c r="F69" s="8">
        <f>(INT(Table_Moldova[[#This Row],[Date]]) - DATE(1970, 1, 1)) * 86400000</f>
        <v>1726704000000</v>
      </c>
      <c r="G69">
        <f>'GMT Glossary'!$B$7</f>
        <v>3</v>
      </c>
      <c r="H69" s="2" t="str">
        <f>TEXT(IF(B69&lt;0, A69+1+((B69+(G69/24))-(INT(B69+(G69/24)))), A69+(B69+(G69/24))), "yyyy-mm-dd")</f>
        <v>2024-09-19</v>
      </c>
      <c r="I69" s="2" t="str">
        <f>TEXT(IF(B69&lt;0, A69+1+((B69+(G69/24))-(INT(B69+(G69/24)))), A69+(B69+(G69/24))), "hh:mm")</f>
        <v>07:00</v>
      </c>
    </row>
    <row r="70" spans="1:9" x14ac:dyDescent="0.25">
      <c r="A70" s="50">
        <v>45554</v>
      </c>
      <c r="B70" s="47">
        <v>0.20833333333333334</v>
      </c>
      <c r="C70" s="59" t="s">
        <v>8</v>
      </c>
      <c r="D70" s="35" t="s">
        <v>195</v>
      </c>
      <c r="E70" s="9" t="s">
        <v>21</v>
      </c>
      <c r="F70" s="8">
        <f>(INT(Table_Moldova[[#This Row],[Date]]) - DATE(1970, 1, 1)) * 86400000</f>
        <v>1726704000000</v>
      </c>
      <c r="G70" s="10">
        <f>'GMT Glossary'!$B$7</f>
        <v>3</v>
      </c>
      <c r="H70" s="2" t="str">
        <f>TEXT(IF(B70&lt;0, A70+1+((B70+(G70/24))-(INT(B70+(G70/24)))), A70+(B70+(G70/24))), "yyyy-mm-dd")</f>
        <v>2024-09-19</v>
      </c>
      <c r="I70" s="2" t="str">
        <f>TEXT(IF(B70&lt;0, A70+1+((B70+(G70/24))-(INT(B70+(G70/24)))), A70+(B70+(G70/24))), "hh:mm")</f>
        <v>08:00</v>
      </c>
    </row>
    <row r="71" spans="1:9" ht="15.75" x14ac:dyDescent="0.25">
      <c r="A71" s="14">
        <v>45554</v>
      </c>
      <c r="B71" s="19">
        <v>0.20833333333333334</v>
      </c>
      <c r="C71" s="95" t="s">
        <v>8</v>
      </c>
      <c r="D71" s="16" t="s">
        <v>272</v>
      </c>
      <c r="E71" s="32" t="s">
        <v>100</v>
      </c>
      <c r="F71" s="8">
        <f>(INT(Table_Moldova[[#This Row],[Date]]) - DATE(1970, 1, 1)) * 86400000</f>
        <v>1726704000000</v>
      </c>
      <c r="G71" s="10">
        <f>'GMT Glossary'!$B$7</f>
        <v>3</v>
      </c>
      <c r="H71" s="2" t="str">
        <f>TEXT(IF(B71&lt;0, A71+1+((B71+(G71/24))-(INT(B71+(G71/24)))), A71+(B71+(G71/24))), "yyyy-mm-dd")</f>
        <v>2024-09-19</v>
      </c>
      <c r="I71" s="2" t="str">
        <f>TEXT(IF(B71&lt;0, A71+1+((B71+(G71/24))-(INT(B71+(G71/24)))), A71+(B71+(G71/24))), "hh:mm")</f>
        <v>08:00</v>
      </c>
    </row>
    <row r="72" spans="1:9" x14ac:dyDescent="0.25">
      <c r="A72" s="50">
        <v>45554</v>
      </c>
      <c r="B72" s="47">
        <v>0.29166666666666669</v>
      </c>
      <c r="C72" s="59" t="s">
        <v>8</v>
      </c>
      <c r="D72" s="35" t="s">
        <v>79</v>
      </c>
      <c r="E72" s="9" t="s">
        <v>21</v>
      </c>
      <c r="F72" s="8">
        <f>(INT(Table_Moldova[[#This Row],[Date]]) - DATE(1970, 1, 1)) * 86400000</f>
        <v>1726704000000</v>
      </c>
      <c r="G72">
        <f>'GMT Glossary'!$B$7</f>
        <v>3</v>
      </c>
      <c r="H72" s="2" t="str">
        <f>TEXT(IF(B72&lt;0, A72+1+((B72+(G72/24))-(INT(B72+(G72/24)))), A72+(B72+(G72/24))), "yyyy-mm-dd")</f>
        <v>2024-09-19</v>
      </c>
      <c r="I72" s="2" t="str">
        <f>TEXT(IF(B72&lt;0, A72+1+((B72+(G72/24))-(INT(B72+(G72/24)))), A72+(B72+(G72/24))), "hh:mm")</f>
        <v>10:00</v>
      </c>
    </row>
    <row r="73" spans="1:9" x14ac:dyDescent="0.25">
      <c r="A73" s="46">
        <v>45554</v>
      </c>
      <c r="B73" s="38">
        <v>0.29166666666666669</v>
      </c>
      <c r="C73" s="49" t="s">
        <v>8</v>
      </c>
      <c r="D73" s="55" t="s">
        <v>233</v>
      </c>
      <c r="E73" s="9" t="s">
        <v>72</v>
      </c>
      <c r="F73" s="8">
        <f>(INT(Table_Moldova[[#This Row],[Date]]) - DATE(1970, 1, 1)) * 86400000</f>
        <v>1726704000000</v>
      </c>
      <c r="G73" s="10">
        <f>'GMT Glossary'!$B$7</f>
        <v>3</v>
      </c>
      <c r="H73" s="2" t="str">
        <f>TEXT(IF(B73&lt;0, A73+1+((B73+(G73/24))-(INT(B73+(G73/24)))), A73+(B73+(G73/24))), "yyyy-mm-dd")</f>
        <v>2024-09-19</v>
      </c>
      <c r="I73" s="2" t="str">
        <f>TEXT(IF(B73&lt;0, A73+1+((B73+(G73/24))-(INT(B73+(G73/24)))), A73+(B73+(G73/24))), "hh:mm")</f>
        <v>10:00</v>
      </c>
    </row>
    <row r="74" spans="1:9" ht="15.75" x14ac:dyDescent="0.25">
      <c r="A74" s="14">
        <v>45554</v>
      </c>
      <c r="B74" s="19">
        <v>0.29166666666666669</v>
      </c>
      <c r="C74" s="95" t="s">
        <v>8</v>
      </c>
      <c r="D74" s="16" t="s">
        <v>203</v>
      </c>
      <c r="E74" s="32" t="s">
        <v>100</v>
      </c>
      <c r="F74" s="8">
        <f>(INT(Table_Moldova[[#This Row],[Date]]) - DATE(1970, 1, 1)) * 86400000</f>
        <v>1726704000000</v>
      </c>
      <c r="G74" s="10">
        <f>'GMT Glossary'!$B$7</f>
        <v>3</v>
      </c>
      <c r="H74" s="2" t="str">
        <f>TEXT(IF(B74&lt;0, A74+1+((B74+(G74/24))-(INT(B74+(G74/24)))), A74+(B74+(G74/24))), "yyyy-mm-dd")</f>
        <v>2024-09-19</v>
      </c>
      <c r="I74" s="2" t="str">
        <f>TEXT(IF(B74&lt;0, A74+1+((B74+(G74/24))-(INT(B74+(G74/24)))), A74+(B74+(G74/24))), "hh:mm")</f>
        <v>10:00</v>
      </c>
    </row>
    <row r="75" spans="1:9" x14ac:dyDescent="0.25">
      <c r="A75" s="50">
        <v>45554</v>
      </c>
      <c r="B75" s="47">
        <v>0.375</v>
      </c>
      <c r="C75" s="59" t="s">
        <v>8</v>
      </c>
      <c r="D75" s="35" t="s">
        <v>200</v>
      </c>
      <c r="E75" s="9" t="s">
        <v>21</v>
      </c>
      <c r="F75" s="8">
        <f>(INT(Table_Moldova[[#This Row],[Date]]) - DATE(1970, 1, 1)) * 86400000</f>
        <v>1726704000000</v>
      </c>
      <c r="G75">
        <f>'GMT Glossary'!$B$7</f>
        <v>3</v>
      </c>
      <c r="H75" s="2" t="str">
        <f>TEXT(IF(B75&lt;0, A75+1+((B75+(G75/24))-(INT(B75+(G75/24)))), A75+(B75+(G75/24))), "yyyy-mm-dd")</f>
        <v>2024-09-19</v>
      </c>
      <c r="I75" s="2" t="str">
        <f>TEXT(IF(B75&lt;0, A75+1+((B75+(G75/24))-(INT(B75+(G75/24)))), A75+(B75+(G75/24))), "hh:mm")</f>
        <v>12:00</v>
      </c>
    </row>
    <row r="76" spans="1:9" x14ac:dyDescent="0.25">
      <c r="A76" s="46">
        <v>45554</v>
      </c>
      <c r="B76" s="38">
        <v>0.375</v>
      </c>
      <c r="C76" s="49" t="s">
        <v>8</v>
      </c>
      <c r="D76" s="35" t="s">
        <v>102</v>
      </c>
      <c r="E76" s="9" t="s">
        <v>72</v>
      </c>
      <c r="F76" s="8">
        <f>(INT(Table_Moldova[[#This Row],[Date]]) - DATE(1970, 1, 1)) * 86400000</f>
        <v>1726704000000</v>
      </c>
      <c r="G76" s="10">
        <f>'GMT Glossary'!$B$7</f>
        <v>3</v>
      </c>
      <c r="H76" s="2" t="str">
        <f>TEXT(IF(B76&lt;0, A76+1+((B76+(G76/24))-(INT(B76+(G76/24)))), A76+(B76+(G76/24))), "yyyy-mm-dd")</f>
        <v>2024-09-19</v>
      </c>
      <c r="I76" s="2" t="str">
        <f>TEXT(IF(B76&lt;0, A76+1+((B76+(G76/24))-(INT(B76+(G76/24)))), A76+(B76+(G76/24))), "hh:mm")</f>
        <v>12:00</v>
      </c>
    </row>
    <row r="77" spans="1:9" ht="15.75" x14ac:dyDescent="0.25">
      <c r="A77" s="14">
        <v>45554</v>
      </c>
      <c r="B77" s="19">
        <v>0.375</v>
      </c>
      <c r="C77" s="95" t="s">
        <v>8</v>
      </c>
      <c r="D77" s="16" t="s">
        <v>273</v>
      </c>
      <c r="E77" s="32" t="s">
        <v>100</v>
      </c>
      <c r="F77" s="8">
        <f>(INT(Table_Moldova[[#This Row],[Date]]) - DATE(1970, 1, 1)) * 86400000</f>
        <v>1726704000000</v>
      </c>
      <c r="G77" s="10">
        <f>'GMT Glossary'!$B$7</f>
        <v>3</v>
      </c>
      <c r="H77" s="2" t="str">
        <f>TEXT(IF(B77&lt;0, A77+1+((B77+(G77/24))-(INT(B77+(G77/24)))), A77+(B77+(G77/24))), "yyyy-mm-dd")</f>
        <v>2024-09-19</v>
      </c>
      <c r="I77" s="2" t="str">
        <f>TEXT(IF(B77&lt;0, A77+1+((B77+(G77/24))-(INT(B77+(G77/24)))), A77+(B77+(G77/24))), "hh:mm")</f>
        <v>12:00</v>
      </c>
    </row>
    <row r="78" spans="1:9" x14ac:dyDescent="0.25">
      <c r="A78" s="50">
        <v>45554</v>
      </c>
      <c r="B78" s="47">
        <v>0.41666666666666669</v>
      </c>
      <c r="C78" s="59" t="s">
        <v>8</v>
      </c>
      <c r="D78" s="35" t="s">
        <v>99</v>
      </c>
      <c r="E78" s="9" t="s">
        <v>21</v>
      </c>
      <c r="F78" s="8">
        <f>(INT(Table_Moldova[[#This Row],[Date]]) - DATE(1970, 1, 1)) * 86400000</f>
        <v>1726704000000</v>
      </c>
      <c r="G78" s="10">
        <f>'GMT Glossary'!$B$7</f>
        <v>3</v>
      </c>
      <c r="H78" s="2" t="str">
        <f>TEXT(IF(B78&lt;0, A78+1+((B78+(G78/24))-(INT(B78+(G78/24)))), A78+(B78+(G78/24))), "yyyy-mm-dd")</f>
        <v>2024-09-19</v>
      </c>
      <c r="I78" s="2" t="str">
        <f>TEXT(IF(B78&lt;0, A78+1+((B78+(G78/24))-(INT(B78+(G78/24)))), A78+(B78+(G78/24))), "hh:mm")</f>
        <v>13:00</v>
      </c>
    </row>
    <row r="79" spans="1:9" x14ac:dyDescent="0.25">
      <c r="A79" s="50">
        <v>45554</v>
      </c>
      <c r="B79" s="47">
        <v>0.45833333333333331</v>
      </c>
      <c r="C79" s="59" t="s">
        <v>8</v>
      </c>
      <c r="D79" s="35" t="s">
        <v>201</v>
      </c>
      <c r="E79" s="9" t="s">
        <v>21</v>
      </c>
      <c r="F79" s="8">
        <f>(INT(Table_Moldova[[#This Row],[Date]]) - DATE(1970, 1, 1)) * 86400000</f>
        <v>1726704000000</v>
      </c>
      <c r="G79" s="10">
        <f>'GMT Glossary'!$B$7</f>
        <v>3</v>
      </c>
      <c r="H79" s="2" t="str">
        <f>TEXT(IF(B79&lt;0, A79+1+((B79+(G79/24))-(INT(B79+(G79/24)))), A79+(B79+(G79/24))), "yyyy-mm-dd")</f>
        <v>2024-09-19</v>
      </c>
      <c r="I79" s="2" t="str">
        <f>TEXT(IF(B79&lt;0, A79+1+((B79+(G79/24))-(INT(B79+(G79/24)))), A79+(B79+(G79/24))), "hh:mm")</f>
        <v>14:00</v>
      </c>
    </row>
    <row r="80" spans="1:9" x14ac:dyDescent="0.25">
      <c r="A80" s="46">
        <v>45554</v>
      </c>
      <c r="B80" s="38">
        <v>0.45833333333333331</v>
      </c>
      <c r="C80" s="49" t="s">
        <v>8</v>
      </c>
      <c r="D80" s="55" t="s">
        <v>84</v>
      </c>
      <c r="E80" s="9" t="s">
        <v>72</v>
      </c>
      <c r="F80" s="8">
        <f>(INT(Table_Moldova[[#This Row],[Date]]) - DATE(1970, 1, 1)) * 86400000</f>
        <v>1726704000000</v>
      </c>
      <c r="G80" s="10">
        <f>'GMT Glossary'!$B$7</f>
        <v>3</v>
      </c>
      <c r="H80" s="2" t="str">
        <f>TEXT(IF(B80&lt;0, A80+1+((B80+(G80/24))-(INT(B80+(G80/24)))), A80+(B80+(G80/24))), "yyyy-mm-dd")</f>
        <v>2024-09-19</v>
      </c>
      <c r="I80" s="2" t="str">
        <f>TEXT(IF(B80&lt;0, A80+1+((B80+(G80/24))-(INT(B80+(G80/24)))), A80+(B80+(G80/24))), "hh:mm")</f>
        <v>14:00</v>
      </c>
    </row>
    <row r="81" spans="1:9" ht="15.75" x14ac:dyDescent="0.25">
      <c r="A81" s="14">
        <v>45554</v>
      </c>
      <c r="B81" s="19">
        <v>0.45833333333333331</v>
      </c>
      <c r="C81" s="95" t="s">
        <v>8</v>
      </c>
      <c r="D81" s="16" t="s">
        <v>234</v>
      </c>
      <c r="E81" s="32" t="s">
        <v>100</v>
      </c>
      <c r="F81" s="8">
        <f>(INT(Table_Moldova[[#This Row],[Date]]) - DATE(1970, 1, 1)) * 86400000</f>
        <v>1726704000000</v>
      </c>
      <c r="G81" s="10">
        <f>'GMT Glossary'!$B$7</f>
        <v>3</v>
      </c>
      <c r="H81" s="2" t="str">
        <f>TEXT(IF(B81&lt;0, A81+1+((B81+(G81/24))-(INT(B81+(G81/24)))), A81+(B81+(G81/24))), "yyyy-mm-dd")</f>
        <v>2024-09-19</v>
      </c>
      <c r="I81" s="2" t="str">
        <f>TEXT(IF(B81&lt;0, A81+1+((B81+(G81/24))-(INT(B81+(G81/24)))), A81+(B81+(G81/24))), "hh:mm")</f>
        <v>14:00</v>
      </c>
    </row>
    <row r="82" spans="1:9" x14ac:dyDescent="0.25">
      <c r="A82" s="50">
        <v>45554</v>
      </c>
      <c r="B82" s="47">
        <v>0.5</v>
      </c>
      <c r="C82" s="59" t="s">
        <v>8</v>
      </c>
      <c r="D82" s="35" t="s">
        <v>202</v>
      </c>
      <c r="E82" s="9" t="s">
        <v>21</v>
      </c>
      <c r="F82" s="8">
        <f>(INT(Table_Moldova[[#This Row],[Date]]) - DATE(1970, 1, 1)) * 86400000</f>
        <v>1726704000000</v>
      </c>
      <c r="G82">
        <f>'GMT Glossary'!$B$7</f>
        <v>3</v>
      </c>
      <c r="H82" s="2" t="str">
        <f>TEXT(IF(B82&lt;0, A82+1+((B82+(G82/24))-(INT(B82+(G82/24)))), A82+(B82+(G82/24))), "yyyy-mm-dd")</f>
        <v>2024-09-19</v>
      </c>
      <c r="I82" s="2" t="str">
        <f>TEXT(IF(B82&lt;0, A82+1+((B82+(G82/24))-(INT(B82+(G82/24)))), A82+(B82+(G82/24))), "hh:mm")</f>
        <v>15:00</v>
      </c>
    </row>
    <row r="83" spans="1:9" x14ac:dyDescent="0.25">
      <c r="A83" s="50">
        <v>45554</v>
      </c>
      <c r="B83" s="47">
        <v>0.54166666666666663</v>
      </c>
      <c r="C83" s="59" t="s">
        <v>8</v>
      </c>
      <c r="D83" s="35" t="s">
        <v>206</v>
      </c>
      <c r="E83" s="9" t="s">
        <v>21</v>
      </c>
      <c r="F83" s="8">
        <f>(INT(Table_Moldova[[#This Row],[Date]]) - DATE(1970, 1, 1)) * 86400000</f>
        <v>1726704000000</v>
      </c>
      <c r="G83" s="10">
        <f>'GMT Glossary'!$B$7</f>
        <v>3</v>
      </c>
      <c r="H83" s="2" t="str">
        <f>TEXT(IF(B83&lt;0, A83+1+((B83+(G83/24))-(INT(B83+(G83/24)))), A83+(B83+(G83/24))), "yyyy-mm-dd")</f>
        <v>2024-09-19</v>
      </c>
      <c r="I83" s="2" t="str">
        <f>TEXT(IF(B83&lt;0, A83+1+((B83+(G83/24))-(INT(B83+(G83/24)))), A83+(B83+(G83/24))), "hh:mm")</f>
        <v>16:00</v>
      </c>
    </row>
    <row r="84" spans="1:9" x14ac:dyDescent="0.25">
      <c r="A84" s="46">
        <v>45554</v>
      </c>
      <c r="B84" s="38">
        <v>0.54166666666666663</v>
      </c>
      <c r="C84" s="49" t="s">
        <v>8</v>
      </c>
      <c r="D84" s="35" t="s">
        <v>35</v>
      </c>
      <c r="E84" s="9" t="s">
        <v>72</v>
      </c>
      <c r="F84" s="8">
        <f>(INT(Table_Moldova[[#This Row],[Date]]) - DATE(1970, 1, 1)) * 86400000</f>
        <v>1726704000000</v>
      </c>
      <c r="G84">
        <f>'GMT Glossary'!$B$7</f>
        <v>3</v>
      </c>
      <c r="H84" s="2" t="str">
        <f>TEXT(IF(B84&lt;0, A84+1+((B84+(G84/24))-(INT(B84+(G84/24)))), A84+(B84+(G84/24))), "yyyy-mm-dd")</f>
        <v>2024-09-19</v>
      </c>
      <c r="I84" s="2" t="str">
        <f>TEXT(IF(B84&lt;0, A84+1+((B84+(G84/24))-(INT(B84+(G84/24)))), A84+(B84+(G84/24))), "hh:mm")</f>
        <v>16:00</v>
      </c>
    </row>
    <row r="85" spans="1:9" ht="15.75" x14ac:dyDescent="0.25">
      <c r="A85" s="14">
        <v>45554</v>
      </c>
      <c r="B85" s="19">
        <v>0.54166666666666663</v>
      </c>
      <c r="C85" s="95" t="s">
        <v>8</v>
      </c>
      <c r="D85" s="16" t="s">
        <v>274</v>
      </c>
      <c r="E85" s="32" t="s">
        <v>100</v>
      </c>
      <c r="F85" s="8">
        <f>(INT(Table_Moldova[[#This Row],[Date]]) - DATE(1970, 1, 1)) * 86400000</f>
        <v>1726704000000</v>
      </c>
      <c r="G85" s="10">
        <f>'GMT Glossary'!$B$7</f>
        <v>3</v>
      </c>
      <c r="H85" s="2" t="str">
        <f>TEXT(IF(B85&lt;0, A85+1+((B85+(G85/24))-(INT(B85+(G85/24)))), A85+(B85+(G85/24))), "yyyy-mm-dd")</f>
        <v>2024-09-19</v>
      </c>
      <c r="I85" s="2" t="str">
        <f>TEXT(IF(B85&lt;0, A85+1+((B85+(G85/24))-(INT(B85+(G85/24)))), A85+(B85+(G85/24))), "hh:mm")</f>
        <v>16:00</v>
      </c>
    </row>
    <row r="86" spans="1:9" x14ac:dyDescent="0.25">
      <c r="A86" s="50">
        <v>45554</v>
      </c>
      <c r="B86" s="47">
        <v>0.625</v>
      </c>
      <c r="C86" s="59" t="s">
        <v>8</v>
      </c>
      <c r="D86" s="35" t="s">
        <v>43</v>
      </c>
      <c r="E86" s="9" t="s">
        <v>21</v>
      </c>
      <c r="F86" s="8">
        <f>(INT(Table_Moldova[[#This Row],[Date]]) - DATE(1970, 1, 1)) * 86400000</f>
        <v>1726704000000</v>
      </c>
      <c r="G86" s="10">
        <f>'GMT Glossary'!$B$7</f>
        <v>3</v>
      </c>
      <c r="H86" s="2" t="str">
        <f>TEXT(IF(B86&lt;0, A86+1+((B86+(G86/24))-(INT(B86+(G86/24)))), A86+(B86+(G86/24))), "yyyy-mm-dd")</f>
        <v>2024-09-19</v>
      </c>
      <c r="I86" s="2" t="str">
        <f>TEXT(IF(B86&lt;0, A86+1+((B86+(G86/24))-(INT(B86+(G86/24)))), A86+(B86+(G86/24))), "hh:mm")</f>
        <v>18:00</v>
      </c>
    </row>
    <row r="87" spans="1:9" x14ac:dyDescent="0.25">
      <c r="A87" s="46">
        <v>45554</v>
      </c>
      <c r="B87" s="38">
        <v>0.625</v>
      </c>
      <c r="C87" s="49" t="s">
        <v>8</v>
      </c>
      <c r="D87" s="55" t="s">
        <v>234</v>
      </c>
      <c r="E87" s="9" t="s">
        <v>72</v>
      </c>
      <c r="F87" s="8">
        <f>(INT(Table_Moldova[[#This Row],[Date]]) - DATE(1970, 1, 1)) * 86400000</f>
        <v>1726704000000</v>
      </c>
      <c r="G87" s="10">
        <f>'GMT Glossary'!$B$7</f>
        <v>3</v>
      </c>
      <c r="H87" s="2" t="str">
        <f>TEXT(IF(B87&lt;0, A87+1+((B87+(G87/24))-(INT(B87+(G87/24)))), A87+(B87+(G87/24))), "yyyy-mm-dd")</f>
        <v>2024-09-19</v>
      </c>
      <c r="I87" s="2" t="str">
        <f>TEXT(IF(B87&lt;0, A87+1+((B87+(G87/24))-(INT(B87+(G87/24)))), A87+(B87+(G87/24))), "hh:mm")</f>
        <v>18:00</v>
      </c>
    </row>
    <row r="88" spans="1:9" ht="15.75" x14ac:dyDescent="0.25">
      <c r="A88" s="14">
        <v>45554</v>
      </c>
      <c r="B88" s="19">
        <v>0.625</v>
      </c>
      <c r="C88" s="95" t="s">
        <v>8</v>
      </c>
      <c r="D88" s="16" t="s">
        <v>99</v>
      </c>
      <c r="E88" s="32" t="s">
        <v>100</v>
      </c>
      <c r="F88" s="8">
        <f>(INT(Table_Moldova[[#This Row],[Date]]) - DATE(1970, 1, 1)) * 86400000</f>
        <v>1726704000000</v>
      </c>
      <c r="G88" s="10">
        <f>'GMT Glossary'!$B$7</f>
        <v>3</v>
      </c>
      <c r="H88" s="2" t="str">
        <f>TEXT(IF(B88&lt;0, A88+1+((B88+(G88/24))-(INT(B88+(G88/24)))), A88+(B88+(G88/24))), "yyyy-mm-dd")</f>
        <v>2024-09-19</v>
      </c>
      <c r="I88" s="2" t="str">
        <f>TEXT(IF(B88&lt;0, A88+1+((B88+(G88/24))-(INT(B88+(G88/24)))), A88+(B88+(G88/24))), "hh:mm")</f>
        <v>18:00</v>
      </c>
    </row>
    <row r="89" spans="1:9" ht="15.75" x14ac:dyDescent="0.25">
      <c r="A89" s="14">
        <v>45554</v>
      </c>
      <c r="B89" s="19">
        <v>0.66666666666666663</v>
      </c>
      <c r="C89" s="95" t="s">
        <v>8</v>
      </c>
      <c r="D89" s="16" t="s">
        <v>202</v>
      </c>
      <c r="E89" s="32" t="s">
        <v>100</v>
      </c>
      <c r="F89" s="8">
        <f>(INT(Table_Moldova[[#This Row],[Date]]) - DATE(1970, 1, 1)) * 86400000</f>
        <v>1726704000000</v>
      </c>
      <c r="G89" s="10">
        <f>'GMT Glossary'!$B$7</f>
        <v>3</v>
      </c>
      <c r="H89" s="2" t="str">
        <f>TEXT(IF(B89&lt;0, A89+1+((B89+(G89/24))-(INT(B89+(G89/24)))), A89+(B89+(G89/24))), "yyyy-mm-dd")</f>
        <v>2024-09-19</v>
      </c>
      <c r="I89" s="2" t="str">
        <f>TEXT(IF(B89&lt;0, A89+1+((B89+(G89/24))-(INT(B89+(G89/24)))), A89+(B89+(G89/24))), "hh:mm")</f>
        <v>19:00</v>
      </c>
    </row>
    <row r="90" spans="1:9" ht="15.75" x14ac:dyDescent="0.25">
      <c r="A90" s="14">
        <v>45554</v>
      </c>
      <c r="B90" s="19">
        <v>0.69791666666666663</v>
      </c>
      <c r="C90" s="95" t="s">
        <v>8</v>
      </c>
      <c r="D90" s="16" t="s">
        <v>275</v>
      </c>
      <c r="E90" s="32" t="s">
        <v>100</v>
      </c>
      <c r="F90" s="8">
        <f>(INT(Table_Moldova[[#This Row],[Date]]) - DATE(1970, 1, 1)) * 86400000</f>
        <v>1726704000000</v>
      </c>
      <c r="G90" s="10">
        <f>'GMT Glossary'!$B$7</f>
        <v>3</v>
      </c>
      <c r="H90" s="2" t="str">
        <f>TEXT(IF(B90&lt;0, A90+1+((B90+(G90/24))-(INT(B90+(G90/24)))), A90+(B90+(G90/24))), "yyyy-mm-dd")</f>
        <v>2024-09-19</v>
      </c>
      <c r="I90" s="2" t="str">
        <f>TEXT(IF(B90&lt;0, A90+1+((B90+(G90/24))-(INT(B90+(G90/24)))), A90+(B90+(G90/24))), "hh:mm")</f>
        <v>19:45</v>
      </c>
    </row>
    <row r="91" spans="1:9" x14ac:dyDescent="0.25">
      <c r="A91" s="63">
        <v>45554</v>
      </c>
      <c r="B91" s="88">
        <v>0.70833333333333337</v>
      </c>
      <c r="C91" s="86" t="s">
        <v>8</v>
      </c>
      <c r="D91" s="56" t="s">
        <v>207</v>
      </c>
      <c r="E91" s="9" t="s">
        <v>21</v>
      </c>
      <c r="F91" s="8">
        <f>(INT(Table_Moldova[[#This Row],[Date]]) - DATE(1970, 1, 1)) * 86400000</f>
        <v>1726704000000</v>
      </c>
      <c r="G91">
        <f>'GMT Glossary'!$B$7</f>
        <v>3</v>
      </c>
      <c r="H91" s="2" t="str">
        <f>TEXT(IF(B91&lt;0, A91+1+((B91+(G91/24))-(INT(B91+(G91/24)))), A91+(B91+(G91/24))), "yyyy-mm-dd")</f>
        <v>2024-09-19</v>
      </c>
      <c r="I91" s="2" t="str">
        <f>TEXT(IF(B91&lt;0, A91+1+((B91+(G91/24))-(INT(B91+(G91/24)))), A91+(B91+(G91/24))), "hh:mm")</f>
        <v>20:00</v>
      </c>
    </row>
    <row r="92" spans="1:9" x14ac:dyDescent="0.25">
      <c r="A92" s="46">
        <v>45554</v>
      </c>
      <c r="B92" s="38">
        <v>0.70833333333333337</v>
      </c>
      <c r="C92" s="49" t="s">
        <v>8</v>
      </c>
      <c r="D92" s="58" t="s">
        <v>89</v>
      </c>
      <c r="E92" s="9" t="s">
        <v>72</v>
      </c>
      <c r="F92" s="8">
        <f>(INT(Table_Moldova[[#This Row],[Date]]) - DATE(1970, 1, 1)) * 86400000</f>
        <v>1726704000000</v>
      </c>
      <c r="G92" s="10">
        <f>'GMT Glossary'!$B$7</f>
        <v>3</v>
      </c>
      <c r="H92" s="2" t="str">
        <f>TEXT(IF(B92&lt;0, A92+1+((B92+(G92/24))-(INT(B92+(G92/24)))), A92+(B92+(G92/24))), "yyyy-mm-dd")</f>
        <v>2024-09-19</v>
      </c>
      <c r="I92" s="2" t="str">
        <f>TEXT(IF(B92&lt;0, A92+1+((B92+(G92/24))-(INT(B92+(G92/24)))), A92+(B92+(G92/24))), "hh:mm")</f>
        <v>20:00</v>
      </c>
    </row>
    <row r="93" spans="1:9" x14ac:dyDescent="0.25">
      <c r="A93" s="63">
        <v>45554</v>
      </c>
      <c r="B93" s="88">
        <v>0.79166666666666663</v>
      </c>
      <c r="C93" s="86" t="s">
        <v>8</v>
      </c>
      <c r="D93" s="58" t="s">
        <v>197</v>
      </c>
      <c r="E93" s="9" t="s">
        <v>21</v>
      </c>
      <c r="F93" s="8">
        <f>(INT(Table_Moldova[[#This Row],[Date]]) - DATE(1970, 1, 1)) * 86400000</f>
        <v>1726704000000</v>
      </c>
      <c r="G93" s="10">
        <f>'GMT Glossary'!$B$7</f>
        <v>3</v>
      </c>
      <c r="H93" s="2" t="str">
        <f>TEXT(IF(B93&lt;0, A93+1+((B93+(G93/24))-(INT(B93+(G93/24)))), A93+(B93+(G93/24))), "yyyy-mm-dd")</f>
        <v>2024-09-19</v>
      </c>
      <c r="I93" s="2" t="str">
        <f>TEXT(IF(B93&lt;0, A93+1+((B93+(G93/24))-(INT(B93+(G93/24)))), A93+(B93+(G93/24))), "hh:mm")</f>
        <v>22:00</v>
      </c>
    </row>
    <row r="94" spans="1:9" x14ac:dyDescent="0.25">
      <c r="A94" s="46">
        <v>45554</v>
      </c>
      <c r="B94" s="38">
        <v>0.79166666666666663</v>
      </c>
      <c r="C94" s="49" t="s">
        <v>8</v>
      </c>
      <c r="D94" s="55" t="s">
        <v>42</v>
      </c>
      <c r="E94" s="9" t="s">
        <v>72</v>
      </c>
      <c r="F94" s="8">
        <f>(INT(Table_Moldova[[#This Row],[Date]]) - DATE(1970, 1, 1)) * 86400000</f>
        <v>1726704000000</v>
      </c>
      <c r="G94">
        <f>'GMT Glossary'!$B$7</f>
        <v>3</v>
      </c>
      <c r="H94" s="2" t="str">
        <f>TEXT(IF(B94&lt;0, A94+1+((B94+(G94/24))-(INT(B94+(G94/24)))), A94+(B94+(G94/24))), "yyyy-mm-dd")</f>
        <v>2024-09-19</v>
      </c>
      <c r="I94" s="2" t="str">
        <f>TEXT(IF(B94&lt;0, A94+1+((B94+(G94/24))-(INT(B94+(G94/24)))), A94+(B94+(G94/24))), "hh:mm")</f>
        <v>22:00</v>
      </c>
    </row>
    <row r="95" spans="1:9" ht="15.75" x14ac:dyDescent="0.25">
      <c r="A95" s="14">
        <v>45554</v>
      </c>
      <c r="B95" s="19">
        <v>0.79166666666666663</v>
      </c>
      <c r="C95" s="95" t="s">
        <v>8</v>
      </c>
      <c r="D95" s="16" t="s">
        <v>276</v>
      </c>
      <c r="E95" s="32" t="s">
        <v>100</v>
      </c>
      <c r="F95" s="8">
        <f>(INT(Table_Moldova[[#This Row],[Date]]) - DATE(1970, 1, 1)) * 86400000</f>
        <v>1726704000000</v>
      </c>
      <c r="G95" s="10">
        <f>'GMT Glossary'!$B$7</f>
        <v>3</v>
      </c>
      <c r="H95" s="2" t="str">
        <f>TEXT(IF(B95&lt;0, A95+1+((B95+(G95/24))-(INT(B95+(G95/24)))), A95+(B95+(G95/24))), "yyyy-mm-dd")</f>
        <v>2024-09-19</v>
      </c>
      <c r="I95" s="2" t="str">
        <f>TEXT(IF(B95&lt;0, A95+1+((B95+(G95/24))-(INT(B95+(G95/24)))), A95+(B95+(G95/24))), "hh:mm")</f>
        <v>22:00</v>
      </c>
    </row>
    <row r="96" spans="1:9" x14ac:dyDescent="0.25">
      <c r="A96" s="63">
        <v>45554</v>
      </c>
      <c r="B96" s="88">
        <v>0.875</v>
      </c>
      <c r="C96" s="86" t="s">
        <v>8</v>
      </c>
      <c r="D96" s="35" t="s">
        <v>77</v>
      </c>
      <c r="E96" s="9" t="s">
        <v>21</v>
      </c>
      <c r="F96" s="8">
        <f>(INT(Table_Moldova[[#This Row],[Date]]) - DATE(1970, 1, 1)) * 86400000</f>
        <v>1726704000000</v>
      </c>
      <c r="G96">
        <f>'GMT Glossary'!$B$7</f>
        <v>3</v>
      </c>
      <c r="H96" s="2" t="str">
        <f>TEXT(IF(B96&lt;0, A96+1+((B96+(G96/24))-(INT(B96+(G96/24)))), A96+(B96+(G96/24))), "yyyy-mm-dd")</f>
        <v>2024-09-20</v>
      </c>
      <c r="I96" s="2" t="str">
        <f>TEXT(IF(B96&lt;0, A96+1+((B96+(G96/24))-(INT(B96+(G96/24)))), A96+(B96+(G96/24))), "hh:mm")</f>
        <v>00:00</v>
      </c>
    </row>
    <row r="97" spans="1:9" x14ac:dyDescent="0.25">
      <c r="A97" s="46">
        <v>45554</v>
      </c>
      <c r="B97" s="38">
        <v>0.875</v>
      </c>
      <c r="C97" s="49" t="s">
        <v>8</v>
      </c>
      <c r="D97" s="35" t="s">
        <v>88</v>
      </c>
      <c r="E97" s="9" t="s">
        <v>72</v>
      </c>
      <c r="F97" s="8">
        <f>(INT(Table_Moldova[[#This Row],[Date]]) - DATE(1970, 1, 1)) * 86400000</f>
        <v>1726704000000</v>
      </c>
      <c r="G97" s="10">
        <f>'GMT Glossary'!$B$7</f>
        <v>3</v>
      </c>
      <c r="H97" s="2" t="str">
        <f>TEXT(IF(B97&lt;0, A97+1+((B97+(G97/24))-(INT(B97+(G97/24)))), A97+(B97+(G97/24))), "yyyy-mm-dd")</f>
        <v>2024-09-20</v>
      </c>
      <c r="I97" s="2" t="str">
        <f>TEXT(IF(B97&lt;0, A97+1+((B97+(G97/24))-(INT(B97+(G97/24)))), A97+(B97+(G97/24))), "hh:mm")</f>
        <v>00:00</v>
      </c>
    </row>
    <row r="98" spans="1:9" ht="15.75" x14ac:dyDescent="0.25">
      <c r="A98" s="14">
        <v>45554</v>
      </c>
      <c r="B98" s="19">
        <v>0.875</v>
      </c>
      <c r="C98" s="95" t="s">
        <v>8</v>
      </c>
      <c r="D98" s="16" t="s">
        <v>277</v>
      </c>
      <c r="E98" s="32" t="s">
        <v>100</v>
      </c>
      <c r="F98" s="8">
        <f>(INT(Table_Moldova[[#This Row],[Date]]) - DATE(1970, 1, 1)) * 86400000</f>
        <v>1726704000000</v>
      </c>
      <c r="G98" s="10">
        <f>'GMT Glossary'!$B$7</f>
        <v>3</v>
      </c>
      <c r="H98" s="2" t="str">
        <f>TEXT(IF(B98&lt;0, A98+1+((B98+(G98/24))-(INT(B98+(G98/24)))), A98+(B98+(G98/24))), "yyyy-mm-dd")</f>
        <v>2024-09-20</v>
      </c>
      <c r="I98" s="2" t="str">
        <f>TEXT(IF(B98&lt;0, A98+1+((B98+(G98/24))-(INT(B98+(G98/24)))), A98+(B98+(G98/24))), "hh:mm")</f>
        <v>00:00</v>
      </c>
    </row>
    <row r="99" spans="1:9" x14ac:dyDescent="0.25">
      <c r="A99" s="63">
        <v>45554</v>
      </c>
      <c r="B99" s="88">
        <v>0.95833333333333337</v>
      </c>
      <c r="C99" s="86" t="s">
        <v>8</v>
      </c>
      <c r="D99" s="58" t="s">
        <v>76</v>
      </c>
      <c r="E99" s="9" t="s">
        <v>21</v>
      </c>
      <c r="F99" s="8">
        <f>(INT(Table_Moldova[[#This Row],[Date]]) - DATE(1970, 1, 1)) * 86400000</f>
        <v>1726704000000</v>
      </c>
      <c r="G99" s="10">
        <f>'GMT Glossary'!$B$7</f>
        <v>3</v>
      </c>
      <c r="H99" s="2" t="str">
        <f>TEXT(IF(B99&lt;0, A99+1+((B99+(G99/24))-(INT(B99+(G99/24)))), A99+(B99+(G99/24))), "yyyy-mm-dd")</f>
        <v>2024-09-20</v>
      </c>
      <c r="I99" s="2" t="str">
        <f>TEXT(IF(B99&lt;0, A99+1+((B99+(G99/24))-(INT(B99+(G99/24)))), A99+(B99+(G99/24))), "hh:mm")</f>
        <v>02:00</v>
      </c>
    </row>
    <row r="100" spans="1:9" x14ac:dyDescent="0.25">
      <c r="A100" s="46">
        <v>45554</v>
      </c>
      <c r="B100" s="38">
        <v>0.95833333333333337</v>
      </c>
      <c r="C100" s="49" t="s">
        <v>8</v>
      </c>
      <c r="D100" s="55" t="s">
        <v>93</v>
      </c>
      <c r="E100" s="9" t="s">
        <v>72</v>
      </c>
      <c r="F100" s="8">
        <f>(INT(Table_Moldova[[#This Row],[Date]]) - DATE(1970, 1, 1)) * 86400000</f>
        <v>1726704000000</v>
      </c>
      <c r="G100" s="10">
        <f>'GMT Glossary'!$B$7</f>
        <v>3</v>
      </c>
      <c r="H100" s="2" t="str">
        <f>TEXT(IF(B100&lt;0, A100+1+((B100+(G100/24))-(INT(B100+(G100/24)))), A100+(B100+(G100/24))), "yyyy-mm-dd")</f>
        <v>2024-09-20</v>
      </c>
      <c r="I100" s="2" t="str">
        <f>TEXT(IF(B100&lt;0, A100+1+((B100+(G100/24))-(INT(B100+(G100/24)))), A100+(B100+(G100/24))), "hh:mm")</f>
        <v>02:00</v>
      </c>
    </row>
    <row r="101" spans="1:9" ht="15.75" x14ac:dyDescent="0.25">
      <c r="A101" s="14">
        <v>45554</v>
      </c>
      <c r="B101" s="19">
        <v>0.95833333333333337</v>
      </c>
      <c r="C101" s="95" t="s">
        <v>8</v>
      </c>
      <c r="D101" s="16" t="s">
        <v>125</v>
      </c>
      <c r="E101" s="32" t="s">
        <v>100</v>
      </c>
      <c r="F101" s="8">
        <f>(INT(Table_Moldova[[#This Row],[Date]]) - DATE(1970, 1, 1)) * 86400000</f>
        <v>1726704000000</v>
      </c>
      <c r="G101" s="10">
        <f>'GMT Glossary'!$B$7</f>
        <v>3</v>
      </c>
      <c r="H101" s="2" t="str">
        <f>TEXT(IF(B101&lt;0, A101+1+((B101+(G101/24))-(INT(B101+(G101/24)))), A101+(B101+(G101/24))), "yyyy-mm-dd")</f>
        <v>2024-09-20</v>
      </c>
      <c r="I101" s="2" t="str">
        <f>TEXT(IF(B101&lt;0, A101+1+((B101+(G101/24))-(INT(B101+(G101/24)))), A101+(B101+(G101/24))), "hh:mm")</f>
        <v>02:00</v>
      </c>
    </row>
    <row r="102" spans="1:9" x14ac:dyDescent="0.25">
      <c r="A102" s="63">
        <v>45555</v>
      </c>
      <c r="B102" s="88">
        <v>4.1666666666666664E-2</v>
      </c>
      <c r="C102" s="86" t="s">
        <v>8</v>
      </c>
      <c r="D102" s="58" t="s">
        <v>198</v>
      </c>
      <c r="E102" s="9" t="s">
        <v>21</v>
      </c>
      <c r="F102" s="8">
        <f>(INT(Table_Moldova[[#This Row],[Date]]) - DATE(1970, 1, 1)) * 86400000</f>
        <v>1726790400000</v>
      </c>
      <c r="G102">
        <f>'GMT Glossary'!$B$7</f>
        <v>3</v>
      </c>
      <c r="H102" s="2" t="str">
        <f>TEXT(IF(B102&lt;0, A102+1+((B102+(G102/24))-(INT(B102+(G102/24)))), A102+(B102+(G102/24))), "yyyy-mm-dd")</f>
        <v>2024-09-20</v>
      </c>
      <c r="I102" s="2" t="str">
        <f>TEXT(IF(B102&lt;0, A102+1+((B102+(G102/24))-(INT(B102+(G102/24)))), A102+(B102+(G102/24))), "hh:mm")</f>
        <v>04:00</v>
      </c>
    </row>
    <row r="103" spans="1:9" x14ac:dyDescent="0.25">
      <c r="A103" s="46">
        <v>45555</v>
      </c>
      <c r="B103" s="38">
        <v>4.1666666666666664E-2</v>
      </c>
      <c r="C103" s="49" t="s">
        <v>402</v>
      </c>
      <c r="D103" s="55" t="s">
        <v>83</v>
      </c>
      <c r="E103" s="9" t="s">
        <v>72</v>
      </c>
      <c r="F103" s="8">
        <f>(INT(Table_Moldova[[#This Row],[Date]]) - DATE(1970, 1, 1)) * 86400000</f>
        <v>1726790400000</v>
      </c>
      <c r="G103">
        <f>'GMT Glossary'!$B$7</f>
        <v>3</v>
      </c>
      <c r="H103" s="2" t="str">
        <f>TEXT(IF(B103&lt;0, A103+1+((B103+(G103/24))-(INT(B103+(G103/24)))), A103+(B103+(G103/24))), "yyyy-mm-dd")</f>
        <v>2024-09-20</v>
      </c>
      <c r="I103" s="2" t="str">
        <f>TEXT(IF(B103&lt;0, A103+1+((B103+(G103/24))-(INT(B103+(G103/24)))), A103+(B103+(G103/24))), "hh:mm")</f>
        <v>04:00</v>
      </c>
    </row>
    <row r="104" spans="1:9" ht="15.75" x14ac:dyDescent="0.25">
      <c r="A104" s="14">
        <v>45555</v>
      </c>
      <c r="B104" s="19">
        <v>4.1666666666666664E-2</v>
      </c>
      <c r="C104" s="95" t="s">
        <v>8</v>
      </c>
      <c r="D104" s="16" t="s">
        <v>233</v>
      </c>
      <c r="E104" s="32" t="s">
        <v>100</v>
      </c>
      <c r="F104" s="8">
        <f>(INT(Table_Moldova[[#This Row],[Date]]) - DATE(1970, 1, 1)) * 86400000</f>
        <v>1726790400000</v>
      </c>
      <c r="G104" s="10">
        <f>'GMT Glossary'!$B$7</f>
        <v>3</v>
      </c>
      <c r="H104" s="2" t="str">
        <f>TEXT(IF(B104&lt;0, A104+1+((B104+(G104/24))-(INT(B104+(G104/24)))), A104+(B104+(G104/24))), "yyyy-mm-dd")</f>
        <v>2024-09-20</v>
      </c>
      <c r="I104" s="2" t="str">
        <f>TEXT(IF(B104&lt;0, A104+1+((B104+(G104/24))-(INT(B104+(G104/24)))), A104+(B104+(G104/24))), "hh:mm")</f>
        <v>04:00</v>
      </c>
    </row>
    <row r="105" spans="1:9" x14ac:dyDescent="0.25">
      <c r="A105" s="63">
        <v>45555</v>
      </c>
      <c r="B105" s="88">
        <v>0.125</v>
      </c>
      <c r="C105" s="86" t="s">
        <v>8</v>
      </c>
      <c r="D105" s="35" t="s">
        <v>74</v>
      </c>
      <c r="E105" s="9" t="s">
        <v>21</v>
      </c>
      <c r="F105" s="8">
        <f>(INT(Table_Moldova[[#This Row],[Date]]) - DATE(1970, 1, 1)) * 86400000</f>
        <v>1726790400000</v>
      </c>
      <c r="G105" s="10">
        <f>'GMT Glossary'!$B$7</f>
        <v>3</v>
      </c>
      <c r="H105" s="2" t="str">
        <f>TEXT(IF(B105&lt;0, A105+1+((B105+(G105/24))-(INT(B105+(G105/24)))), A105+(B105+(G105/24))), "yyyy-mm-dd")</f>
        <v>2024-09-20</v>
      </c>
      <c r="I105" s="2" t="str">
        <f>TEXT(IF(B105&lt;0, A105+1+((B105+(G105/24))-(INT(B105+(G105/24)))), A105+(B105+(G105/24))), "hh:mm")</f>
        <v>06:00</v>
      </c>
    </row>
    <row r="106" spans="1:9" x14ac:dyDescent="0.25">
      <c r="A106" s="46">
        <v>45555</v>
      </c>
      <c r="B106" s="38">
        <v>0.125</v>
      </c>
      <c r="C106" s="49" t="s">
        <v>8</v>
      </c>
      <c r="D106" s="53" t="s">
        <v>235</v>
      </c>
      <c r="E106" s="9" t="s">
        <v>72</v>
      </c>
      <c r="F106" s="8">
        <f>(INT(Table_Moldova[[#This Row],[Date]]) - DATE(1970, 1, 1)) * 86400000</f>
        <v>1726790400000</v>
      </c>
      <c r="G106" s="10">
        <f>'GMT Glossary'!$B$7</f>
        <v>3</v>
      </c>
      <c r="H106" s="2" t="str">
        <f>TEXT(IF(B106&lt;0, A106+1+((B106+(G106/24))-(INT(B106+(G106/24)))), A106+(B106+(G106/24))), "yyyy-mm-dd")</f>
        <v>2024-09-20</v>
      </c>
      <c r="I106" s="2" t="str">
        <f>TEXT(IF(B106&lt;0, A106+1+((B106+(G106/24))-(INT(B106+(G106/24)))), A106+(B106+(G106/24))), "hh:mm")</f>
        <v>06:00</v>
      </c>
    </row>
    <row r="107" spans="1:9" ht="15.75" x14ac:dyDescent="0.25">
      <c r="A107" s="14">
        <v>45555</v>
      </c>
      <c r="B107" s="19">
        <v>0.125</v>
      </c>
      <c r="C107" s="95" t="s">
        <v>8</v>
      </c>
      <c r="D107" s="16" t="s">
        <v>278</v>
      </c>
      <c r="E107" s="32" t="s">
        <v>100</v>
      </c>
      <c r="F107" s="8">
        <f>(INT(Table_Moldova[[#This Row],[Date]]) - DATE(1970, 1, 1)) * 86400000</f>
        <v>1726790400000</v>
      </c>
      <c r="G107" s="10">
        <f>'GMT Glossary'!$B$7</f>
        <v>3</v>
      </c>
      <c r="H107" s="2" t="str">
        <f>TEXT(IF(B107&lt;0, A107+1+((B107+(G107/24))-(INT(B107+(G107/24)))), A107+(B107+(G107/24))), "yyyy-mm-dd")</f>
        <v>2024-09-20</v>
      </c>
      <c r="I107" s="2" t="str">
        <f>TEXT(IF(B107&lt;0, A107+1+((B107+(G107/24))-(INT(B107+(G107/24)))), A107+(B107+(G107/24))), "hh:mm")</f>
        <v>06:00</v>
      </c>
    </row>
    <row r="108" spans="1:9" x14ac:dyDescent="0.25">
      <c r="A108" s="63">
        <v>45555</v>
      </c>
      <c r="B108" s="88">
        <v>0.20833333333333334</v>
      </c>
      <c r="C108" s="86" t="s">
        <v>8</v>
      </c>
      <c r="D108" s="35" t="s">
        <v>80</v>
      </c>
      <c r="E108" s="9" t="s">
        <v>21</v>
      </c>
      <c r="F108" s="8">
        <f>(INT(Table_Moldova[[#This Row],[Date]]) - DATE(1970, 1, 1)) * 86400000</f>
        <v>1726790400000</v>
      </c>
      <c r="G108" s="10">
        <f>'GMT Glossary'!$B$7</f>
        <v>3</v>
      </c>
      <c r="H108" s="2" t="str">
        <f>TEXT(IF(B108&lt;0, A108+1+((B108+(G108/24))-(INT(B108+(G108/24)))), A108+(B108+(G108/24))), "yyyy-mm-dd")</f>
        <v>2024-09-20</v>
      </c>
      <c r="I108" s="2" t="str">
        <f>TEXT(IF(B108&lt;0, A108+1+((B108+(G108/24))-(INT(B108+(G108/24)))), A108+(B108+(G108/24))), "hh:mm")</f>
        <v>08:00</v>
      </c>
    </row>
    <row r="109" spans="1:9" x14ac:dyDescent="0.25">
      <c r="A109" s="46">
        <v>45555</v>
      </c>
      <c r="B109" s="38">
        <v>0.20833333333333334</v>
      </c>
      <c r="C109" s="49" t="s">
        <v>398</v>
      </c>
      <c r="D109" s="56" t="s">
        <v>236</v>
      </c>
      <c r="E109" s="9" t="s">
        <v>72</v>
      </c>
      <c r="F109" s="8">
        <f>(INT(Table_Moldova[[#This Row],[Date]]) - DATE(1970, 1, 1)) * 86400000</f>
        <v>1726790400000</v>
      </c>
      <c r="G109">
        <f>'GMT Glossary'!$B$7</f>
        <v>3</v>
      </c>
      <c r="H109" s="2" t="str">
        <f>TEXT(IF(B109&lt;0, A109+1+((B109+(G109/24))-(INT(B109+(G109/24)))), A109+(B109+(G109/24))), "yyyy-mm-dd")</f>
        <v>2024-09-20</v>
      </c>
      <c r="I109" s="2" t="str">
        <f>TEXT(IF(B109&lt;0, A109+1+((B109+(G109/24))-(INT(B109+(G109/24)))), A109+(B109+(G109/24))), "hh:mm")</f>
        <v>08:00</v>
      </c>
    </row>
    <row r="110" spans="1:9" ht="15.75" x14ac:dyDescent="0.25">
      <c r="A110" s="14">
        <v>45555</v>
      </c>
      <c r="B110" s="19">
        <v>0.20833333333333334</v>
      </c>
      <c r="C110" s="95" t="s">
        <v>8</v>
      </c>
      <c r="D110" s="16" t="s">
        <v>279</v>
      </c>
      <c r="E110" s="32" t="s">
        <v>100</v>
      </c>
      <c r="F110" s="8">
        <f>(INT(Table_Moldova[[#This Row],[Date]]) - DATE(1970, 1, 1)) * 86400000</f>
        <v>1726790400000</v>
      </c>
      <c r="G110" s="10">
        <f>'GMT Glossary'!$B$7</f>
        <v>3</v>
      </c>
      <c r="H110" s="2" t="str">
        <f>TEXT(IF(B110&lt;0, A110+1+((B110+(G110/24))-(INT(B110+(G110/24)))), A110+(B110+(G110/24))), "yyyy-mm-dd")</f>
        <v>2024-09-20</v>
      </c>
      <c r="I110" s="2" t="str">
        <f>TEXT(IF(B110&lt;0, A110+1+((B110+(G110/24))-(INT(B110+(G110/24)))), A110+(B110+(G110/24))), "hh:mm")</f>
        <v>08:00</v>
      </c>
    </row>
    <row r="111" spans="1:9" x14ac:dyDescent="0.25">
      <c r="A111" s="46">
        <v>45555</v>
      </c>
      <c r="B111" s="38">
        <v>0.27083333333333331</v>
      </c>
      <c r="C111" s="49" t="s">
        <v>398</v>
      </c>
      <c r="D111" s="56" t="s">
        <v>237</v>
      </c>
      <c r="E111" s="9" t="s">
        <v>72</v>
      </c>
      <c r="F111" s="8">
        <f>(INT(Table_Moldova[[#This Row],[Date]]) - DATE(1970, 1, 1)) * 86400000</f>
        <v>1726790400000</v>
      </c>
      <c r="G111" s="10">
        <f>'GMT Glossary'!$B$7</f>
        <v>3</v>
      </c>
      <c r="H111" s="2" t="str">
        <f>TEXT(IF(B111&lt;0, A111+1+((B111+(G111/24))-(INT(B111+(G111/24)))), A111+(B111+(G111/24))), "yyyy-mm-dd")</f>
        <v>2024-09-20</v>
      </c>
      <c r="I111" s="2" t="str">
        <f>TEXT(IF(B111&lt;0, A111+1+((B111+(G111/24))-(INT(B111+(G111/24)))), A111+(B111+(G111/24))), "hh:mm")</f>
        <v>09:30</v>
      </c>
    </row>
    <row r="112" spans="1:9" x14ac:dyDescent="0.25">
      <c r="A112" s="63">
        <v>45555</v>
      </c>
      <c r="B112" s="88">
        <v>0.29166666666666669</v>
      </c>
      <c r="C112" s="86" t="s">
        <v>8</v>
      </c>
      <c r="D112" s="35" t="s">
        <v>205</v>
      </c>
      <c r="E112" s="9" t="s">
        <v>21</v>
      </c>
      <c r="F112" s="8">
        <f>(INT(Table_Moldova[[#This Row],[Date]]) - DATE(1970, 1, 1)) * 86400000</f>
        <v>1726790400000</v>
      </c>
      <c r="G112">
        <f>'GMT Glossary'!$B$7</f>
        <v>3</v>
      </c>
      <c r="H112" s="2" t="str">
        <f>TEXT(IF(B112&lt;0, A112+1+((B112+(G112/24))-(INT(B112+(G112/24)))), A112+(B112+(G112/24))), "yyyy-mm-dd")</f>
        <v>2024-09-20</v>
      </c>
      <c r="I112" s="2" t="str">
        <f>TEXT(IF(B112&lt;0, A112+1+((B112+(G112/24))-(INT(B112+(G112/24)))), A112+(B112+(G112/24))), "hh:mm")</f>
        <v>10:00</v>
      </c>
    </row>
    <row r="113" spans="1:9" ht="15.75" x14ac:dyDescent="0.25">
      <c r="A113" s="14">
        <v>45555</v>
      </c>
      <c r="B113" s="19">
        <v>0.29166666666666669</v>
      </c>
      <c r="C113" s="95" t="s">
        <v>8</v>
      </c>
      <c r="D113" s="16" t="s">
        <v>280</v>
      </c>
      <c r="E113" s="32" t="s">
        <v>100</v>
      </c>
      <c r="F113" s="8">
        <f>(INT(Table_Moldova[[#This Row],[Date]]) - DATE(1970, 1, 1)) * 86400000</f>
        <v>1726790400000</v>
      </c>
      <c r="G113" s="10">
        <f>'GMT Glossary'!$B$7</f>
        <v>3</v>
      </c>
      <c r="H113" s="2" t="str">
        <f>TEXT(IF(B113&lt;0, A113+1+((B113+(G113/24))-(INT(B113+(G113/24)))), A113+(B113+(G113/24))), "yyyy-mm-dd")</f>
        <v>2024-09-20</v>
      </c>
      <c r="I113" s="2" t="str">
        <f>TEXT(IF(B113&lt;0, A113+1+((B113+(G113/24))-(INT(B113+(G113/24)))), A113+(B113+(G113/24))), "hh:mm")</f>
        <v>10:00</v>
      </c>
    </row>
    <row r="114" spans="1:9" x14ac:dyDescent="0.25">
      <c r="A114" s="46">
        <v>45555</v>
      </c>
      <c r="B114" s="38">
        <v>0.33333333333333331</v>
      </c>
      <c r="C114" s="49" t="s">
        <v>398</v>
      </c>
      <c r="D114" s="56" t="s">
        <v>238</v>
      </c>
      <c r="E114" s="9" t="s">
        <v>72</v>
      </c>
      <c r="F114" s="8">
        <f>(INT(Table_Moldova[[#This Row],[Date]]) - DATE(1970, 1, 1)) * 86400000</f>
        <v>1726790400000</v>
      </c>
      <c r="G114" s="10">
        <f>'GMT Glossary'!$B$7</f>
        <v>3</v>
      </c>
      <c r="H114" s="2" t="str">
        <f>TEXT(IF(B114&lt;0, A114+1+((B114+(G114/24))-(INT(B114+(G114/24)))), A114+(B114+(G114/24))), "yyyy-mm-dd")</f>
        <v>2024-09-20</v>
      </c>
      <c r="I114" s="2" t="str">
        <f>TEXT(IF(B114&lt;0, A114+1+((B114+(G114/24))-(INT(B114+(G114/24)))), A114+(B114+(G114/24))), "hh:mm")</f>
        <v>11:00</v>
      </c>
    </row>
    <row r="115" spans="1:9" x14ac:dyDescent="0.25">
      <c r="A115" s="63">
        <v>45555</v>
      </c>
      <c r="B115" s="88">
        <v>0.375</v>
      </c>
      <c r="C115" s="86" t="s">
        <v>8</v>
      </c>
      <c r="D115" s="58" t="s">
        <v>203</v>
      </c>
      <c r="E115" s="9" t="s">
        <v>21</v>
      </c>
      <c r="F115" s="8">
        <f>(INT(Table_Moldova[[#This Row],[Date]]) - DATE(1970, 1, 1)) * 86400000</f>
        <v>1726790400000</v>
      </c>
      <c r="G115">
        <f>'GMT Glossary'!$B$7</f>
        <v>3</v>
      </c>
      <c r="H115" s="2" t="str">
        <f>TEXT(IF(B115&lt;0, A115+1+((B115+(G115/24))-(INT(B115+(G115/24)))), A115+(B115+(G115/24))), "yyyy-mm-dd")</f>
        <v>2024-09-20</v>
      </c>
      <c r="I115" s="2" t="str">
        <f>TEXT(IF(B115&lt;0, A115+1+((B115+(G115/24))-(INT(B115+(G115/24)))), A115+(B115+(G115/24))), "hh:mm")</f>
        <v>12:00</v>
      </c>
    </row>
    <row r="116" spans="1:9" ht="15.75" x14ac:dyDescent="0.25">
      <c r="A116" s="14">
        <v>45555</v>
      </c>
      <c r="B116" s="19">
        <v>0.375</v>
      </c>
      <c r="C116" s="95" t="s">
        <v>8</v>
      </c>
      <c r="D116" s="16" t="s">
        <v>281</v>
      </c>
      <c r="E116" s="32" t="s">
        <v>100</v>
      </c>
      <c r="F116" s="8">
        <f>(INT(Table_Moldova[[#This Row],[Date]]) - DATE(1970, 1, 1)) * 86400000</f>
        <v>1726790400000</v>
      </c>
      <c r="G116" s="10">
        <f>'GMT Glossary'!$B$7</f>
        <v>3</v>
      </c>
      <c r="H116" s="2" t="str">
        <f>TEXT(IF(B116&lt;0, A116+1+((B116+(G116/24))-(INT(B116+(G116/24)))), A116+(B116+(G116/24))), "yyyy-mm-dd")</f>
        <v>2024-09-20</v>
      </c>
      <c r="I116" s="2" t="str">
        <f>TEXT(IF(B116&lt;0, A116+1+((B116+(G116/24))-(INT(B116+(G116/24)))), A116+(B116+(G116/24))), "hh:mm")</f>
        <v>12:00</v>
      </c>
    </row>
    <row r="117" spans="1:9" x14ac:dyDescent="0.25">
      <c r="A117" s="46">
        <v>45555</v>
      </c>
      <c r="B117" s="38">
        <v>0.41666666666666669</v>
      </c>
      <c r="C117" s="49" t="s">
        <v>398</v>
      </c>
      <c r="D117" s="56" t="s">
        <v>239</v>
      </c>
      <c r="E117" s="9" t="s">
        <v>72</v>
      </c>
      <c r="F117" s="8">
        <f>(INT(Table_Moldova[[#This Row],[Date]]) - DATE(1970, 1, 1)) * 86400000</f>
        <v>1726790400000</v>
      </c>
      <c r="G117">
        <f>'GMT Glossary'!$B$7</f>
        <v>3</v>
      </c>
      <c r="H117" s="2" t="str">
        <f>TEXT(IF(B117&lt;0, A117+1+((B117+(G117/24))-(INT(B117+(G117/24)))), A117+(B117+(G117/24))), "yyyy-mm-dd")</f>
        <v>2024-09-20</v>
      </c>
      <c r="I117" s="2" t="str">
        <f>TEXT(IF(B117&lt;0, A117+1+((B117+(G117/24))-(INT(B117+(G117/24)))), A117+(B117+(G117/24))), "hh:mm")</f>
        <v>13:00</v>
      </c>
    </row>
    <row r="118" spans="1:9" x14ac:dyDescent="0.25">
      <c r="A118" s="63">
        <v>45555</v>
      </c>
      <c r="B118" s="88">
        <v>0.45833333333333331</v>
      </c>
      <c r="C118" s="86" t="s">
        <v>8</v>
      </c>
      <c r="D118" s="58" t="s">
        <v>73</v>
      </c>
      <c r="E118" s="9" t="s">
        <v>21</v>
      </c>
      <c r="F118" s="8">
        <f>(INT(Table_Moldova[[#This Row],[Date]]) - DATE(1970, 1, 1)) * 86400000</f>
        <v>1726790400000</v>
      </c>
      <c r="G118" s="10">
        <f>'GMT Glossary'!$B$7</f>
        <v>3</v>
      </c>
      <c r="H118" s="2" t="str">
        <f>TEXT(IF(B118&lt;0, A118+1+((B118+(G118/24))-(INT(B118+(G118/24)))), A118+(B118+(G118/24))), "yyyy-mm-dd")</f>
        <v>2024-09-20</v>
      </c>
      <c r="I118" s="2" t="str">
        <f>TEXT(IF(B118&lt;0, A118+1+((B118+(G118/24))-(INT(B118+(G118/24)))), A118+(B118+(G118/24))), "hh:mm")</f>
        <v>14:00</v>
      </c>
    </row>
    <row r="119" spans="1:9" ht="15.75" x14ac:dyDescent="0.25">
      <c r="A119" s="14">
        <v>45555</v>
      </c>
      <c r="B119" s="19">
        <v>0.45833333333333331</v>
      </c>
      <c r="C119" s="95" t="s">
        <v>8</v>
      </c>
      <c r="D119" s="16" t="s">
        <v>203</v>
      </c>
      <c r="E119" s="32" t="s">
        <v>100</v>
      </c>
      <c r="F119" s="8">
        <f>(INT(Table_Moldova[[#This Row],[Date]]) - DATE(1970, 1, 1)) * 86400000</f>
        <v>1726790400000</v>
      </c>
      <c r="G119" s="10">
        <f>'GMT Glossary'!$B$7</f>
        <v>3</v>
      </c>
      <c r="H119" s="2" t="str">
        <f>TEXT(IF(B119&lt;0, A119+1+((B119+(G119/24))-(INT(B119+(G119/24)))), A119+(B119+(G119/24))), "yyyy-mm-dd")</f>
        <v>2024-09-20</v>
      </c>
      <c r="I119" s="2" t="str">
        <f>TEXT(IF(B119&lt;0, A119+1+((B119+(G119/24))-(INT(B119+(G119/24)))), A119+(B119+(G119/24))), "hh:mm")</f>
        <v>14:00</v>
      </c>
    </row>
    <row r="120" spans="1:9" x14ac:dyDescent="0.25">
      <c r="A120" s="63">
        <v>45555</v>
      </c>
      <c r="B120" s="88">
        <v>0.54166666666666663</v>
      </c>
      <c r="C120" s="86" t="s">
        <v>8</v>
      </c>
      <c r="D120" s="58" t="s">
        <v>78</v>
      </c>
      <c r="E120" s="9" t="s">
        <v>21</v>
      </c>
      <c r="F120" s="8">
        <f>(INT(Table_Moldova[[#This Row],[Date]]) - DATE(1970, 1, 1)) * 86400000</f>
        <v>1726790400000</v>
      </c>
      <c r="G120" s="10">
        <f>'GMT Glossary'!$B$7</f>
        <v>3</v>
      </c>
      <c r="H120" s="2" t="str">
        <f>TEXT(IF(B120&lt;0, A120+1+((B120+(G120/24))-(INT(B120+(G120/24)))), A120+(B120+(G120/24))), "yyyy-mm-dd")</f>
        <v>2024-09-20</v>
      </c>
      <c r="I120" s="2" t="str">
        <f>TEXT(IF(B120&lt;0, A120+1+((B120+(G120/24))-(INT(B120+(G120/24)))), A120+(B120+(G120/24))), "hh:mm")</f>
        <v>16:00</v>
      </c>
    </row>
    <row r="121" spans="1:9" x14ac:dyDescent="0.25">
      <c r="A121" s="46">
        <v>45555</v>
      </c>
      <c r="B121" s="38">
        <v>0.54166666666666663</v>
      </c>
      <c r="C121" s="49" t="s">
        <v>8</v>
      </c>
      <c r="D121" s="55" t="s">
        <v>232</v>
      </c>
      <c r="E121" s="9" t="s">
        <v>72</v>
      </c>
      <c r="F121" s="8">
        <f>(INT(Table_Moldova[[#This Row],[Date]]) - DATE(1970, 1, 1)) * 86400000</f>
        <v>1726790400000</v>
      </c>
      <c r="G121" s="10">
        <f>'GMT Glossary'!$B$7</f>
        <v>3</v>
      </c>
      <c r="H121" s="2" t="str">
        <f>TEXT(IF(B121&lt;0, A121+1+((B121+(G121/24))-(INT(B121+(G121/24)))), A121+(B121+(G121/24))), "yyyy-mm-dd")</f>
        <v>2024-09-20</v>
      </c>
      <c r="I121" s="2" t="str">
        <f>TEXT(IF(B121&lt;0, A121+1+((B121+(G121/24))-(INT(B121+(G121/24)))), A121+(B121+(G121/24))), "hh:mm")</f>
        <v>16:00</v>
      </c>
    </row>
    <row r="122" spans="1:9" ht="15.75" x14ac:dyDescent="0.25">
      <c r="A122" s="14">
        <v>45555</v>
      </c>
      <c r="B122" s="19">
        <v>0.54166666666666663</v>
      </c>
      <c r="C122" s="95" t="s">
        <v>8</v>
      </c>
      <c r="D122" s="16" t="s">
        <v>282</v>
      </c>
      <c r="E122" s="32" t="s">
        <v>100</v>
      </c>
      <c r="F122" s="8">
        <f>(INT(Table_Moldova[[#This Row],[Date]]) - DATE(1970, 1, 1)) * 86400000</f>
        <v>1726790400000</v>
      </c>
      <c r="G122" s="10">
        <f>'GMT Glossary'!$B$7</f>
        <v>3</v>
      </c>
      <c r="H122" s="2" t="str">
        <f>TEXT(IF(B122&lt;0, A122+1+((B122+(G122/24))-(INT(B122+(G122/24)))), A122+(B122+(G122/24))), "yyyy-mm-dd")</f>
        <v>2024-09-20</v>
      </c>
      <c r="I122" s="2" t="str">
        <f>TEXT(IF(B122&lt;0, A122+1+((B122+(G122/24))-(INT(B122+(G122/24)))), A122+(B122+(G122/24))), "hh:mm")</f>
        <v>16:00</v>
      </c>
    </row>
    <row r="123" spans="1:9" x14ac:dyDescent="0.25">
      <c r="A123" s="63">
        <v>45555</v>
      </c>
      <c r="B123" s="88">
        <v>0.625</v>
      </c>
      <c r="C123" s="86" t="s">
        <v>8</v>
      </c>
      <c r="D123" s="58" t="s">
        <v>59</v>
      </c>
      <c r="E123" s="9" t="s">
        <v>21</v>
      </c>
      <c r="F123" s="8">
        <f>(INT(Table_Moldova[[#This Row],[Date]]) - DATE(1970, 1, 1)) * 86400000</f>
        <v>1726790400000</v>
      </c>
      <c r="G123">
        <f>'GMT Glossary'!$B$7</f>
        <v>3</v>
      </c>
      <c r="H123" s="2" t="str">
        <f>TEXT(IF(B123&lt;0, A123+1+((B123+(G123/24))-(INT(B123+(G123/24)))), A123+(B123+(G123/24))), "yyyy-mm-dd")</f>
        <v>2024-09-20</v>
      </c>
      <c r="I123" s="2" t="str">
        <f>TEXT(IF(B123&lt;0, A123+1+((B123+(G123/24))-(INT(B123+(G123/24)))), A123+(B123+(G123/24))), "hh:mm")</f>
        <v>18:00</v>
      </c>
    </row>
    <row r="124" spans="1:9" ht="15.75" x14ac:dyDescent="0.25">
      <c r="A124" s="14">
        <v>45555</v>
      </c>
      <c r="B124" s="19">
        <v>0.625</v>
      </c>
      <c r="C124" s="95" t="s">
        <v>8</v>
      </c>
      <c r="D124" s="16" t="s">
        <v>283</v>
      </c>
      <c r="E124" s="32" t="s">
        <v>100</v>
      </c>
      <c r="F124" s="8">
        <f>(INT(Table_Moldova[[#This Row],[Date]]) - DATE(1970, 1, 1)) * 86400000</f>
        <v>1726790400000</v>
      </c>
      <c r="G124" s="10">
        <f>'GMT Glossary'!$B$7</f>
        <v>3</v>
      </c>
      <c r="H124" s="2" t="str">
        <f>TEXT(IF(B124&lt;0, A124+1+((B124+(G124/24))-(INT(B124+(G124/24)))), A124+(B124+(G124/24))), "yyyy-mm-dd")</f>
        <v>2024-09-20</v>
      </c>
      <c r="I124" s="2" t="str">
        <f>TEXT(IF(B124&lt;0, A124+1+((B124+(G124/24))-(INT(B124+(G124/24)))), A124+(B124+(G124/24))), "hh:mm")</f>
        <v>18:00</v>
      </c>
    </row>
    <row r="125" spans="1:9" x14ac:dyDescent="0.25">
      <c r="A125" s="46">
        <v>45555</v>
      </c>
      <c r="B125" s="38">
        <v>0.64583333333333337</v>
      </c>
      <c r="C125" s="49" t="s">
        <v>399</v>
      </c>
      <c r="D125" s="56" t="s">
        <v>131</v>
      </c>
      <c r="E125" s="9" t="s">
        <v>72</v>
      </c>
      <c r="F125" s="8">
        <f>(INT(Table_Moldova[[#This Row],[Date]]) - DATE(1970, 1, 1)) * 86400000</f>
        <v>1726790400000</v>
      </c>
      <c r="G125" s="10">
        <f>'GMT Glossary'!$B$7</f>
        <v>3</v>
      </c>
      <c r="H125" s="2" t="str">
        <f>TEXT(IF(B125&lt;0, A125+1+((B125+(G125/24))-(INT(B125+(G125/24)))), A125+(B125+(G125/24))), "yyyy-mm-dd")</f>
        <v>2024-09-20</v>
      </c>
      <c r="I125" s="2" t="str">
        <f>TEXT(IF(B125&lt;0, A125+1+((B125+(G125/24))-(INT(B125+(G125/24)))), A125+(B125+(G125/24))), "hh:mm")</f>
        <v>18:30</v>
      </c>
    </row>
    <row r="126" spans="1:9" x14ac:dyDescent="0.25">
      <c r="A126" s="63">
        <v>45555</v>
      </c>
      <c r="B126" s="88">
        <v>0.6875</v>
      </c>
      <c r="C126" s="86" t="s">
        <v>8</v>
      </c>
      <c r="D126" s="56" t="s">
        <v>208</v>
      </c>
      <c r="E126" s="9" t="s">
        <v>21</v>
      </c>
      <c r="F126" s="8">
        <f>(INT(Table_Moldova[[#This Row],[Date]]) - DATE(1970, 1, 1)) * 86400000</f>
        <v>1726790400000</v>
      </c>
      <c r="G126">
        <f>'GMT Glossary'!$B$7</f>
        <v>3</v>
      </c>
      <c r="H126" s="2" t="str">
        <f>TEXT(IF(B126&lt;0, A126+1+((B126+(G126/24))-(INT(B126+(G126/24)))), A126+(B126+(G126/24))), "yyyy-mm-dd")</f>
        <v>2024-09-20</v>
      </c>
      <c r="I126" s="2" t="str">
        <f>TEXT(IF(B126&lt;0, A126+1+((B126+(G126/24))-(INT(B126+(G126/24)))), A126+(B126+(G126/24))), "hh:mm")</f>
        <v>19:30</v>
      </c>
    </row>
    <row r="127" spans="1:9" ht="15.75" x14ac:dyDescent="0.25">
      <c r="A127" s="14">
        <v>45555</v>
      </c>
      <c r="B127" s="19">
        <v>0.70833333333333337</v>
      </c>
      <c r="C127" s="95" t="s">
        <v>8</v>
      </c>
      <c r="D127" s="16" t="s">
        <v>284</v>
      </c>
      <c r="E127" s="32" t="s">
        <v>100</v>
      </c>
      <c r="F127" s="8">
        <f>(INT(Table_Moldova[[#This Row],[Date]]) - DATE(1970, 1, 1)) * 86400000</f>
        <v>1726790400000</v>
      </c>
      <c r="G127" s="10">
        <f>'GMT Glossary'!$B$7</f>
        <v>3</v>
      </c>
      <c r="H127" s="2" t="str">
        <f>TEXT(IF(B127&lt;0, A127+1+((B127+(G127/24))-(INT(B127+(G127/24)))), A127+(B127+(G127/24))), "yyyy-mm-dd")</f>
        <v>2024-09-20</v>
      </c>
      <c r="I127" s="2" t="str">
        <f>TEXT(IF(B127&lt;0, A127+1+((B127+(G127/24))-(INT(B127+(G127/24)))), A127+(B127+(G127/24))), "hh:mm")</f>
        <v>20:00</v>
      </c>
    </row>
    <row r="128" spans="1:9" x14ac:dyDescent="0.25">
      <c r="A128" s="63">
        <v>45555</v>
      </c>
      <c r="B128" s="88">
        <v>0.78125</v>
      </c>
      <c r="C128" s="86" t="s">
        <v>8</v>
      </c>
      <c r="D128" s="56" t="s">
        <v>209</v>
      </c>
      <c r="E128" s="9" t="s">
        <v>21</v>
      </c>
      <c r="F128" s="8">
        <f>(INT(Table_Moldova[[#This Row],[Date]]) - DATE(1970, 1, 1)) * 86400000</f>
        <v>1726790400000</v>
      </c>
      <c r="G128" s="10">
        <f>'GMT Glossary'!$B$7</f>
        <v>3</v>
      </c>
      <c r="H128" s="2" t="str">
        <f>TEXT(IF(B128&lt;0, A128+1+((B128+(G128/24))-(INT(B128+(G128/24)))), A128+(B128+(G128/24))), "yyyy-mm-dd")</f>
        <v>2024-09-20</v>
      </c>
      <c r="I128" s="2" t="str">
        <f>TEXT(IF(B128&lt;0, A128+1+((B128+(G128/24))-(INT(B128+(G128/24)))), A128+(B128+(G128/24))), "hh:mm")</f>
        <v>21:45</v>
      </c>
    </row>
    <row r="129" spans="1:9" x14ac:dyDescent="0.25">
      <c r="A129" s="46">
        <v>45555</v>
      </c>
      <c r="B129" s="38">
        <v>0.79166666666666663</v>
      </c>
      <c r="C129" s="49" t="s">
        <v>8</v>
      </c>
      <c r="D129" s="53" t="s">
        <v>90</v>
      </c>
      <c r="E129" s="9" t="s">
        <v>72</v>
      </c>
      <c r="F129" s="8">
        <f>(INT(Table_Moldova[[#This Row],[Date]]) - DATE(1970, 1, 1)) * 86400000</f>
        <v>1726790400000</v>
      </c>
      <c r="G129">
        <f>'GMT Glossary'!$B$7</f>
        <v>3</v>
      </c>
      <c r="H129" s="2" t="str">
        <f>TEXT(IF(B129&lt;0, A129+1+((B129+(G129/24))-(INT(B129+(G129/24)))), A129+(B129+(G129/24))), "yyyy-mm-dd")</f>
        <v>2024-09-20</v>
      </c>
      <c r="I129" s="2" t="str">
        <f>TEXT(IF(B129&lt;0, A129+1+((B129+(G129/24))-(INT(B129+(G129/24)))), A129+(B129+(G129/24))), "hh:mm")</f>
        <v>22:00</v>
      </c>
    </row>
    <row r="130" spans="1:9" ht="15.75" x14ac:dyDescent="0.25">
      <c r="A130" s="14">
        <v>45555</v>
      </c>
      <c r="B130" s="19">
        <v>0.79166666666666663</v>
      </c>
      <c r="C130" s="95" t="s">
        <v>8</v>
      </c>
      <c r="D130" s="16" t="s">
        <v>285</v>
      </c>
      <c r="E130" s="32" t="s">
        <v>100</v>
      </c>
      <c r="F130" s="8">
        <f>(INT(Table_Moldova[[#This Row],[Date]]) - DATE(1970, 1, 1)) * 86400000</f>
        <v>1726790400000</v>
      </c>
      <c r="G130" s="10">
        <f>'GMT Glossary'!$B$7</f>
        <v>3</v>
      </c>
      <c r="H130" s="2" t="str">
        <f>TEXT(IF(B130&lt;0, A130+1+((B130+(G130/24))-(INT(B130+(G130/24)))), A130+(B130+(G130/24))), "yyyy-mm-dd")</f>
        <v>2024-09-20</v>
      </c>
      <c r="I130" s="2" t="str">
        <f>TEXT(IF(B130&lt;0, A130+1+((B130+(G130/24))-(INT(B130+(G130/24)))), A130+(B130+(G130/24))), "hh:mm")</f>
        <v>22:00</v>
      </c>
    </row>
    <row r="131" spans="1:9" x14ac:dyDescent="0.25">
      <c r="A131" s="63">
        <v>45555</v>
      </c>
      <c r="B131" s="88">
        <v>0.875</v>
      </c>
      <c r="C131" s="86" t="s">
        <v>8</v>
      </c>
      <c r="D131" s="58" t="s">
        <v>79</v>
      </c>
      <c r="E131" s="9" t="s">
        <v>21</v>
      </c>
      <c r="F131" s="8">
        <f>(INT(Table_Moldova[[#This Row],[Date]]) - DATE(1970, 1, 1)) * 86400000</f>
        <v>1726790400000</v>
      </c>
      <c r="G131" s="10">
        <f>'GMT Glossary'!$B$7</f>
        <v>3</v>
      </c>
      <c r="H131" s="2" t="str">
        <f>TEXT(IF(B131&lt;0, A131+1+((B131+(G131/24))-(INT(B131+(G131/24)))), A131+(B131+(G131/24))), "yyyy-mm-dd")</f>
        <v>2024-09-21</v>
      </c>
      <c r="I131" s="2" t="str">
        <f>TEXT(IF(B131&lt;0, A131+1+((B131+(G131/24))-(INT(B131+(G131/24)))), A131+(B131+(G131/24))), "hh:mm")</f>
        <v>00:00</v>
      </c>
    </row>
    <row r="132" spans="1:9" x14ac:dyDescent="0.25">
      <c r="A132" s="46">
        <v>45555</v>
      </c>
      <c r="B132" s="38">
        <v>0.875</v>
      </c>
      <c r="C132" s="49" t="s">
        <v>8</v>
      </c>
      <c r="D132" s="55" t="s">
        <v>64</v>
      </c>
      <c r="E132" s="9" t="s">
        <v>72</v>
      </c>
      <c r="F132" s="8">
        <f>(INT(Table_Moldova[[#This Row],[Date]]) - DATE(1970, 1, 1)) * 86400000</f>
        <v>1726790400000</v>
      </c>
      <c r="G132" s="10">
        <f>'GMT Glossary'!$B$7</f>
        <v>3</v>
      </c>
      <c r="H132" s="2" t="str">
        <f>TEXT(IF(B132&lt;0, A132+1+((B132+(G132/24))-(INT(B132+(G132/24)))), A132+(B132+(G132/24))), "yyyy-mm-dd")</f>
        <v>2024-09-21</v>
      </c>
      <c r="I132" s="2" t="str">
        <f>TEXT(IF(B132&lt;0, A132+1+((B132+(G132/24))-(INT(B132+(G132/24)))), A132+(B132+(G132/24))), "hh:mm")</f>
        <v>00:00</v>
      </c>
    </row>
    <row r="133" spans="1:9" ht="15.75" x14ac:dyDescent="0.25">
      <c r="A133" s="14">
        <v>45555</v>
      </c>
      <c r="B133" s="19">
        <v>0.875</v>
      </c>
      <c r="C133" s="95" t="s">
        <v>402</v>
      </c>
      <c r="D133" s="16" t="s">
        <v>98</v>
      </c>
      <c r="E133" s="32" t="s">
        <v>100</v>
      </c>
      <c r="F133" s="8">
        <f>(INT(Table_Moldova[[#This Row],[Date]]) - DATE(1970, 1, 1)) * 86400000</f>
        <v>1726790400000</v>
      </c>
      <c r="G133" s="10">
        <f>'GMT Glossary'!$B$7</f>
        <v>3</v>
      </c>
      <c r="H133" s="2" t="str">
        <f>TEXT(IF(B133&lt;0, A133+1+((B133+(G133/24))-(INT(B133+(G133/24)))), A133+(B133+(G133/24))), "yyyy-mm-dd")</f>
        <v>2024-09-21</v>
      </c>
      <c r="I133" s="2" t="str">
        <f>TEXT(IF(B133&lt;0, A133+1+((B133+(G133/24))-(INT(B133+(G133/24)))), A133+(B133+(G133/24))), "hh:mm")</f>
        <v>00:00</v>
      </c>
    </row>
    <row r="134" spans="1:9" x14ac:dyDescent="0.25">
      <c r="A134" s="63">
        <v>45555</v>
      </c>
      <c r="B134" s="88">
        <v>0.95833333333333337</v>
      </c>
      <c r="C134" s="86" t="s">
        <v>8</v>
      </c>
      <c r="D134" s="58" t="s">
        <v>206</v>
      </c>
      <c r="E134" s="9" t="s">
        <v>21</v>
      </c>
      <c r="F134" s="8">
        <f>(INT(Table_Moldova[[#This Row],[Date]]) - DATE(1970, 1, 1)) * 86400000</f>
        <v>1726790400000</v>
      </c>
      <c r="G134">
        <f>'GMT Glossary'!$B$7</f>
        <v>3</v>
      </c>
      <c r="H134" s="2" t="str">
        <f>TEXT(IF(B134&lt;0, A134+1+((B134+(G134/24))-(INT(B134+(G134/24)))), A134+(B134+(G134/24))), "yyyy-mm-dd")</f>
        <v>2024-09-21</v>
      </c>
      <c r="I134" s="2" t="str">
        <f>TEXT(IF(B134&lt;0, A134+1+((B134+(G134/24))-(INT(B134+(G134/24)))), A134+(B134+(G134/24))), "hh:mm")</f>
        <v>02:00</v>
      </c>
    </row>
    <row r="135" spans="1:9" x14ac:dyDescent="0.25">
      <c r="A135" s="46">
        <v>45555</v>
      </c>
      <c r="B135" s="38">
        <v>0.95833333333333337</v>
      </c>
      <c r="C135" s="49" t="s">
        <v>8</v>
      </c>
      <c r="D135" s="58" t="s">
        <v>88</v>
      </c>
      <c r="E135" s="9" t="s">
        <v>72</v>
      </c>
      <c r="F135" s="8">
        <f>(INT(Table_Moldova[[#This Row],[Date]]) - DATE(1970, 1, 1)) * 86400000</f>
        <v>1726790400000</v>
      </c>
      <c r="G135">
        <f>'GMT Glossary'!$B$7</f>
        <v>3</v>
      </c>
      <c r="H135" s="2" t="str">
        <f>TEXT(IF(B135&lt;0, A135+1+((B135+(G135/24))-(INT(B135+(G135/24)))), A135+(B135+(G135/24))), "yyyy-mm-dd")</f>
        <v>2024-09-21</v>
      </c>
      <c r="I135" s="2" t="str">
        <f>TEXT(IF(B135&lt;0, A135+1+((B135+(G135/24))-(INT(B135+(G135/24)))), A135+(B135+(G135/24))), "hh:mm")</f>
        <v>02:00</v>
      </c>
    </row>
    <row r="136" spans="1:9" ht="15.75" x14ac:dyDescent="0.25">
      <c r="A136" s="14">
        <v>45555</v>
      </c>
      <c r="B136" s="19">
        <v>0.95833333333333337</v>
      </c>
      <c r="C136" s="95" t="s">
        <v>8</v>
      </c>
      <c r="D136" s="16" t="s">
        <v>271</v>
      </c>
      <c r="E136" s="32" t="s">
        <v>100</v>
      </c>
      <c r="F136" s="8">
        <f>(INT(Table_Moldova[[#This Row],[Date]]) - DATE(1970, 1, 1)) * 86400000</f>
        <v>1726790400000</v>
      </c>
      <c r="G136" s="10">
        <f>'GMT Glossary'!$B$7</f>
        <v>3</v>
      </c>
      <c r="H136" s="2" t="str">
        <f>TEXT(IF(B136&lt;0, A136+1+((B136+(G136/24))-(INT(B136+(G136/24)))), A136+(B136+(G136/24))), "yyyy-mm-dd")</f>
        <v>2024-09-21</v>
      </c>
      <c r="I136" s="2" t="str">
        <f>TEXT(IF(B136&lt;0, A136+1+((B136+(G136/24))-(INT(B136+(G136/24)))), A136+(B136+(G136/24))), "hh:mm")</f>
        <v>02:00</v>
      </c>
    </row>
    <row r="137" spans="1:9" x14ac:dyDescent="0.25">
      <c r="A137" s="63">
        <v>45556</v>
      </c>
      <c r="B137" s="88">
        <v>4.1666666666666664E-2</v>
      </c>
      <c r="C137" s="86" t="s">
        <v>8</v>
      </c>
      <c r="D137" s="58" t="s">
        <v>199</v>
      </c>
      <c r="E137" s="9" t="s">
        <v>21</v>
      </c>
      <c r="F137" s="8">
        <f>(INT(Table_Moldova[[#This Row],[Date]]) - DATE(1970, 1, 1)) * 86400000</f>
        <v>1726876800000</v>
      </c>
      <c r="G137" s="10">
        <f>'GMT Glossary'!$B$7</f>
        <v>3</v>
      </c>
      <c r="H137" s="2" t="str">
        <f>TEXT(IF(B137&lt;0, A137+1+((B137+(G137/24))-(INT(B137+(G137/24)))), A137+(B137+(G137/24))), "yyyy-mm-dd")</f>
        <v>2024-09-21</v>
      </c>
      <c r="I137" s="2" t="str">
        <f>TEXT(IF(B137&lt;0, A137+1+((B137+(G137/24))-(INT(B137+(G137/24)))), A137+(B137+(G137/24))), "hh:mm")</f>
        <v>04:00</v>
      </c>
    </row>
    <row r="138" spans="1:9" x14ac:dyDescent="0.25">
      <c r="A138" s="46">
        <v>45556</v>
      </c>
      <c r="B138" s="38">
        <v>4.1666666666666664E-2</v>
      </c>
      <c r="C138" s="49" t="s">
        <v>8</v>
      </c>
      <c r="D138" s="55" t="s">
        <v>86</v>
      </c>
      <c r="E138" s="9" t="s">
        <v>72</v>
      </c>
      <c r="F138" s="8">
        <f>(INT(Table_Moldova[[#This Row],[Date]]) - DATE(1970, 1, 1)) * 86400000</f>
        <v>1726876800000</v>
      </c>
      <c r="G138" s="10">
        <f>'GMT Glossary'!$B$7</f>
        <v>3</v>
      </c>
      <c r="H138" s="2" t="str">
        <f>TEXT(IF(B138&lt;0, A138+1+((B138+(G138/24))-(INT(B138+(G138/24)))), A138+(B138+(G138/24))), "yyyy-mm-dd")</f>
        <v>2024-09-21</v>
      </c>
      <c r="I138" s="2" t="str">
        <f>TEXT(IF(B138&lt;0, A138+1+((B138+(G138/24))-(INT(B138+(G138/24)))), A138+(B138+(G138/24))), "hh:mm")</f>
        <v>04:00</v>
      </c>
    </row>
    <row r="139" spans="1:9" ht="15.75" x14ac:dyDescent="0.25">
      <c r="A139" s="14">
        <v>45556</v>
      </c>
      <c r="B139" s="19">
        <v>4.1666666666666664E-2</v>
      </c>
      <c r="C139" s="95" t="s">
        <v>399</v>
      </c>
      <c r="D139" s="16" t="s">
        <v>97</v>
      </c>
      <c r="E139" s="32" t="s">
        <v>100</v>
      </c>
      <c r="F139" s="8">
        <f>(INT(Table_Moldova[[#This Row],[Date]]) - DATE(1970, 1, 1)) * 86400000</f>
        <v>1726876800000</v>
      </c>
      <c r="G139" s="10">
        <f>'GMT Glossary'!$B$7</f>
        <v>3</v>
      </c>
      <c r="H139" s="2" t="str">
        <f>TEXT(IF(B139&lt;0, A139+1+((B139+(G139/24))-(INT(B139+(G139/24)))), A139+(B139+(G139/24))), "yyyy-mm-dd")</f>
        <v>2024-09-21</v>
      </c>
      <c r="I139" s="2" t="str">
        <f>TEXT(IF(B139&lt;0, A139+1+((B139+(G139/24))-(INT(B139+(G139/24)))), A139+(B139+(G139/24))), "hh:mm")</f>
        <v>04:00</v>
      </c>
    </row>
    <row r="140" spans="1:9" x14ac:dyDescent="0.25">
      <c r="A140" s="63">
        <v>45556</v>
      </c>
      <c r="B140" s="88">
        <v>0.125</v>
      </c>
      <c r="C140" s="86" t="s">
        <v>8</v>
      </c>
      <c r="D140" s="58" t="s">
        <v>77</v>
      </c>
      <c r="E140" s="9" t="s">
        <v>21</v>
      </c>
      <c r="F140" s="8">
        <f>(INT(Table_Moldova[[#This Row],[Date]]) - DATE(1970, 1, 1)) * 86400000</f>
        <v>1726876800000</v>
      </c>
      <c r="G140" s="10">
        <f>'GMT Glossary'!$B$7</f>
        <v>3</v>
      </c>
      <c r="H140" s="2" t="str">
        <f>TEXT(IF(B140&lt;0, A140+1+((B140+(G140/24))-(INT(B140+(G140/24)))), A140+(B140+(G140/24))), "yyyy-mm-dd")</f>
        <v>2024-09-21</v>
      </c>
      <c r="I140" s="2" t="str">
        <f>TEXT(IF(B140&lt;0, A140+1+((B140+(G140/24))-(INT(B140+(G140/24)))), A140+(B140+(G140/24))), "hh:mm")</f>
        <v>06:00</v>
      </c>
    </row>
    <row r="141" spans="1:9" x14ac:dyDescent="0.25">
      <c r="A141" s="46">
        <v>45556</v>
      </c>
      <c r="B141" s="38">
        <v>0.125</v>
      </c>
      <c r="C141" s="49" t="s">
        <v>8</v>
      </c>
      <c r="D141" s="53" t="s">
        <v>40</v>
      </c>
      <c r="E141" s="9" t="s">
        <v>72</v>
      </c>
      <c r="F141" s="8">
        <f>(INT(Table_Moldova[[#This Row],[Date]]) - DATE(1970, 1, 1)) * 86400000</f>
        <v>1726876800000</v>
      </c>
      <c r="G141" s="10">
        <f>'GMT Glossary'!$B$7</f>
        <v>3</v>
      </c>
      <c r="H141" s="2" t="str">
        <f>TEXT(IF(B141&lt;0, A141+1+((B141+(G141/24))-(INT(B141+(G141/24)))), A141+(B141+(G141/24))), "yyyy-mm-dd")</f>
        <v>2024-09-21</v>
      </c>
      <c r="I141" s="2" t="str">
        <f>TEXT(IF(B141&lt;0, A141+1+((B141+(G141/24))-(INT(B141+(G141/24)))), A141+(B141+(G141/24))), "hh:mm")</f>
        <v>06:00</v>
      </c>
    </row>
    <row r="142" spans="1:9" ht="15.75" x14ac:dyDescent="0.25">
      <c r="A142" s="14">
        <v>45556</v>
      </c>
      <c r="B142" s="19">
        <v>0.16666666666666666</v>
      </c>
      <c r="C142" s="95" t="s">
        <v>8</v>
      </c>
      <c r="D142" s="16" t="s">
        <v>267</v>
      </c>
      <c r="E142" s="32" t="s">
        <v>100</v>
      </c>
      <c r="F142" s="8">
        <f>(INT(Table_Moldova[[#This Row],[Date]]) - DATE(1970, 1, 1)) * 86400000</f>
        <v>1726876800000</v>
      </c>
      <c r="G142" s="10">
        <f>'GMT Glossary'!$B$7</f>
        <v>3</v>
      </c>
      <c r="H142" s="2" t="str">
        <f>TEXT(IF(B142&lt;0, A142+1+((B142+(G142/24))-(INT(B142+(G142/24)))), A142+(B142+(G142/24))), "yyyy-mm-dd")</f>
        <v>2024-09-21</v>
      </c>
      <c r="I142" s="2" t="str">
        <f>TEXT(IF(B142&lt;0, A142+1+((B142+(G142/24))-(INT(B142+(G142/24)))), A142+(B142+(G142/24))), "hh:mm")</f>
        <v>07:00</v>
      </c>
    </row>
    <row r="143" spans="1:9" x14ac:dyDescent="0.25">
      <c r="A143" s="63">
        <v>45556</v>
      </c>
      <c r="B143" s="88">
        <v>0.20833333333333334</v>
      </c>
      <c r="C143" s="86" t="s">
        <v>8</v>
      </c>
      <c r="D143" s="58" t="s">
        <v>75</v>
      </c>
      <c r="E143" s="9" t="s">
        <v>21</v>
      </c>
      <c r="F143" s="8">
        <f>(INT(Table_Moldova[[#This Row],[Date]]) - DATE(1970, 1, 1)) * 86400000</f>
        <v>1726876800000</v>
      </c>
      <c r="G143" s="10">
        <f>'GMT Glossary'!$B$7</f>
        <v>3</v>
      </c>
      <c r="H143" s="2" t="str">
        <f>TEXT(IF(B143&lt;0, A143+1+((B143+(G143/24))-(INT(B143+(G143/24)))), A143+(B143+(G143/24))), "yyyy-mm-dd")</f>
        <v>2024-09-21</v>
      </c>
      <c r="I143" s="2" t="str">
        <f>TEXT(IF(B143&lt;0, A143+1+((B143+(G143/24))-(INT(B143+(G143/24)))), A143+(B143+(G143/24))), "hh:mm")</f>
        <v>08:00</v>
      </c>
    </row>
    <row r="144" spans="1:9" x14ac:dyDescent="0.25">
      <c r="A144" s="46">
        <v>45556</v>
      </c>
      <c r="B144" s="38">
        <v>0.20833333333333334</v>
      </c>
      <c r="C144" s="49" t="s">
        <v>402</v>
      </c>
      <c r="D144" s="55" t="s">
        <v>91</v>
      </c>
      <c r="E144" s="9" t="s">
        <v>72</v>
      </c>
      <c r="F144" s="8">
        <f>(INT(Table_Moldova[[#This Row],[Date]]) - DATE(1970, 1, 1)) * 86400000</f>
        <v>1726876800000</v>
      </c>
      <c r="G144">
        <f>'GMT Glossary'!$B$7</f>
        <v>3</v>
      </c>
      <c r="H144" s="2" t="str">
        <f>TEXT(IF(B144&lt;0, A144+1+((B144+(G144/24))-(INT(B144+(G144/24)))), A144+(B144+(G144/24))), "yyyy-mm-dd")</f>
        <v>2024-09-21</v>
      </c>
      <c r="I144" s="2" t="str">
        <f>TEXT(IF(B144&lt;0, A144+1+((B144+(G144/24))-(INT(B144+(G144/24)))), A144+(B144+(G144/24))), "hh:mm")</f>
        <v>08:00</v>
      </c>
    </row>
    <row r="145" spans="1:9" ht="15.75" x14ac:dyDescent="0.25">
      <c r="A145" s="14">
        <v>45556</v>
      </c>
      <c r="B145" s="19">
        <v>0.25</v>
      </c>
      <c r="C145" s="98" t="s">
        <v>403</v>
      </c>
      <c r="D145" s="16" t="s">
        <v>286</v>
      </c>
      <c r="E145" s="32" t="s">
        <v>100</v>
      </c>
      <c r="F145" s="8">
        <f>(INT(Table_Moldova[[#This Row],[Date]]) - DATE(1970, 1, 1)) * 86400000</f>
        <v>1726876800000</v>
      </c>
      <c r="G145" s="10">
        <f>'GMT Glossary'!$B$7</f>
        <v>3</v>
      </c>
      <c r="H145" s="2" t="str">
        <f>TEXT(IF(B145&lt;0, A145+1+((B145+(G145/24))-(INT(B145+(G145/24)))), A145+(B145+(G145/24))), "yyyy-mm-dd")</f>
        <v>2024-09-21</v>
      </c>
      <c r="I145" s="2" t="str">
        <f>TEXT(IF(B145&lt;0, A145+1+((B145+(G145/24))-(INT(B145+(G145/24)))), A145+(B145+(G145/24))), "hh:mm")</f>
        <v>09:00</v>
      </c>
    </row>
    <row r="146" spans="1:9" ht="15.75" x14ac:dyDescent="0.25">
      <c r="A146" s="14">
        <v>45556</v>
      </c>
      <c r="B146" s="19">
        <v>0.27083333333333337</v>
      </c>
      <c r="C146" s="98" t="s">
        <v>403</v>
      </c>
      <c r="D146" s="16" t="s">
        <v>287</v>
      </c>
      <c r="E146" s="32" t="s">
        <v>100</v>
      </c>
      <c r="F146" s="8">
        <f>(INT(Table_Moldova[[#This Row],[Date]]) - DATE(1970, 1, 1)) * 86400000</f>
        <v>1726876800000</v>
      </c>
      <c r="G146" s="10">
        <f>'GMT Glossary'!$B$7</f>
        <v>3</v>
      </c>
      <c r="H146" s="2" t="str">
        <f>TEXT(IF(B146&lt;0, A146+1+((B146+(G146/24))-(INT(B146+(G146/24)))), A146+(B146+(G146/24))), "yyyy-mm-dd")</f>
        <v>2024-09-21</v>
      </c>
      <c r="I146" s="2" t="str">
        <f>TEXT(IF(B146&lt;0, A146+1+((B146+(G146/24))-(INT(B146+(G146/24)))), A146+(B146+(G146/24))), "hh:mm")</f>
        <v>09:30</v>
      </c>
    </row>
    <row r="147" spans="1:9" x14ac:dyDescent="0.25">
      <c r="A147" s="63">
        <v>45556</v>
      </c>
      <c r="B147" s="88">
        <v>0.29166666666666669</v>
      </c>
      <c r="C147" s="86" t="s">
        <v>8</v>
      </c>
      <c r="D147" s="58" t="s">
        <v>76</v>
      </c>
      <c r="E147" s="9" t="s">
        <v>21</v>
      </c>
      <c r="F147" s="8">
        <f>(INT(Table_Moldova[[#This Row],[Date]]) - DATE(1970, 1, 1)) * 86400000</f>
        <v>1726876800000</v>
      </c>
      <c r="G147" s="10">
        <f>'GMT Glossary'!$B$7</f>
        <v>3</v>
      </c>
      <c r="H147" s="2" t="str">
        <f>TEXT(IF(B147&lt;0, A147+1+((B147+(G147/24))-(INT(B147+(G147/24)))), A147+(B147+(G147/24))), "yyyy-mm-dd")</f>
        <v>2024-09-21</v>
      </c>
      <c r="I147" s="2" t="str">
        <f>TEXT(IF(B147&lt;0, A147+1+((B147+(G147/24))-(INT(B147+(G147/24)))), A147+(B147+(G147/24))), "hh:mm")</f>
        <v>10:00</v>
      </c>
    </row>
    <row r="148" spans="1:9" x14ac:dyDescent="0.25">
      <c r="A148" s="46">
        <v>45556</v>
      </c>
      <c r="B148" s="38">
        <v>0.29166666666666669</v>
      </c>
      <c r="C148" s="49" t="s">
        <v>398</v>
      </c>
      <c r="D148" s="56" t="s">
        <v>240</v>
      </c>
      <c r="E148" s="9" t="s">
        <v>72</v>
      </c>
      <c r="F148" s="8">
        <f>(INT(Table_Moldova[[#This Row],[Date]]) - DATE(1970, 1, 1)) * 86400000</f>
        <v>1726876800000</v>
      </c>
      <c r="G148" s="10">
        <f>'GMT Glossary'!$B$7</f>
        <v>3</v>
      </c>
      <c r="H148" s="2" t="str">
        <f>TEXT(IF(B148&lt;0, A148+1+((B148+(G148/24))-(INT(B148+(G148/24)))), A148+(B148+(G148/24))), "yyyy-mm-dd")</f>
        <v>2024-09-21</v>
      </c>
      <c r="I148" s="2" t="str">
        <f>TEXT(IF(B148&lt;0, A148+1+((B148+(G148/24))-(INT(B148+(G148/24)))), A148+(B148+(G148/24))), "hh:mm")</f>
        <v>10:00</v>
      </c>
    </row>
    <row r="149" spans="1:9" ht="15.75" x14ac:dyDescent="0.25">
      <c r="A149" s="14">
        <v>45556</v>
      </c>
      <c r="B149" s="19">
        <v>0.29166666666666702</v>
      </c>
      <c r="C149" s="95" t="s">
        <v>8</v>
      </c>
      <c r="D149" s="16" t="s">
        <v>266</v>
      </c>
      <c r="E149" s="32" t="s">
        <v>100</v>
      </c>
      <c r="F149" s="8">
        <f>(INT(Table_Moldova[[#This Row],[Date]]) - DATE(1970, 1, 1)) * 86400000</f>
        <v>1726876800000</v>
      </c>
      <c r="G149" s="10">
        <f>'GMT Glossary'!$B$7</f>
        <v>3</v>
      </c>
      <c r="H149" s="2" t="str">
        <f>TEXT(IF(B149&lt;0, A149+1+((B149+(G149/24))-(INT(B149+(G149/24)))), A149+(B149+(G149/24))), "yyyy-mm-dd")</f>
        <v>2024-09-21</v>
      </c>
      <c r="I149" s="2" t="str">
        <f>TEXT(IF(B149&lt;0, A149+1+((B149+(G149/24))-(INT(B149+(G149/24)))), A149+(B149+(G149/24))), "hh:mm")</f>
        <v>10:00</v>
      </c>
    </row>
    <row r="150" spans="1:9" x14ac:dyDescent="0.25">
      <c r="A150" s="46">
        <v>45556</v>
      </c>
      <c r="B150" s="38">
        <v>0.35416666666666669</v>
      </c>
      <c r="C150" s="49" t="s">
        <v>398</v>
      </c>
      <c r="D150" s="56" t="s">
        <v>241</v>
      </c>
      <c r="E150" s="9" t="s">
        <v>72</v>
      </c>
      <c r="F150" s="8">
        <f>(INT(Table_Moldova[[#This Row],[Date]]) - DATE(1970, 1, 1)) * 86400000</f>
        <v>1726876800000</v>
      </c>
      <c r="G150" s="10">
        <f>'GMT Glossary'!$B$7</f>
        <v>3</v>
      </c>
      <c r="H150" s="2" t="str">
        <f>TEXT(IF(B150&lt;0, A150+1+((B150+(G150/24))-(INT(B150+(G150/24)))), A150+(B150+(G150/24))), "yyyy-mm-dd")</f>
        <v>2024-09-21</v>
      </c>
      <c r="I150" s="2" t="str">
        <f>TEXT(IF(B150&lt;0, A150+1+((B150+(G150/24))-(INT(B150+(G150/24)))), A150+(B150+(G150/24))), "hh:mm")</f>
        <v>11:30</v>
      </c>
    </row>
    <row r="151" spans="1:9" x14ac:dyDescent="0.25">
      <c r="A151" s="63">
        <v>45556</v>
      </c>
      <c r="B151" s="88">
        <v>0.375</v>
      </c>
      <c r="C151" s="86" t="s">
        <v>8</v>
      </c>
      <c r="D151" s="58" t="s">
        <v>74</v>
      </c>
      <c r="E151" s="9" t="s">
        <v>21</v>
      </c>
      <c r="F151" s="8">
        <f>(INT(Table_Moldova[[#This Row],[Date]]) - DATE(1970, 1, 1)) * 86400000</f>
        <v>1726876800000</v>
      </c>
      <c r="G151">
        <f>'GMT Glossary'!$B$7</f>
        <v>3</v>
      </c>
      <c r="H151" s="2" t="str">
        <f>TEXT(IF(B151&lt;0, A151+1+((B151+(G151/24))-(INT(B151+(G151/24)))), A151+(B151+(G151/24))), "yyyy-mm-dd")</f>
        <v>2024-09-21</v>
      </c>
      <c r="I151" s="2" t="str">
        <f>TEXT(IF(B151&lt;0, A151+1+((B151+(G151/24))-(INT(B151+(G151/24)))), A151+(B151+(G151/24))), "hh:mm")</f>
        <v>12:00</v>
      </c>
    </row>
    <row r="152" spans="1:9" ht="15.75" x14ac:dyDescent="0.25">
      <c r="A152" s="14">
        <v>45556</v>
      </c>
      <c r="B152" s="19">
        <v>0.375</v>
      </c>
      <c r="C152" s="95" t="s">
        <v>8</v>
      </c>
      <c r="D152" s="16" t="s">
        <v>171</v>
      </c>
      <c r="E152" s="32" t="s">
        <v>100</v>
      </c>
      <c r="F152" s="8">
        <f>(INT(Table_Moldova[[#This Row],[Date]]) - DATE(1970, 1, 1)) * 86400000</f>
        <v>1726876800000</v>
      </c>
      <c r="G152" s="10">
        <f>'GMT Glossary'!$B$7</f>
        <v>3</v>
      </c>
      <c r="H152" s="2" t="str">
        <f>TEXT(IF(B152&lt;0, A152+1+((B152+(G152/24))-(INT(B152+(G152/24)))), A152+(B152+(G152/24))), "yyyy-mm-dd")</f>
        <v>2024-09-21</v>
      </c>
      <c r="I152" s="2" t="str">
        <f>TEXT(IF(B152&lt;0, A152+1+((B152+(G152/24))-(INT(B152+(G152/24)))), A152+(B152+(G152/24))), "hh:mm")</f>
        <v>12:00</v>
      </c>
    </row>
    <row r="153" spans="1:9" x14ac:dyDescent="0.25">
      <c r="A153" s="46">
        <v>45556</v>
      </c>
      <c r="B153" s="38">
        <v>0.45833333333333331</v>
      </c>
      <c r="C153" s="49" t="s">
        <v>8</v>
      </c>
      <c r="D153" s="55" t="s">
        <v>139</v>
      </c>
      <c r="E153" s="9" t="s">
        <v>72</v>
      </c>
      <c r="F153" s="8">
        <f>(INT(Table_Moldova[[#This Row],[Date]]) - DATE(1970, 1, 1)) * 86400000</f>
        <v>1726876800000</v>
      </c>
      <c r="G153">
        <f>'GMT Glossary'!$B$7</f>
        <v>3</v>
      </c>
      <c r="H153" s="2" t="str">
        <f>TEXT(IF(B153&lt;0, A153+1+((B153+(G153/24))-(INT(B153+(G153/24)))), A153+(B153+(G153/24))), "yyyy-mm-dd")</f>
        <v>2024-09-21</v>
      </c>
      <c r="I153" s="2" t="str">
        <f>TEXT(IF(B153&lt;0, A153+1+((B153+(G153/24))-(INT(B153+(G153/24)))), A153+(B153+(G153/24))), "hh:mm")</f>
        <v>14:00</v>
      </c>
    </row>
    <row r="154" spans="1:9" x14ac:dyDescent="0.25">
      <c r="A154" s="63">
        <v>45556</v>
      </c>
      <c r="B154" s="88">
        <v>0.47916666666666669</v>
      </c>
      <c r="C154" s="86" t="s">
        <v>8</v>
      </c>
      <c r="D154" s="56" t="s">
        <v>210</v>
      </c>
      <c r="E154" s="9" t="s">
        <v>21</v>
      </c>
      <c r="F154" s="8">
        <f>(INT(Table_Moldova[[#This Row],[Date]]) - DATE(1970, 1, 1)) * 86400000</f>
        <v>1726876800000</v>
      </c>
      <c r="G154" s="10">
        <f>'GMT Glossary'!$B$7</f>
        <v>3</v>
      </c>
      <c r="H154" s="2" t="str">
        <f>TEXT(IF(B154&lt;0, A154+1+((B154+(G154/24))-(INT(B154+(G154/24)))), A154+(B154+(G154/24))), "yyyy-mm-dd")</f>
        <v>2024-09-21</v>
      </c>
      <c r="I154" s="2" t="str">
        <f>TEXT(IF(B154&lt;0, A154+1+((B154+(G154/24))-(INT(B154+(G154/24)))), A154+(B154+(G154/24))), "hh:mm")</f>
        <v>14:30</v>
      </c>
    </row>
    <row r="155" spans="1:9" ht="15.75" x14ac:dyDescent="0.25">
      <c r="A155" s="14">
        <v>45556</v>
      </c>
      <c r="B155" s="19">
        <v>0.47916666666666669</v>
      </c>
      <c r="C155" s="95" t="s">
        <v>8</v>
      </c>
      <c r="D155" s="16" t="s">
        <v>288</v>
      </c>
      <c r="E155" s="32" t="s">
        <v>100</v>
      </c>
      <c r="F155" s="8">
        <f>(INT(Table_Moldova[[#This Row],[Date]]) - DATE(1970, 1, 1)) * 86400000</f>
        <v>1726876800000</v>
      </c>
      <c r="G155" s="10">
        <f>'GMT Glossary'!$B$7</f>
        <v>3</v>
      </c>
      <c r="H155" s="2" t="str">
        <f>TEXT(IF(B155&lt;0, A155+1+((B155+(G155/24))-(INT(B155+(G155/24)))), A155+(B155+(G155/24))), "yyyy-mm-dd")</f>
        <v>2024-09-21</v>
      </c>
      <c r="I155" s="2" t="str">
        <f>TEXT(IF(B155&lt;0, A155+1+((B155+(G155/24))-(INT(B155+(G155/24)))), A155+(B155+(G155/24))), "hh:mm")</f>
        <v>14:30</v>
      </c>
    </row>
    <row r="156" spans="1:9" x14ac:dyDescent="0.25">
      <c r="A156" s="46">
        <v>45556</v>
      </c>
      <c r="B156" s="38">
        <v>0.54166666666666663</v>
      </c>
      <c r="C156" s="49" t="s">
        <v>402</v>
      </c>
      <c r="D156" s="56" t="s">
        <v>242</v>
      </c>
      <c r="E156" s="9" t="s">
        <v>72</v>
      </c>
      <c r="F156" s="8">
        <f>(INT(Table_Moldova[[#This Row],[Date]]) - DATE(1970, 1, 1)) * 86400000</f>
        <v>1726876800000</v>
      </c>
      <c r="G156" s="10">
        <f>'GMT Glossary'!$B$7</f>
        <v>3</v>
      </c>
      <c r="H156" s="2" t="str">
        <f>TEXT(IF(B156&lt;0, A156+1+((B156+(G156/24))-(INT(B156+(G156/24)))), A156+(B156+(G156/24))), "yyyy-mm-dd")</f>
        <v>2024-09-21</v>
      </c>
      <c r="I156" s="2" t="str">
        <f>TEXT(IF(B156&lt;0, A156+1+((B156+(G156/24))-(INT(B156+(G156/24)))), A156+(B156+(G156/24))), "hh:mm")</f>
        <v>16:00</v>
      </c>
    </row>
    <row r="157" spans="1:9" ht="15.75" x14ac:dyDescent="0.25">
      <c r="A157" s="14">
        <v>45556</v>
      </c>
      <c r="B157" s="19">
        <v>0.5625</v>
      </c>
      <c r="C157" s="95" t="s">
        <v>8</v>
      </c>
      <c r="D157" s="16" t="s">
        <v>289</v>
      </c>
      <c r="E157" s="32" t="s">
        <v>100</v>
      </c>
      <c r="F157" s="8">
        <f>(INT(Table_Moldova[[#This Row],[Date]]) - DATE(1970, 1, 1)) * 86400000</f>
        <v>1726876800000</v>
      </c>
      <c r="G157" s="10">
        <f>'GMT Glossary'!$B$7</f>
        <v>3</v>
      </c>
      <c r="H157" s="2" t="str">
        <f>TEXT(IF(B157&lt;0, A157+1+((B157+(G157/24))-(INT(B157+(G157/24)))), A157+(B157+(G157/24))), "yyyy-mm-dd")</f>
        <v>2024-09-21</v>
      </c>
      <c r="I157" s="2" t="str">
        <f>TEXT(IF(B157&lt;0, A157+1+((B157+(G157/24))-(INT(B157+(G157/24)))), A157+(B157+(G157/24))), "hh:mm")</f>
        <v>16:30</v>
      </c>
    </row>
    <row r="158" spans="1:9" x14ac:dyDescent="0.25">
      <c r="A158" s="63">
        <v>45556</v>
      </c>
      <c r="B158" s="88">
        <v>0.58333333333333337</v>
      </c>
      <c r="C158" s="86" t="s">
        <v>8</v>
      </c>
      <c r="D158" s="56" t="s">
        <v>211</v>
      </c>
      <c r="E158" s="9" t="s">
        <v>21</v>
      </c>
      <c r="F158" s="8">
        <f>(INT(Table_Moldova[[#This Row],[Date]]) - DATE(1970, 1, 1)) * 86400000</f>
        <v>1726876800000</v>
      </c>
      <c r="G158">
        <f>'GMT Glossary'!$B$7</f>
        <v>3</v>
      </c>
      <c r="H158" s="2" t="str">
        <f>TEXT(IF(B158&lt;0, A158+1+((B158+(G158/24))-(INT(B158+(G158/24)))), A158+(B158+(G158/24))), "yyyy-mm-dd")</f>
        <v>2024-09-21</v>
      </c>
      <c r="I158" s="2" t="str">
        <f>TEXT(IF(B158&lt;0, A158+1+((B158+(G158/24))-(INT(B158+(G158/24)))), A158+(B158+(G158/24))), "hh:mm")</f>
        <v>17:00</v>
      </c>
    </row>
    <row r="159" spans="1:9" x14ac:dyDescent="0.25">
      <c r="A159" s="46">
        <v>45556</v>
      </c>
      <c r="B159" s="38">
        <v>0.58333333333333337</v>
      </c>
      <c r="C159" s="49" t="s">
        <v>8</v>
      </c>
      <c r="D159" s="56" t="s">
        <v>243</v>
      </c>
      <c r="E159" s="9" t="s">
        <v>72</v>
      </c>
      <c r="F159" s="8">
        <f>(INT(Table_Moldova[[#This Row],[Date]]) - DATE(1970, 1, 1)) * 86400000</f>
        <v>1726876800000</v>
      </c>
      <c r="G159" s="10">
        <f>'GMT Glossary'!$B$7</f>
        <v>3</v>
      </c>
      <c r="H159" s="2" t="str">
        <f>TEXT(IF(B159&lt;0, A159+1+((B159+(G159/24))-(INT(B159+(G159/24)))), A159+(B159+(G159/24))), "yyyy-mm-dd")</f>
        <v>2024-09-21</v>
      </c>
      <c r="I159" s="2" t="str">
        <f>TEXT(IF(B159&lt;0, A159+1+((B159+(G159/24))-(INT(B159+(G159/24)))), A159+(B159+(G159/24))), "hh:mm")</f>
        <v>17:00</v>
      </c>
    </row>
    <row r="160" spans="1:9" x14ac:dyDescent="0.25">
      <c r="A160" s="46">
        <v>45556</v>
      </c>
      <c r="B160" s="38">
        <v>0.66666666666666663</v>
      </c>
      <c r="C160" s="49" t="s">
        <v>8</v>
      </c>
      <c r="D160" s="61" t="s">
        <v>136</v>
      </c>
      <c r="E160" s="9" t="s">
        <v>72</v>
      </c>
      <c r="F160" s="8">
        <f>(INT(Table_Moldova[[#This Row],[Date]]) - DATE(1970, 1, 1)) * 86400000</f>
        <v>1726876800000</v>
      </c>
      <c r="G160">
        <f>'GMT Glossary'!$B$7</f>
        <v>3</v>
      </c>
      <c r="H160" s="2" t="str">
        <f>TEXT(IF(B160&lt;0, A160+1+((B160+(G160/24))-(INT(B160+(G160/24)))), A160+(B160+(G160/24))), "yyyy-mm-dd")</f>
        <v>2024-09-21</v>
      </c>
      <c r="I160" s="2" t="str">
        <f>TEXT(IF(B160&lt;0, A160+1+((B160+(G160/24))-(INT(B160+(G160/24)))), A160+(B160+(G160/24))), "hh:mm")</f>
        <v>19:00</v>
      </c>
    </row>
    <row r="161" spans="1:9" x14ac:dyDescent="0.25">
      <c r="A161" s="63">
        <v>45556</v>
      </c>
      <c r="B161" s="88">
        <v>0.6875</v>
      </c>
      <c r="C161" s="86" t="s">
        <v>8</v>
      </c>
      <c r="D161" s="56" t="s">
        <v>212</v>
      </c>
      <c r="E161" s="9" t="s">
        <v>21</v>
      </c>
      <c r="F161" s="8">
        <f>(INT(Table_Moldova[[#This Row],[Date]]) - DATE(1970, 1, 1)) * 86400000</f>
        <v>1726876800000</v>
      </c>
      <c r="G161" s="10">
        <f>'GMT Glossary'!$B$7</f>
        <v>3</v>
      </c>
      <c r="H161" s="2" t="str">
        <f>TEXT(IF(B161&lt;0, A161+1+((B161+(G161/24))-(INT(B161+(G161/24)))), A161+(B161+(G161/24))), "yyyy-mm-dd")</f>
        <v>2024-09-21</v>
      </c>
      <c r="I161" s="2" t="str">
        <f>TEXT(IF(B161&lt;0, A161+1+((B161+(G161/24))-(INT(B161+(G161/24)))), A161+(B161+(G161/24))), "hh:mm")</f>
        <v>19:30</v>
      </c>
    </row>
    <row r="162" spans="1:9" ht="15.75" x14ac:dyDescent="0.25">
      <c r="A162" s="14">
        <v>45556</v>
      </c>
      <c r="B162" s="19">
        <v>0.6875</v>
      </c>
      <c r="C162" s="95" t="s">
        <v>8</v>
      </c>
      <c r="D162" s="16" t="s">
        <v>290</v>
      </c>
      <c r="E162" s="32" t="s">
        <v>100</v>
      </c>
      <c r="F162" s="8">
        <f>(INT(Table_Moldova[[#This Row],[Date]]) - DATE(1970, 1, 1)) * 86400000</f>
        <v>1726876800000</v>
      </c>
      <c r="G162" s="10">
        <f>'GMT Glossary'!$B$7</f>
        <v>3</v>
      </c>
      <c r="H162" s="2" t="str">
        <f>TEXT(IF(B162&lt;0, A162+1+((B162+(G162/24))-(INT(B162+(G162/24)))), A162+(B162+(G162/24))), "yyyy-mm-dd")</f>
        <v>2024-09-21</v>
      </c>
      <c r="I162" s="2" t="str">
        <f>TEXT(IF(B162&lt;0, A162+1+((B162+(G162/24))-(INT(B162+(G162/24)))), A162+(B162+(G162/24))), "hh:mm")</f>
        <v>19:30</v>
      </c>
    </row>
    <row r="163" spans="1:9" ht="15.75" x14ac:dyDescent="0.25">
      <c r="A163" s="14">
        <v>45556</v>
      </c>
      <c r="B163" s="19">
        <v>0.78125</v>
      </c>
      <c r="C163" s="95" t="s">
        <v>8</v>
      </c>
      <c r="D163" s="16" t="s">
        <v>291</v>
      </c>
      <c r="E163" s="32" t="s">
        <v>100</v>
      </c>
      <c r="F163" s="8">
        <f>(INT(Table_Moldova[[#This Row],[Date]]) - DATE(1970, 1, 1)) * 86400000</f>
        <v>1726876800000</v>
      </c>
      <c r="G163" s="10">
        <f>'GMT Glossary'!$B$7</f>
        <v>3</v>
      </c>
      <c r="H163" s="2" t="str">
        <f>TEXT(IF(B163&lt;0, A163+1+((B163+(G163/24))-(INT(B163+(G163/24)))), A163+(B163+(G163/24))), "yyyy-mm-dd")</f>
        <v>2024-09-21</v>
      </c>
      <c r="I163" s="2" t="str">
        <f>TEXT(IF(B163&lt;0, A163+1+((B163+(G163/24))-(INT(B163+(G163/24)))), A163+(B163+(G163/24))), "hh:mm")</f>
        <v>21:45</v>
      </c>
    </row>
    <row r="164" spans="1:9" x14ac:dyDescent="0.25">
      <c r="A164" s="63">
        <v>45556</v>
      </c>
      <c r="B164" s="88">
        <v>0.79166666666666663</v>
      </c>
      <c r="C164" s="86" t="s">
        <v>8</v>
      </c>
      <c r="D164" s="56" t="s">
        <v>213</v>
      </c>
      <c r="E164" s="9" t="s">
        <v>21</v>
      </c>
      <c r="F164" s="8">
        <f>(INT(Table_Moldova[[#This Row],[Date]]) - DATE(1970, 1, 1)) * 86400000</f>
        <v>1726876800000</v>
      </c>
      <c r="G164" s="10">
        <f>'GMT Glossary'!$B$7</f>
        <v>3</v>
      </c>
      <c r="H164" s="2" t="str">
        <f>TEXT(IF(B164&lt;0, A164+1+((B164+(G164/24))-(INT(B164+(G164/24)))), A164+(B164+(G164/24))), "yyyy-mm-dd")</f>
        <v>2024-09-21</v>
      </c>
      <c r="I164" s="2" t="str">
        <f>TEXT(IF(B164&lt;0, A164+1+((B164+(G164/24))-(INT(B164+(G164/24)))), A164+(B164+(G164/24))), "hh:mm")</f>
        <v>22:00</v>
      </c>
    </row>
    <row r="165" spans="1:9" x14ac:dyDescent="0.25">
      <c r="A165" s="46">
        <v>45556</v>
      </c>
      <c r="B165" s="38">
        <v>0.79166666666666663</v>
      </c>
      <c r="C165" s="49" t="s">
        <v>8</v>
      </c>
      <c r="D165" s="61" t="s">
        <v>137</v>
      </c>
      <c r="E165" s="9" t="s">
        <v>72</v>
      </c>
      <c r="F165" s="8">
        <f>(INT(Table_Moldova[[#This Row],[Date]]) - DATE(1970, 1, 1)) * 86400000</f>
        <v>1726876800000</v>
      </c>
      <c r="G165" s="10">
        <f>'GMT Glossary'!$B$7</f>
        <v>3</v>
      </c>
      <c r="H165" s="2" t="str">
        <f>TEXT(IF(B165&lt;0, A165+1+((B165+(G165/24))-(INT(B165+(G165/24)))), A165+(B165+(G165/24))), "yyyy-mm-dd")</f>
        <v>2024-09-21</v>
      </c>
      <c r="I165" s="2" t="str">
        <f>TEXT(IF(B165&lt;0, A165+1+((B165+(G165/24))-(INT(B165+(G165/24)))), A165+(B165+(G165/24))), "hh:mm")</f>
        <v>22:00</v>
      </c>
    </row>
    <row r="166" spans="1:9" x14ac:dyDescent="0.25">
      <c r="A166" s="63">
        <v>45556</v>
      </c>
      <c r="B166" s="88">
        <v>0.875</v>
      </c>
      <c r="C166" s="96" t="s">
        <v>8</v>
      </c>
      <c r="D166" s="58" t="s">
        <v>79</v>
      </c>
      <c r="E166" s="31" t="s">
        <v>21</v>
      </c>
      <c r="F166" s="8">
        <f>(INT(Table_Moldova[[#This Row],[Date]]) - DATE(1970, 1, 1)) * 86400000</f>
        <v>1726876800000</v>
      </c>
      <c r="G166">
        <f>'GMT Glossary'!$B$7</f>
        <v>3</v>
      </c>
      <c r="H166" s="2" t="str">
        <f>TEXT(IF(B166&lt;0, A166+1+((B166+(G166/24))-(INT(B166+(G166/24)))), A166+(B166+(G166/24))), "yyyy-mm-dd")</f>
        <v>2024-09-22</v>
      </c>
      <c r="I166" s="2" t="str">
        <f>TEXT(IF(B166&lt;0, A166+1+((B166+(G166/24))-(INT(B166+(G166/24)))), A166+(B166+(G166/24))), "hh:mm")</f>
        <v>00:00</v>
      </c>
    </row>
    <row r="167" spans="1:9" x14ac:dyDescent="0.25">
      <c r="A167" s="46">
        <v>45556</v>
      </c>
      <c r="B167" s="38">
        <v>0.875</v>
      </c>
      <c r="C167" s="97" t="s">
        <v>8</v>
      </c>
      <c r="D167" s="58" t="s">
        <v>244</v>
      </c>
      <c r="E167" s="31" t="s">
        <v>72</v>
      </c>
      <c r="F167" s="8">
        <f>(INT(Table_Moldova[[#This Row],[Date]]) - DATE(1970, 1, 1)) * 86400000</f>
        <v>1726876800000</v>
      </c>
      <c r="G167" s="10">
        <f>'GMT Glossary'!$B$7</f>
        <v>3</v>
      </c>
      <c r="H167" s="2" t="str">
        <f>TEXT(IF(B167&lt;0, A167+1+((B167+(G167/24))-(INT(B167+(G167/24)))), A167+(B167+(G167/24))), "yyyy-mm-dd")</f>
        <v>2024-09-22</v>
      </c>
      <c r="I167" s="2" t="str">
        <f>TEXT(IF(B167&lt;0, A167+1+((B167+(G167/24))-(INT(B167+(G167/24)))), A167+(B167+(G167/24))), "hh:mm")</f>
        <v>00:00</v>
      </c>
    </row>
    <row r="168" spans="1:9" ht="15.75" x14ac:dyDescent="0.25">
      <c r="A168" s="14">
        <v>45556</v>
      </c>
      <c r="B168" s="19">
        <v>0.875</v>
      </c>
      <c r="C168" s="94" t="s">
        <v>8</v>
      </c>
      <c r="D168" s="16" t="s">
        <v>139</v>
      </c>
      <c r="E168" s="13" t="s">
        <v>100</v>
      </c>
      <c r="F168" s="8">
        <f>(INT(Table_Moldova[[#This Row],[Date]]) - DATE(1970, 1, 1)) * 86400000</f>
        <v>1726876800000</v>
      </c>
      <c r="G168" s="10">
        <f>'GMT Glossary'!$B$7</f>
        <v>3</v>
      </c>
      <c r="H168" s="2" t="str">
        <f>TEXT(IF(B168&lt;0, A168+1+((B168+(G168/24))-(INT(B168+(G168/24)))), A168+(B168+(G168/24))), "yyyy-mm-dd")</f>
        <v>2024-09-22</v>
      </c>
      <c r="I168" s="2" t="str">
        <f>TEXT(IF(B168&lt;0, A168+1+((B168+(G168/24))-(INT(B168+(G168/24)))), A168+(B168+(G168/24))), "hh:mm")</f>
        <v>00:00</v>
      </c>
    </row>
    <row r="169" spans="1:9" x14ac:dyDescent="0.25">
      <c r="A169" s="63">
        <v>45556</v>
      </c>
      <c r="B169" s="88">
        <v>0.95833333333333337</v>
      </c>
      <c r="C169" s="96" t="s">
        <v>8</v>
      </c>
      <c r="D169" s="58" t="s">
        <v>214</v>
      </c>
      <c r="E169" s="31" t="s">
        <v>21</v>
      </c>
      <c r="F169" s="8">
        <f>(INT(Table_Moldova[[#This Row],[Date]]) - DATE(1970, 1, 1)) * 86400000</f>
        <v>1726876800000</v>
      </c>
      <c r="G169" s="10">
        <f>'GMT Glossary'!$B$7</f>
        <v>3</v>
      </c>
      <c r="H169" s="2" t="str">
        <f>TEXT(IF(B169&lt;0, A169+1+((B169+(G169/24))-(INT(B169+(G169/24)))), A169+(B169+(G169/24))), "yyyy-mm-dd")</f>
        <v>2024-09-22</v>
      </c>
      <c r="I169" s="2" t="str">
        <f>TEXT(IF(B169&lt;0, A169+1+((B169+(G169/24))-(INT(B169+(G169/24)))), A169+(B169+(G169/24))), "hh:mm")</f>
        <v>02:00</v>
      </c>
    </row>
    <row r="170" spans="1:9" x14ac:dyDescent="0.25">
      <c r="A170" s="46">
        <v>45556</v>
      </c>
      <c r="B170" s="38">
        <v>0.95833333333333337</v>
      </c>
      <c r="C170" s="97" t="s">
        <v>8</v>
      </c>
      <c r="D170" s="55" t="s">
        <v>64</v>
      </c>
      <c r="E170" s="31" t="s">
        <v>72</v>
      </c>
      <c r="F170" s="8">
        <f>(INT(Table_Moldova[[#This Row],[Date]]) - DATE(1970, 1, 1)) * 86400000</f>
        <v>1726876800000</v>
      </c>
      <c r="G170">
        <f>'GMT Glossary'!$B$7</f>
        <v>3</v>
      </c>
      <c r="H170" s="2" t="str">
        <f>TEXT(IF(B170&lt;0, A170+1+((B170+(G170/24))-(INT(B170+(G170/24)))), A170+(B170+(G170/24))), "yyyy-mm-dd")</f>
        <v>2024-09-22</v>
      </c>
      <c r="I170" s="2" t="str">
        <f>TEXT(IF(B170&lt;0, A170+1+((B170+(G170/24))-(INT(B170+(G170/24)))), A170+(B170+(G170/24))), "hh:mm")</f>
        <v>02:00</v>
      </c>
    </row>
    <row r="171" spans="1:9" ht="15.75" x14ac:dyDescent="0.25">
      <c r="A171" s="14">
        <v>45556</v>
      </c>
      <c r="B171" s="19">
        <v>0.95833333333333337</v>
      </c>
      <c r="C171" s="94" t="s">
        <v>8</v>
      </c>
      <c r="D171" s="16" t="s">
        <v>135</v>
      </c>
      <c r="E171" s="13" t="s">
        <v>100</v>
      </c>
      <c r="F171" s="8">
        <f>(INT(Table_Moldova[[#This Row],[Date]]) - DATE(1970, 1, 1)) * 86400000</f>
        <v>1726876800000</v>
      </c>
      <c r="G171" s="10">
        <f>'GMT Glossary'!$B$7</f>
        <v>3</v>
      </c>
      <c r="H171" s="2" t="str">
        <f>TEXT(IF(B171&lt;0, A171+1+((B171+(G171/24))-(INT(B171+(G171/24)))), A171+(B171+(G171/24))), "yyyy-mm-dd")</f>
        <v>2024-09-22</v>
      </c>
      <c r="I171" s="2" t="str">
        <f>TEXT(IF(B171&lt;0, A171+1+((B171+(G171/24))-(INT(B171+(G171/24)))), A171+(B171+(G171/24))), "hh:mm")</f>
        <v>02:00</v>
      </c>
    </row>
    <row r="172" spans="1:9" x14ac:dyDescent="0.25">
      <c r="A172" s="63">
        <v>45557</v>
      </c>
      <c r="B172" s="88">
        <v>4.1666666666666664E-2</v>
      </c>
      <c r="C172" s="96" t="s">
        <v>8</v>
      </c>
      <c r="D172" s="58" t="s">
        <v>77</v>
      </c>
      <c r="E172" s="31" t="s">
        <v>21</v>
      </c>
      <c r="F172" s="8">
        <f>(INT(Table_Moldova[[#This Row],[Date]]) - DATE(1970, 1, 1)) * 86400000</f>
        <v>1726963200000</v>
      </c>
      <c r="G172" s="10">
        <f>'GMT Glossary'!$B$7</f>
        <v>3</v>
      </c>
      <c r="H172" s="2" t="str">
        <f>TEXT(IF(B172&lt;0, A172+1+((B172+(G172/24))-(INT(B172+(G172/24)))), A172+(B172+(G172/24))), "yyyy-mm-dd")</f>
        <v>2024-09-22</v>
      </c>
      <c r="I172" s="2" t="str">
        <f>TEXT(IF(B172&lt;0, A172+1+((B172+(G172/24))-(INT(B172+(G172/24)))), A172+(B172+(G172/24))), "hh:mm")</f>
        <v>04:00</v>
      </c>
    </row>
    <row r="173" spans="1:9" x14ac:dyDescent="0.25">
      <c r="A173" s="46">
        <v>45557</v>
      </c>
      <c r="B173" s="38">
        <v>4.1666666666666664E-2</v>
      </c>
      <c r="C173" s="97" t="s">
        <v>8</v>
      </c>
      <c r="D173" s="55" t="s">
        <v>139</v>
      </c>
      <c r="E173" s="31" t="s">
        <v>72</v>
      </c>
      <c r="F173" s="8">
        <f>(INT(Table_Moldova[[#This Row],[Date]]) - DATE(1970, 1, 1)) * 86400000</f>
        <v>1726963200000</v>
      </c>
      <c r="G173" s="10">
        <f>'GMT Glossary'!$B$7</f>
        <v>3</v>
      </c>
      <c r="H173" s="2" t="str">
        <f>TEXT(IF(B173&lt;0, A173+1+((B173+(G173/24))-(INT(B173+(G173/24)))), A173+(B173+(G173/24))), "yyyy-mm-dd")</f>
        <v>2024-09-22</v>
      </c>
      <c r="I173" s="2" t="str">
        <f>TEXT(IF(B173&lt;0, A173+1+((B173+(G173/24))-(INT(B173+(G173/24)))), A173+(B173+(G173/24))), "hh:mm")</f>
        <v>04:00</v>
      </c>
    </row>
    <row r="174" spans="1:9" ht="15.75" x14ac:dyDescent="0.25">
      <c r="A174" s="14">
        <v>45557</v>
      </c>
      <c r="B174" s="19">
        <v>4.1666666666666664E-2</v>
      </c>
      <c r="C174" s="94" t="s">
        <v>398</v>
      </c>
      <c r="D174" s="16" t="s">
        <v>92</v>
      </c>
      <c r="E174" s="13" t="s">
        <v>100</v>
      </c>
      <c r="F174" s="8">
        <f>(INT(Table_Moldova[[#This Row],[Date]]) - DATE(1970, 1, 1)) * 86400000</f>
        <v>1726963200000</v>
      </c>
      <c r="G174" s="10">
        <f>'GMT Glossary'!$B$7</f>
        <v>3</v>
      </c>
      <c r="H174" s="2" t="str">
        <f>TEXT(IF(B174&lt;0, A174+1+((B174+(G174/24))-(INT(B174+(G174/24)))), A174+(B174+(G174/24))), "yyyy-mm-dd")</f>
        <v>2024-09-22</v>
      </c>
      <c r="I174" s="2" t="str">
        <f>TEXT(IF(B174&lt;0, A174+1+((B174+(G174/24))-(INT(B174+(G174/24)))), A174+(B174+(G174/24))), "hh:mm")</f>
        <v>04:00</v>
      </c>
    </row>
    <row r="175" spans="1:9" x14ac:dyDescent="0.25">
      <c r="A175" s="63">
        <v>45557</v>
      </c>
      <c r="B175" s="88">
        <v>0.125</v>
      </c>
      <c r="C175" s="96" t="s">
        <v>8</v>
      </c>
      <c r="D175" s="58" t="s">
        <v>195</v>
      </c>
      <c r="E175" s="31" t="s">
        <v>21</v>
      </c>
      <c r="F175" s="8">
        <f>(INT(Table_Moldova[[#This Row],[Date]]) - DATE(1970, 1, 1)) * 86400000</f>
        <v>1726963200000</v>
      </c>
      <c r="G175">
        <f>'GMT Glossary'!$B$7</f>
        <v>3</v>
      </c>
      <c r="H175" s="2" t="str">
        <f>TEXT(IF(B175&lt;0, A175+1+((B175+(G175/24))-(INT(B175+(G175/24)))), A175+(B175+(G175/24))), "yyyy-mm-dd")</f>
        <v>2024-09-22</v>
      </c>
      <c r="I175" s="2" t="str">
        <f>TEXT(IF(B175&lt;0, A175+1+((B175+(G175/24))-(INT(B175+(G175/24)))), A175+(B175+(G175/24))), "hh:mm")</f>
        <v>06:00</v>
      </c>
    </row>
    <row r="176" spans="1:9" x14ac:dyDescent="0.25">
      <c r="A176" s="46">
        <v>45557</v>
      </c>
      <c r="B176" s="38">
        <v>0.125</v>
      </c>
      <c r="C176" s="97" t="s">
        <v>8</v>
      </c>
      <c r="D176" s="58" t="s">
        <v>244</v>
      </c>
      <c r="E176" s="31" t="s">
        <v>72</v>
      </c>
      <c r="F176" s="8">
        <f>(INT(Table_Moldova[[#This Row],[Date]]) - DATE(1970, 1, 1)) * 86400000</f>
        <v>1726963200000</v>
      </c>
      <c r="G176" s="10">
        <f>'GMT Glossary'!$B$7</f>
        <v>3</v>
      </c>
      <c r="H176" s="2" t="str">
        <f>TEXT(IF(B176&lt;0, A176+1+((B176+(G176/24))-(INT(B176+(G176/24)))), A176+(B176+(G176/24))), "yyyy-mm-dd")</f>
        <v>2024-09-22</v>
      </c>
      <c r="I176" s="2" t="str">
        <f>TEXT(IF(B176&lt;0, A176+1+((B176+(G176/24))-(INT(B176+(G176/24)))), A176+(B176+(G176/24))), "hh:mm")</f>
        <v>06:00</v>
      </c>
    </row>
    <row r="177" spans="1:9" ht="15.75" x14ac:dyDescent="0.25">
      <c r="A177" s="14">
        <v>45557</v>
      </c>
      <c r="B177" s="19">
        <v>0.125</v>
      </c>
      <c r="C177" s="94" t="s">
        <v>8</v>
      </c>
      <c r="D177" s="16" t="s">
        <v>282</v>
      </c>
      <c r="E177" s="13" t="s">
        <v>100</v>
      </c>
      <c r="F177" s="8">
        <f>(INT(Table_Moldova[[#This Row],[Date]]) - DATE(1970, 1, 1)) * 86400000</f>
        <v>1726963200000</v>
      </c>
      <c r="G177" s="10">
        <f>'GMT Glossary'!$B$7</f>
        <v>3</v>
      </c>
      <c r="H177" s="2" t="str">
        <f>TEXT(IF(B177&lt;0, A177+1+((B177+(G177/24))-(INT(B177+(G177/24)))), A177+(B177+(G177/24))), "yyyy-mm-dd")</f>
        <v>2024-09-22</v>
      </c>
      <c r="I177" s="2" t="str">
        <f>TEXT(IF(B177&lt;0, A177+1+((B177+(G177/24))-(INT(B177+(G177/24)))), A177+(B177+(G177/24))), "hh:mm")</f>
        <v>06:00</v>
      </c>
    </row>
    <row r="178" spans="1:9" x14ac:dyDescent="0.25">
      <c r="A178" s="63">
        <v>45557</v>
      </c>
      <c r="B178" s="88">
        <v>0.20833333333333334</v>
      </c>
      <c r="C178" s="96" t="s">
        <v>8</v>
      </c>
      <c r="D178" s="58" t="s">
        <v>129</v>
      </c>
      <c r="E178" s="31" t="s">
        <v>21</v>
      </c>
      <c r="F178" s="8">
        <f>(INT(Table_Moldova[[#This Row],[Date]]) - DATE(1970, 1, 1)) * 86400000</f>
        <v>1726963200000</v>
      </c>
      <c r="G178" s="10">
        <f>'GMT Glossary'!$B$7</f>
        <v>3</v>
      </c>
      <c r="H178" s="2" t="str">
        <f>TEXT(IF(B178&lt;0, A178+1+((B178+(G178/24))-(INT(B178+(G178/24)))), A178+(B178+(G178/24))), "yyyy-mm-dd")</f>
        <v>2024-09-22</v>
      </c>
      <c r="I178" s="2" t="str">
        <f>TEXT(IF(B178&lt;0, A178+1+((B178+(G178/24))-(INT(B178+(G178/24)))), A178+(B178+(G178/24))), "hh:mm")</f>
        <v>08:00</v>
      </c>
    </row>
    <row r="179" spans="1:9" x14ac:dyDescent="0.25">
      <c r="A179" s="46">
        <v>45557</v>
      </c>
      <c r="B179" s="38">
        <v>0.20833333333333334</v>
      </c>
      <c r="C179" s="97" t="s">
        <v>402</v>
      </c>
      <c r="D179" s="55" t="s">
        <v>85</v>
      </c>
      <c r="E179" s="31" t="s">
        <v>72</v>
      </c>
      <c r="F179" s="8">
        <f>(INT(Table_Moldova[[#This Row],[Date]]) - DATE(1970, 1, 1)) * 86400000</f>
        <v>1726963200000</v>
      </c>
      <c r="G179">
        <f>'GMT Glossary'!$B$7</f>
        <v>3</v>
      </c>
      <c r="H179" s="2" t="str">
        <f>TEXT(IF(B179&lt;0, A179+1+((B179+(G179/24))-(INT(B179+(G179/24)))), A179+(B179+(G179/24))), "yyyy-mm-dd")</f>
        <v>2024-09-22</v>
      </c>
      <c r="I179" s="2" t="str">
        <f>TEXT(IF(B179&lt;0, A179+1+((B179+(G179/24))-(INT(B179+(G179/24)))), A179+(B179+(G179/24))), "hh:mm")</f>
        <v>08:00</v>
      </c>
    </row>
    <row r="180" spans="1:9" ht="15.75" x14ac:dyDescent="0.25">
      <c r="A180" s="14">
        <v>45557</v>
      </c>
      <c r="B180" s="19">
        <v>0.20833333333333334</v>
      </c>
      <c r="C180" s="94" t="s">
        <v>8</v>
      </c>
      <c r="D180" s="16" t="s">
        <v>292</v>
      </c>
      <c r="E180" s="13" t="s">
        <v>100</v>
      </c>
      <c r="F180" s="8">
        <f>(INT(Table_Moldova[[#This Row],[Date]]) - DATE(1970, 1, 1)) * 86400000</f>
        <v>1726963200000</v>
      </c>
      <c r="G180" s="10">
        <f>'GMT Glossary'!$B$7</f>
        <v>3</v>
      </c>
      <c r="H180" s="2" t="str">
        <f>TEXT(IF(B180&lt;0, A180+1+((B180+(G180/24))-(INT(B180+(G180/24)))), A180+(B180+(G180/24))), "yyyy-mm-dd")</f>
        <v>2024-09-22</v>
      </c>
      <c r="I180" s="2" t="str">
        <f>TEXT(IF(B180&lt;0, A180+1+((B180+(G180/24))-(INT(B180+(G180/24)))), A180+(B180+(G180/24))), "hh:mm")</f>
        <v>08:00</v>
      </c>
    </row>
    <row r="181" spans="1:9" ht="15.75" x14ac:dyDescent="0.25">
      <c r="A181" s="14">
        <v>45557</v>
      </c>
      <c r="B181" s="19">
        <v>0.29166666666666663</v>
      </c>
      <c r="C181" s="94" t="s">
        <v>8</v>
      </c>
      <c r="D181" s="16" t="s">
        <v>273</v>
      </c>
      <c r="E181" s="13" t="s">
        <v>100</v>
      </c>
      <c r="F181" s="8">
        <f>(INT(Table_Moldova[[#This Row],[Date]]) - DATE(1970, 1, 1)) * 86400000</f>
        <v>1726963200000</v>
      </c>
      <c r="G181" s="10">
        <f>'GMT Glossary'!$B$7</f>
        <v>3</v>
      </c>
      <c r="H181" s="2" t="str">
        <f>TEXT(IF(B181&lt;0, A181+1+((B181+(G181/24))-(INT(B181+(G181/24)))), A181+(B181+(G181/24))), "yyyy-mm-dd")</f>
        <v>2024-09-22</v>
      </c>
      <c r="I181" s="2" t="str">
        <f>TEXT(IF(B181&lt;0, A181+1+((B181+(G181/24))-(INT(B181+(G181/24)))), A181+(B181+(G181/24))), "hh:mm")</f>
        <v>10:00</v>
      </c>
    </row>
    <row r="182" spans="1:9" x14ac:dyDescent="0.25">
      <c r="A182" s="63">
        <v>45557</v>
      </c>
      <c r="B182" s="88">
        <v>0.29166666666666669</v>
      </c>
      <c r="C182" s="96" t="s">
        <v>8</v>
      </c>
      <c r="D182" s="58" t="s">
        <v>74</v>
      </c>
      <c r="E182" s="31" t="s">
        <v>21</v>
      </c>
      <c r="F182" s="8">
        <f>(INT(Table_Moldova[[#This Row],[Date]]) - DATE(1970, 1, 1)) * 86400000</f>
        <v>1726963200000</v>
      </c>
      <c r="G182" s="10">
        <f>'GMT Glossary'!$B$7</f>
        <v>3</v>
      </c>
      <c r="H182" s="2" t="str">
        <f>TEXT(IF(B182&lt;0, A182+1+((B182+(G182/24))-(INT(B182+(G182/24)))), A182+(B182+(G182/24))), "yyyy-mm-dd")</f>
        <v>2024-09-22</v>
      </c>
      <c r="I182" s="2" t="str">
        <f>TEXT(IF(B182&lt;0, A182+1+((B182+(G182/24))-(INT(B182+(G182/24)))), A182+(B182+(G182/24))), "hh:mm")</f>
        <v>10:00</v>
      </c>
    </row>
    <row r="183" spans="1:9" x14ac:dyDescent="0.25">
      <c r="A183" s="46">
        <v>45557</v>
      </c>
      <c r="B183" s="38">
        <v>0.29166666666666669</v>
      </c>
      <c r="C183" s="97" t="s">
        <v>398</v>
      </c>
      <c r="D183" s="56" t="s">
        <v>245</v>
      </c>
      <c r="E183" s="31" t="s">
        <v>72</v>
      </c>
      <c r="F183" s="8">
        <f>(INT(Table_Moldova[[#This Row],[Date]]) - DATE(1970, 1, 1)) * 86400000</f>
        <v>1726963200000</v>
      </c>
      <c r="G183" s="10">
        <f>'GMT Glossary'!$B$7</f>
        <v>3</v>
      </c>
      <c r="H183" s="2" t="str">
        <f>TEXT(IF(B183&lt;0, A183+1+((B183+(G183/24))-(INT(B183+(G183/24)))), A183+(B183+(G183/24))), "yyyy-mm-dd")</f>
        <v>2024-09-22</v>
      </c>
      <c r="I183" s="2" t="str">
        <f>TEXT(IF(B183&lt;0, A183+1+((B183+(G183/24))-(INT(B183+(G183/24)))), A183+(B183+(G183/24))), "hh:mm")</f>
        <v>10:00</v>
      </c>
    </row>
    <row r="184" spans="1:9" x14ac:dyDescent="0.25">
      <c r="A184" s="63">
        <v>45557</v>
      </c>
      <c r="B184" s="88">
        <v>0.375</v>
      </c>
      <c r="C184" s="96" t="s">
        <v>8</v>
      </c>
      <c r="D184" s="58" t="s">
        <v>59</v>
      </c>
      <c r="E184" s="31" t="s">
        <v>21</v>
      </c>
      <c r="F184" s="8">
        <f>(INT(Table_Moldova[[#This Row],[Date]]) - DATE(1970, 1, 1)) * 86400000</f>
        <v>1726963200000</v>
      </c>
      <c r="G184" s="10">
        <f>'GMT Glossary'!$B$7</f>
        <v>3</v>
      </c>
      <c r="H184" s="2" t="str">
        <f>TEXT(IF(B184&lt;0, A184+1+((B184+(G184/24))-(INT(B184+(G184/24)))), A184+(B184+(G184/24))), "yyyy-mm-dd")</f>
        <v>2024-09-22</v>
      </c>
      <c r="I184" s="2" t="str">
        <f>TEXT(IF(B184&lt;0, A184+1+((B184+(G184/24))-(INT(B184+(G184/24)))), A184+(B184+(G184/24))), "hh:mm")</f>
        <v>12:00</v>
      </c>
    </row>
    <row r="185" spans="1:9" x14ac:dyDescent="0.25">
      <c r="A185" s="46">
        <v>45557</v>
      </c>
      <c r="B185" s="38">
        <v>0.375</v>
      </c>
      <c r="C185" s="97" t="s">
        <v>8</v>
      </c>
      <c r="D185" s="55" t="s">
        <v>141</v>
      </c>
      <c r="E185" s="31" t="s">
        <v>72</v>
      </c>
      <c r="F185" s="8">
        <f>(INT(Table_Moldova[[#This Row],[Date]]) - DATE(1970, 1, 1)) * 86400000</f>
        <v>1726963200000</v>
      </c>
      <c r="G185" s="10">
        <f>'GMT Glossary'!$B$7</f>
        <v>3</v>
      </c>
      <c r="H185" s="2" t="str">
        <f>TEXT(IF(B185&lt;0, A185+1+((B185+(G185/24))-(INT(B185+(G185/24)))), A185+(B185+(G185/24))), "yyyy-mm-dd")</f>
        <v>2024-09-22</v>
      </c>
      <c r="I185" s="2" t="str">
        <f>TEXT(IF(B185&lt;0, A185+1+((B185+(G185/24))-(INT(B185+(G185/24)))), A185+(B185+(G185/24))), "hh:mm")</f>
        <v>12:00</v>
      </c>
    </row>
    <row r="186" spans="1:9" ht="15.75" x14ac:dyDescent="0.25">
      <c r="A186" s="14">
        <v>45557</v>
      </c>
      <c r="B186" s="19">
        <v>0.375</v>
      </c>
      <c r="C186" s="94" t="s">
        <v>8</v>
      </c>
      <c r="D186" s="16" t="s">
        <v>223</v>
      </c>
      <c r="E186" s="13" t="s">
        <v>100</v>
      </c>
      <c r="F186" s="8">
        <f>(INT(Table_Moldova[[#This Row],[Date]]) - DATE(1970, 1, 1)) * 86400000</f>
        <v>1726963200000</v>
      </c>
      <c r="G186" s="10">
        <f>'GMT Glossary'!$B$7</f>
        <v>3</v>
      </c>
      <c r="H186" s="2" t="str">
        <f>TEXT(IF(B186&lt;0, A186+1+((B186+(G186/24))-(INT(B186+(G186/24)))), A186+(B186+(G186/24))), "yyyy-mm-dd")</f>
        <v>2024-09-22</v>
      </c>
      <c r="I186" s="2" t="str">
        <f>TEXT(IF(B186&lt;0, A186+1+((B186+(G186/24))-(INT(B186+(G186/24)))), A186+(B186+(G186/24))), "hh:mm")</f>
        <v>12:00</v>
      </c>
    </row>
    <row r="187" spans="1:9" x14ac:dyDescent="0.25">
      <c r="A187" s="63">
        <v>45557</v>
      </c>
      <c r="B187" s="88">
        <v>0.4375</v>
      </c>
      <c r="C187" s="96" t="s">
        <v>8</v>
      </c>
      <c r="D187" s="56" t="s">
        <v>215</v>
      </c>
      <c r="E187" s="31" t="s">
        <v>21</v>
      </c>
      <c r="F187" s="8">
        <f>(INT(Table_Moldova[[#This Row],[Date]]) - DATE(1970, 1, 1)) * 86400000</f>
        <v>1726963200000</v>
      </c>
      <c r="G187" s="10">
        <f>'GMT Glossary'!$B$7</f>
        <v>3</v>
      </c>
      <c r="H187" s="2" t="str">
        <f>TEXT(IF(B187&lt;0, A187+1+((B187+(G187/24))-(INT(B187+(G187/24)))), A187+(B187+(G187/24))), "yyyy-mm-dd")</f>
        <v>2024-09-22</v>
      </c>
      <c r="I187" s="2" t="str">
        <f>TEXT(IF(B187&lt;0, A187+1+((B187+(G187/24))-(INT(B187+(G187/24)))), A187+(B187+(G187/24))), "hh:mm")</f>
        <v>13:30</v>
      </c>
    </row>
    <row r="188" spans="1:9" ht="15.75" x14ac:dyDescent="0.25">
      <c r="A188" s="14">
        <v>45557</v>
      </c>
      <c r="B188" s="19">
        <v>0.45833333333333331</v>
      </c>
      <c r="C188" s="94" t="s">
        <v>8</v>
      </c>
      <c r="D188" s="16" t="s">
        <v>293</v>
      </c>
      <c r="E188" s="13" t="s">
        <v>100</v>
      </c>
      <c r="F188" s="8">
        <f>(INT(Table_Moldova[[#This Row],[Date]]) - DATE(1970, 1, 1)) * 86400000</f>
        <v>1726963200000</v>
      </c>
      <c r="G188" s="10">
        <f>'GMT Glossary'!$B$7</f>
        <v>3</v>
      </c>
      <c r="H188" s="2" t="str">
        <f>TEXT(IF(B188&lt;0, A188+1+((B188+(G188/24))-(INT(B188+(G188/24)))), A188+(B188+(G188/24))), "yyyy-mm-dd")</f>
        <v>2024-09-22</v>
      </c>
      <c r="I188" s="2" t="str">
        <f>TEXT(IF(B188&lt;0, A188+1+((B188+(G188/24))-(INT(B188+(G188/24)))), A188+(B188+(G188/24))), "hh:mm")</f>
        <v>14:00</v>
      </c>
    </row>
    <row r="189" spans="1:9" x14ac:dyDescent="0.25">
      <c r="A189" s="46">
        <v>45557</v>
      </c>
      <c r="B189" s="38">
        <v>0.5</v>
      </c>
      <c r="C189" s="97" t="s">
        <v>402</v>
      </c>
      <c r="D189" s="61" t="s">
        <v>246</v>
      </c>
      <c r="E189" s="31" t="s">
        <v>72</v>
      </c>
      <c r="F189" s="8">
        <f>(INT(Table_Moldova[[#This Row],[Date]]) - DATE(1970, 1, 1)) * 86400000</f>
        <v>1726963200000</v>
      </c>
      <c r="G189" s="10">
        <f>'GMT Glossary'!$B$7</f>
        <v>3</v>
      </c>
      <c r="H189" s="2" t="str">
        <f>TEXT(IF(B189&lt;0, A189+1+((B189+(G189/24))-(INT(B189+(G189/24)))), A189+(B189+(G189/24))), "yyyy-mm-dd")</f>
        <v>2024-09-22</v>
      </c>
      <c r="I189" s="2" t="str">
        <f>TEXT(IF(B189&lt;0, A189+1+((B189+(G189/24))-(INT(B189+(G189/24)))), A189+(B189+(G189/24))), "hh:mm")</f>
        <v>15:00</v>
      </c>
    </row>
    <row r="190" spans="1:9" x14ac:dyDescent="0.25">
      <c r="A190" s="63">
        <v>45557</v>
      </c>
      <c r="B190" s="88">
        <v>0.54166666666666663</v>
      </c>
      <c r="C190" s="96" t="s">
        <v>8</v>
      </c>
      <c r="D190" s="56" t="s">
        <v>216</v>
      </c>
      <c r="E190" s="31" t="s">
        <v>21</v>
      </c>
      <c r="F190" s="8">
        <f>(INT(Table_Moldova[[#This Row],[Date]]) - DATE(1970, 1, 1)) * 86400000</f>
        <v>1726963200000</v>
      </c>
      <c r="G190">
        <f>'GMT Glossary'!$B$7</f>
        <v>3</v>
      </c>
      <c r="H190" s="2" t="str">
        <f>TEXT(IF(B190&lt;0, A190+1+((B190+(G190/24))-(INT(B190+(G190/24)))), A190+(B190+(G190/24))), "yyyy-mm-dd")</f>
        <v>2024-09-22</v>
      </c>
      <c r="I190" s="2" t="str">
        <f>TEXT(IF(B190&lt;0, A190+1+((B190+(G190/24))-(INT(B190+(G190/24)))), A190+(B190+(G190/24))), "hh:mm")</f>
        <v>16:00</v>
      </c>
    </row>
    <row r="191" spans="1:9" ht="15.75" x14ac:dyDescent="0.25">
      <c r="A191" s="14">
        <v>45557</v>
      </c>
      <c r="B191" s="19">
        <v>0.54166666666666663</v>
      </c>
      <c r="C191" s="94" t="s">
        <v>8</v>
      </c>
      <c r="D191" s="16" t="s">
        <v>142</v>
      </c>
      <c r="E191" s="13" t="s">
        <v>100</v>
      </c>
      <c r="F191" s="8">
        <f>(INT(Table_Moldova[[#This Row],[Date]]) - DATE(1970, 1, 1)) * 86400000</f>
        <v>1726963200000</v>
      </c>
      <c r="G191" s="10">
        <f>'GMT Glossary'!$B$7</f>
        <v>3</v>
      </c>
      <c r="H191" s="2" t="str">
        <f>TEXT(IF(B191&lt;0, A191+1+((B191+(G191/24))-(INT(B191+(G191/24)))), A191+(B191+(G191/24))), "yyyy-mm-dd")</f>
        <v>2024-09-22</v>
      </c>
      <c r="I191" s="2" t="str">
        <f>TEXT(IF(B191&lt;0, A191+1+((B191+(G191/24))-(INT(B191+(G191/24)))), A191+(B191+(G191/24))), "hh:mm")</f>
        <v>16:00</v>
      </c>
    </row>
    <row r="192" spans="1:9" x14ac:dyDescent="0.25">
      <c r="A192" s="46">
        <v>45557</v>
      </c>
      <c r="B192" s="38">
        <v>0.59375</v>
      </c>
      <c r="C192" s="97" t="s">
        <v>8</v>
      </c>
      <c r="D192" s="61" t="s">
        <v>247</v>
      </c>
      <c r="E192" s="31" t="s">
        <v>72</v>
      </c>
      <c r="F192" s="8">
        <f>(INT(Table_Moldova[[#This Row],[Date]]) - DATE(1970, 1, 1)) * 86400000</f>
        <v>1726963200000</v>
      </c>
      <c r="G192">
        <f>'GMT Glossary'!$B$7</f>
        <v>3</v>
      </c>
      <c r="H192" s="2" t="str">
        <f>TEXT(IF(B192&lt;0, A192+1+((B192+(G192/24))-(INT(B192+(G192/24)))), A192+(B192+(G192/24))), "yyyy-mm-dd")</f>
        <v>2024-09-22</v>
      </c>
      <c r="I192" s="2" t="str">
        <f>TEXT(IF(B192&lt;0, A192+1+((B192+(G192/24))-(INT(B192+(G192/24)))), A192+(B192+(G192/24))), "hh:mm")</f>
        <v>17:15</v>
      </c>
    </row>
    <row r="193" spans="1:9" x14ac:dyDescent="0.25">
      <c r="A193" s="63">
        <v>45557</v>
      </c>
      <c r="B193" s="88">
        <v>0.64583333333333337</v>
      </c>
      <c r="C193" s="96" t="s">
        <v>8</v>
      </c>
      <c r="D193" s="56" t="s">
        <v>217</v>
      </c>
      <c r="E193" s="31" t="s">
        <v>21</v>
      </c>
      <c r="F193" s="8">
        <f>(INT(Table_Moldova[[#This Row],[Date]]) - DATE(1970, 1, 1)) * 86400000</f>
        <v>1726963200000</v>
      </c>
      <c r="G193" s="10">
        <f>'GMT Glossary'!$B$7</f>
        <v>3</v>
      </c>
      <c r="H193" s="2" t="str">
        <f>TEXT(IF(B193&lt;0, A193+1+((B193+(G193/24))-(INT(B193+(G193/24)))), A193+(B193+(G193/24))), "yyyy-mm-dd")</f>
        <v>2024-09-22</v>
      </c>
      <c r="I193" s="2" t="str">
        <f>TEXT(IF(B193&lt;0, A193+1+((B193+(G193/24))-(INT(B193+(G193/24)))), A193+(B193+(G193/24))), "hh:mm")</f>
        <v>18:30</v>
      </c>
    </row>
    <row r="194" spans="1:9" ht="15.75" x14ac:dyDescent="0.25">
      <c r="A194" s="14">
        <v>45557</v>
      </c>
      <c r="B194" s="19">
        <v>0.64583333333333337</v>
      </c>
      <c r="C194" s="94" t="s">
        <v>8</v>
      </c>
      <c r="D194" s="16" t="s">
        <v>294</v>
      </c>
      <c r="E194" s="13" t="s">
        <v>100</v>
      </c>
      <c r="F194" s="8">
        <f>(INT(Table_Moldova[[#This Row],[Date]]) - DATE(1970, 1, 1)) * 86400000</f>
        <v>1726963200000</v>
      </c>
      <c r="G194" s="10">
        <f>'GMT Glossary'!$B$7</f>
        <v>3</v>
      </c>
      <c r="H194" s="2" t="str">
        <f>TEXT(IF(B194&lt;0, A194+1+((B194+(G194/24))-(INT(B194+(G194/24)))), A194+(B194+(G194/24))), "yyyy-mm-dd")</f>
        <v>2024-09-22</v>
      </c>
      <c r="I194" s="2" t="str">
        <f>TEXT(IF(B194&lt;0, A194+1+((B194+(G194/24))-(INT(B194+(G194/24)))), A194+(B194+(G194/24))), "hh:mm")</f>
        <v>18:30</v>
      </c>
    </row>
    <row r="195" spans="1:9" x14ac:dyDescent="0.25">
      <c r="A195" s="46">
        <v>45557</v>
      </c>
      <c r="B195" s="38">
        <v>0.6875</v>
      </c>
      <c r="C195" s="97" t="s">
        <v>8</v>
      </c>
      <c r="D195" s="61" t="s">
        <v>248</v>
      </c>
      <c r="E195" s="31" t="s">
        <v>72</v>
      </c>
      <c r="F195" s="8">
        <f>(INT(Table_Moldova[[#This Row],[Date]]) - DATE(1970, 1, 1)) * 86400000</f>
        <v>1726963200000</v>
      </c>
      <c r="G195" s="10">
        <f>'GMT Glossary'!$B$7</f>
        <v>3</v>
      </c>
      <c r="H195" s="2" t="str">
        <f>TEXT(IF(B195&lt;0, A195+1+((B195+(G195/24))-(INT(B195+(G195/24)))), A195+(B195+(G195/24))), "yyyy-mm-dd")</f>
        <v>2024-09-22</v>
      </c>
      <c r="I195" s="2" t="str">
        <f>TEXT(IF(B195&lt;0, A195+1+((B195+(G195/24))-(INT(B195+(G195/24)))), A195+(B195+(G195/24))), "hh:mm")</f>
        <v>19:30</v>
      </c>
    </row>
    <row r="196" spans="1:9" ht="15.75" x14ac:dyDescent="0.25">
      <c r="A196" s="14">
        <v>45557</v>
      </c>
      <c r="B196" s="19">
        <v>0.72916666666666663</v>
      </c>
      <c r="C196" s="94" t="s">
        <v>8</v>
      </c>
      <c r="D196" s="16" t="s">
        <v>55</v>
      </c>
      <c r="E196" s="13" t="s">
        <v>100</v>
      </c>
      <c r="F196" s="8">
        <f>(INT(Table_Moldova[[#This Row],[Date]]) - DATE(1970, 1, 1)) * 86400000</f>
        <v>1726963200000</v>
      </c>
      <c r="G196" s="10">
        <f>'GMT Glossary'!$B$7</f>
        <v>3</v>
      </c>
      <c r="H196" s="2" t="str">
        <f>TEXT(IF(B196&lt;0, A196+1+((B196+(G196/24))-(INT(B196+(G196/24)))), A196+(B196+(G196/24))), "yyyy-mm-dd")</f>
        <v>2024-09-22</v>
      </c>
      <c r="I196" s="2" t="str">
        <f>TEXT(IF(B196&lt;0, A196+1+((B196+(G196/24))-(INT(B196+(G196/24)))), A196+(B196+(G196/24))), "hh:mm")</f>
        <v>20:30</v>
      </c>
    </row>
    <row r="197" spans="1:9" x14ac:dyDescent="0.25">
      <c r="A197" s="63">
        <v>45557</v>
      </c>
      <c r="B197" s="88">
        <v>0.78125</v>
      </c>
      <c r="C197" s="96" t="s">
        <v>8</v>
      </c>
      <c r="D197" s="56" t="s">
        <v>218</v>
      </c>
      <c r="E197" s="31" t="s">
        <v>21</v>
      </c>
      <c r="F197" s="8">
        <f>(INT(Table_Moldova[[#This Row],[Date]]) - DATE(1970, 1, 1)) * 86400000</f>
        <v>1726963200000</v>
      </c>
      <c r="G197" s="10">
        <f>'GMT Glossary'!$B$7</f>
        <v>3</v>
      </c>
      <c r="H197" s="2" t="str">
        <f>TEXT(IF(B197&lt;0, A197+1+((B197+(G197/24))-(INT(B197+(G197/24)))), A197+(B197+(G197/24))), "yyyy-mm-dd")</f>
        <v>2024-09-22</v>
      </c>
      <c r="I197" s="2" t="str">
        <f>TEXT(IF(B197&lt;0, A197+1+((B197+(G197/24))-(INT(B197+(G197/24)))), A197+(B197+(G197/24))), "hh:mm")</f>
        <v>21:45</v>
      </c>
    </row>
    <row r="198" spans="1:9" x14ac:dyDescent="0.25">
      <c r="A198" s="46">
        <v>45557</v>
      </c>
      <c r="B198" s="38">
        <v>0.78125</v>
      </c>
      <c r="C198" s="97" t="s">
        <v>8</v>
      </c>
      <c r="D198" s="61" t="s">
        <v>249</v>
      </c>
      <c r="E198" s="31" t="s">
        <v>72</v>
      </c>
      <c r="F198" s="8">
        <f>(INT(Table_Moldova[[#This Row],[Date]]) - DATE(1970, 1, 1)) * 86400000</f>
        <v>1726963200000</v>
      </c>
      <c r="G198" s="10">
        <f>'GMT Glossary'!$B$7</f>
        <v>3</v>
      </c>
      <c r="H198" s="2" t="str">
        <f>TEXT(IF(B198&lt;0, A198+1+((B198+(G198/24))-(INT(B198+(G198/24)))), A198+(B198+(G198/24))), "yyyy-mm-dd")</f>
        <v>2024-09-22</v>
      </c>
      <c r="I198" s="2" t="str">
        <f>TEXT(IF(B198&lt;0, A198+1+((B198+(G198/24))-(INT(B198+(G198/24)))), A198+(B198+(G198/24))), "hh:mm")</f>
        <v>21:45</v>
      </c>
    </row>
    <row r="199" spans="1:9" ht="15.75" x14ac:dyDescent="0.25">
      <c r="A199" s="14">
        <v>45557</v>
      </c>
      <c r="B199" s="19">
        <v>0.79166666666666663</v>
      </c>
      <c r="C199" s="94" t="s">
        <v>8</v>
      </c>
      <c r="D199" s="16" t="s">
        <v>295</v>
      </c>
      <c r="E199" s="13" t="s">
        <v>100</v>
      </c>
      <c r="F199" s="8">
        <f>(INT(Table_Moldova[[#This Row],[Date]]) - DATE(1970, 1, 1)) * 86400000</f>
        <v>1726963200000</v>
      </c>
      <c r="G199" s="10">
        <f>'GMT Glossary'!$B$7</f>
        <v>3</v>
      </c>
      <c r="H199" s="2" t="str">
        <f>TEXT(IF(B199&lt;0, A199+1+((B199+(G199/24))-(INT(B199+(G199/24)))), A199+(B199+(G199/24))), "yyyy-mm-dd")</f>
        <v>2024-09-22</v>
      </c>
      <c r="I199" s="2" t="str">
        <f>TEXT(IF(B199&lt;0, A199+1+((B199+(G199/24))-(INT(B199+(G199/24)))), A199+(B199+(G199/24))), "hh:mm")</f>
        <v>22:00</v>
      </c>
    </row>
    <row r="200" spans="1:9" x14ac:dyDescent="0.25">
      <c r="A200" s="63">
        <v>45557</v>
      </c>
      <c r="B200" s="88">
        <v>0.875</v>
      </c>
      <c r="C200" s="96" t="s">
        <v>8</v>
      </c>
      <c r="D200" s="58" t="s">
        <v>219</v>
      </c>
      <c r="E200" s="31" t="s">
        <v>21</v>
      </c>
      <c r="F200" s="8">
        <f>(INT(Table_Moldova[[#This Row],[Date]]) - DATE(1970, 1, 1)) * 86400000</f>
        <v>1726963200000</v>
      </c>
      <c r="G200">
        <f>'GMT Glossary'!$B$7</f>
        <v>3</v>
      </c>
      <c r="H200" s="2" t="str">
        <f>TEXT(IF(B200&lt;0, A200+1+((B200+(G200/24))-(INT(B200+(G200/24)))), A200+(B200+(G200/24))), "yyyy-mm-dd")</f>
        <v>2024-09-23</v>
      </c>
      <c r="I200" s="2" t="str">
        <f>TEXT(IF(B200&lt;0, A200+1+((B200+(G200/24))-(INT(B200+(G200/24)))), A200+(B200+(G200/24))), "hh:mm")</f>
        <v>00:00</v>
      </c>
    </row>
    <row r="201" spans="1:9" x14ac:dyDescent="0.25">
      <c r="A201" s="46">
        <v>45557</v>
      </c>
      <c r="B201" s="38">
        <v>0.875</v>
      </c>
      <c r="C201" s="97" t="s">
        <v>8</v>
      </c>
      <c r="D201" s="55" t="s">
        <v>141</v>
      </c>
      <c r="E201" s="31" t="s">
        <v>72</v>
      </c>
      <c r="F201" s="8">
        <f>(INT(Table_Moldova[[#This Row],[Date]]) - DATE(1970, 1, 1)) * 86400000</f>
        <v>1726963200000</v>
      </c>
      <c r="G201" s="10">
        <f>'GMT Glossary'!$B$7</f>
        <v>3</v>
      </c>
      <c r="H201" s="2" t="str">
        <f>TEXT(IF(B201&lt;0, A201+1+((B201+(G201/24))-(INT(B201+(G201/24)))), A201+(B201+(G201/24))), "yyyy-mm-dd")</f>
        <v>2024-09-23</v>
      </c>
      <c r="I201" s="2" t="str">
        <f>TEXT(IF(B201&lt;0, A201+1+((B201+(G201/24))-(INT(B201+(G201/24)))), A201+(B201+(G201/24))), "hh:mm")</f>
        <v>00:00</v>
      </c>
    </row>
    <row r="202" spans="1:9" ht="15.75" x14ac:dyDescent="0.25">
      <c r="A202" s="14">
        <v>45557</v>
      </c>
      <c r="B202" s="19">
        <v>0.875</v>
      </c>
      <c r="C202" s="94" t="s">
        <v>8</v>
      </c>
      <c r="D202" s="16" t="s">
        <v>296</v>
      </c>
      <c r="E202" s="13" t="s">
        <v>100</v>
      </c>
      <c r="F202" s="8">
        <f>(INT(Table_Moldova[[#This Row],[Date]]) - DATE(1970, 1, 1)) * 86400000</f>
        <v>1726963200000</v>
      </c>
      <c r="G202" s="10">
        <f>'GMT Glossary'!$B$7</f>
        <v>3</v>
      </c>
      <c r="H202" s="2" t="str">
        <f>TEXT(IF(B202&lt;0, A202+1+((B202+(G202/24))-(INT(B202+(G202/24)))), A202+(B202+(G202/24))), "yyyy-mm-dd")</f>
        <v>2024-09-23</v>
      </c>
      <c r="I202" s="2" t="str">
        <f>TEXT(IF(B202&lt;0, A202+1+((B202+(G202/24))-(INT(B202+(G202/24)))), A202+(B202+(G202/24))), "hh:mm")</f>
        <v>00:00</v>
      </c>
    </row>
    <row r="203" spans="1:9" x14ac:dyDescent="0.25">
      <c r="A203" s="63">
        <v>45557</v>
      </c>
      <c r="B203" s="88">
        <v>0.95833333333333337</v>
      </c>
      <c r="C203" s="96" t="s">
        <v>8</v>
      </c>
      <c r="D203" s="58" t="s">
        <v>220</v>
      </c>
      <c r="E203" s="31" t="s">
        <v>21</v>
      </c>
      <c r="F203" s="8">
        <f>(INT(Table_Moldova[[#This Row],[Date]]) - DATE(1970, 1, 1)) * 86400000</f>
        <v>1726963200000</v>
      </c>
      <c r="G203" s="10">
        <f>'GMT Glossary'!$B$7</f>
        <v>3</v>
      </c>
      <c r="H203" s="2" t="str">
        <f>TEXT(IF(B203&lt;0, A203+1+((B203+(G203/24))-(INT(B203+(G203/24)))), A203+(B203+(G203/24))), "yyyy-mm-dd")</f>
        <v>2024-09-23</v>
      </c>
      <c r="I203" s="2" t="str">
        <f>TEXT(IF(B203&lt;0, A203+1+((B203+(G203/24))-(INT(B203+(G203/24)))), A203+(B203+(G203/24))), "hh:mm")</f>
        <v>02:00</v>
      </c>
    </row>
    <row r="204" spans="1:9" ht="15.75" x14ac:dyDescent="0.25">
      <c r="A204" s="14">
        <v>45557</v>
      </c>
      <c r="B204" s="19">
        <v>0.95833333333333337</v>
      </c>
      <c r="C204" s="94" t="s">
        <v>8</v>
      </c>
      <c r="D204" s="16" t="s">
        <v>148</v>
      </c>
      <c r="E204" s="13" t="s">
        <v>100</v>
      </c>
      <c r="F204" s="8">
        <f>(INT(Table_Moldova[[#This Row],[Date]]) - DATE(1970, 1, 1)) * 86400000</f>
        <v>1726963200000</v>
      </c>
      <c r="G204" s="10">
        <f>'GMT Glossary'!$B$7</f>
        <v>3</v>
      </c>
      <c r="H204" s="2" t="str">
        <f>TEXT(IF(B204&lt;0, A204+1+((B204+(G204/24))-(INT(B204+(G204/24)))), A204+(B204+(G204/24))), "yyyy-mm-dd")</f>
        <v>2024-09-23</v>
      </c>
      <c r="I204" s="2" t="str">
        <f>TEXT(IF(B204&lt;0, A204+1+((B204+(G204/24))-(INT(B204+(G204/24)))), A204+(B204+(G204/24))), "hh:mm")</f>
        <v>02:00</v>
      </c>
    </row>
    <row r="205" spans="1:9" x14ac:dyDescent="0.25">
      <c r="A205" s="46">
        <v>45557</v>
      </c>
      <c r="B205" s="38">
        <v>0.97916666666666663</v>
      </c>
      <c r="C205" s="97" t="s">
        <v>398</v>
      </c>
      <c r="D205" s="55" t="s">
        <v>92</v>
      </c>
      <c r="E205" s="31" t="s">
        <v>72</v>
      </c>
      <c r="F205" s="8">
        <f>(INT(Table_Moldova[[#This Row],[Date]]) - DATE(1970, 1, 1)) * 86400000</f>
        <v>1726963200000</v>
      </c>
      <c r="G205">
        <f>'GMT Glossary'!$B$7</f>
        <v>3</v>
      </c>
      <c r="H205" s="2" t="str">
        <f>TEXT(IF(B205&lt;0, A205+1+((B205+(G205/24))-(INT(B205+(G205/24)))), A205+(B205+(G205/24))), "yyyy-mm-dd")</f>
        <v>2024-09-23</v>
      </c>
      <c r="I205" s="2" t="str">
        <f>TEXT(IF(B205&lt;0, A205+1+((B205+(G205/24))-(INT(B205+(G205/24)))), A205+(B205+(G205/24))), "hh:mm")</f>
        <v>02:30</v>
      </c>
    </row>
    <row r="206" spans="1:9" x14ac:dyDescent="0.25">
      <c r="A206" s="63">
        <v>45558</v>
      </c>
      <c r="B206" s="88">
        <v>4.1666666666666664E-2</v>
      </c>
      <c r="C206" s="96" t="s">
        <v>8</v>
      </c>
      <c r="D206" s="58" t="s">
        <v>221</v>
      </c>
      <c r="E206" s="31" t="s">
        <v>21</v>
      </c>
      <c r="F206" s="8">
        <f>(INT(Table_Moldova[[#This Row],[Date]]) - DATE(1970, 1, 1)) * 86400000</f>
        <v>1727049600000</v>
      </c>
      <c r="G206">
        <f>'GMT Glossary'!$B$7</f>
        <v>3</v>
      </c>
      <c r="H206" s="2" t="str">
        <f>TEXT(IF(B206&lt;0, A206+1+((B206+(G206/24))-(INT(B206+(G206/24)))), A206+(B206+(G206/24))), "yyyy-mm-dd")</f>
        <v>2024-09-23</v>
      </c>
      <c r="I206" s="2" t="str">
        <f>TEXT(IF(B206&lt;0, A206+1+((B206+(G206/24))-(INT(B206+(G206/24)))), A206+(B206+(G206/24))), "hh:mm")</f>
        <v>04:00</v>
      </c>
    </row>
    <row r="207" spans="1:9" ht="15.75" x14ac:dyDescent="0.25">
      <c r="A207" s="14">
        <v>45558</v>
      </c>
      <c r="B207" s="19">
        <v>4.1666666666666664E-2</v>
      </c>
      <c r="C207" s="94" t="s">
        <v>8</v>
      </c>
      <c r="D207" s="16" t="s">
        <v>147</v>
      </c>
      <c r="E207" s="13" t="s">
        <v>100</v>
      </c>
      <c r="F207" s="8">
        <f>(INT(Table_Moldova[[#This Row],[Date]]) - DATE(1970, 1, 1)) * 86400000</f>
        <v>1727049600000</v>
      </c>
      <c r="G207" s="10">
        <f>'GMT Glossary'!$B$7</f>
        <v>3</v>
      </c>
      <c r="H207" s="2" t="str">
        <f>TEXT(IF(B207&lt;0, A207+1+((B207+(G207/24))-(INT(B207+(G207/24)))), A207+(B207+(G207/24))), "yyyy-mm-dd")</f>
        <v>2024-09-23</v>
      </c>
      <c r="I207" s="2" t="str">
        <f>TEXT(IF(B207&lt;0, A207+1+((B207+(G207/24))-(INT(B207+(G207/24)))), A207+(B207+(G207/24))), "hh:mm")</f>
        <v>04:00</v>
      </c>
    </row>
    <row r="208" spans="1:9" x14ac:dyDescent="0.25">
      <c r="A208" s="46">
        <v>45558</v>
      </c>
      <c r="B208" s="38">
        <v>8.3333333333333329E-2</v>
      </c>
      <c r="C208" s="97" t="s">
        <v>401</v>
      </c>
      <c r="D208" s="58" t="s">
        <v>87</v>
      </c>
      <c r="E208" s="31" t="s">
        <v>72</v>
      </c>
      <c r="F208" s="8">
        <f>(INT(Table_Moldova[[#This Row],[Date]]) - DATE(1970, 1, 1)) * 86400000</f>
        <v>1727049600000</v>
      </c>
      <c r="G208" s="10">
        <f>'GMT Glossary'!$B$7</f>
        <v>3</v>
      </c>
      <c r="H208" s="2" t="str">
        <f>TEXT(IF(B208&lt;0, A208+1+((B208+(G208/24))-(INT(B208+(G208/24)))), A208+(B208+(G208/24))), "yyyy-mm-dd")</f>
        <v>2024-09-23</v>
      </c>
      <c r="I208" s="2" t="str">
        <f>TEXT(IF(B208&lt;0, A208+1+((B208+(G208/24))-(INT(B208+(G208/24)))), A208+(B208+(G208/24))), "hh:mm")</f>
        <v>05:00</v>
      </c>
    </row>
    <row r="209" spans="1:9" x14ac:dyDescent="0.25">
      <c r="A209" s="63">
        <v>45558</v>
      </c>
      <c r="B209" s="88">
        <v>0.125</v>
      </c>
      <c r="C209" s="96" t="s">
        <v>8</v>
      </c>
      <c r="D209" s="58" t="s">
        <v>222</v>
      </c>
      <c r="E209" s="31" t="s">
        <v>21</v>
      </c>
      <c r="F209" s="8">
        <f>(INT(Table_Moldova[[#This Row],[Date]]) - DATE(1970, 1, 1)) * 86400000</f>
        <v>1727049600000</v>
      </c>
      <c r="G209" s="10">
        <f>'GMT Glossary'!$B$7</f>
        <v>3</v>
      </c>
      <c r="H209" s="2" t="str">
        <f>TEXT(IF(B209&lt;0, A209+1+((B209+(G209/24))-(INT(B209+(G209/24)))), A209+(B209+(G209/24))), "yyyy-mm-dd")</f>
        <v>2024-09-23</v>
      </c>
      <c r="I209" s="2" t="str">
        <f>TEXT(IF(B209&lt;0, A209+1+((B209+(G209/24))-(INT(B209+(G209/24)))), A209+(B209+(G209/24))), "hh:mm")</f>
        <v>06:00</v>
      </c>
    </row>
    <row r="210" spans="1:9" ht="15.75" x14ac:dyDescent="0.25">
      <c r="A210" s="14">
        <v>45558</v>
      </c>
      <c r="B210" s="19">
        <v>0.125</v>
      </c>
      <c r="C210" s="94" t="s">
        <v>8</v>
      </c>
      <c r="D210" s="16" t="s">
        <v>297</v>
      </c>
      <c r="E210" s="13" t="s">
        <v>100</v>
      </c>
      <c r="F210" s="8">
        <f>(INT(Table_Moldova[[#This Row],[Date]]) - DATE(1970, 1, 1)) * 86400000</f>
        <v>1727049600000</v>
      </c>
      <c r="G210" s="10">
        <f>'GMT Glossary'!$B$7</f>
        <v>3</v>
      </c>
      <c r="H210" s="2" t="str">
        <f>TEXT(IF(B210&lt;0, A210+1+((B210+(G210/24))-(INT(B210+(G210/24)))), A210+(B210+(G210/24))), "yyyy-mm-dd")</f>
        <v>2024-09-23</v>
      </c>
      <c r="I210" s="2" t="str">
        <f>TEXT(IF(B210&lt;0, A210+1+((B210+(G210/24))-(INT(B210+(G210/24)))), A210+(B210+(G210/24))), "hh:mm")</f>
        <v>06:00</v>
      </c>
    </row>
    <row r="211" spans="1:9" x14ac:dyDescent="0.25">
      <c r="A211" s="63">
        <v>45558</v>
      </c>
      <c r="B211" s="88">
        <v>0.20833333333333334</v>
      </c>
      <c r="C211" s="96" t="s">
        <v>8</v>
      </c>
      <c r="D211" s="58" t="s">
        <v>223</v>
      </c>
      <c r="E211" s="31" t="s">
        <v>21</v>
      </c>
      <c r="F211" s="8">
        <f>(INT(Table_Moldova[[#This Row],[Date]]) - DATE(1970, 1, 1)) * 86400000</f>
        <v>1727049600000</v>
      </c>
      <c r="G211" s="10">
        <f>'GMT Glossary'!$B$7</f>
        <v>3</v>
      </c>
      <c r="H211" s="2" t="str">
        <f>TEXT(IF(B211&lt;0, A211+1+((B211+(G211/24))-(INT(B211+(G211/24)))), A211+(B211+(G211/24))), "yyyy-mm-dd")</f>
        <v>2024-09-23</v>
      </c>
      <c r="I211" s="2" t="str">
        <f>TEXT(IF(B211&lt;0, A211+1+((B211+(G211/24))-(INT(B211+(G211/24)))), A211+(B211+(G211/24))), "hh:mm")</f>
        <v>08:00</v>
      </c>
    </row>
    <row r="212" spans="1:9" x14ac:dyDescent="0.25">
      <c r="A212" s="46">
        <v>45558</v>
      </c>
      <c r="B212" s="38">
        <v>0.20833333333333334</v>
      </c>
      <c r="C212" s="97" t="s">
        <v>8</v>
      </c>
      <c r="D212" s="58" t="s">
        <v>250</v>
      </c>
      <c r="E212" s="31" t="s">
        <v>72</v>
      </c>
      <c r="F212" s="8">
        <f>(INT(Table_Moldova[[#This Row],[Date]]) - DATE(1970, 1, 1)) * 86400000</f>
        <v>1727049600000</v>
      </c>
      <c r="G212" s="10">
        <f>'GMT Glossary'!$B$7</f>
        <v>3</v>
      </c>
      <c r="H212" s="2" t="str">
        <f>TEXT(IF(B212&lt;0, A212+1+((B212+(G212/24))-(INT(B212+(G212/24)))), A212+(B212+(G212/24))), "yyyy-mm-dd")</f>
        <v>2024-09-23</v>
      </c>
      <c r="I212" s="2" t="str">
        <f>TEXT(IF(B212&lt;0, A212+1+((B212+(G212/24))-(INT(B212+(G212/24)))), A212+(B212+(G212/24))), "hh:mm")</f>
        <v>08:00</v>
      </c>
    </row>
    <row r="213" spans="1:9" ht="15.75" x14ac:dyDescent="0.25">
      <c r="A213" s="14">
        <v>45558</v>
      </c>
      <c r="B213" s="19">
        <v>0.20833333333333334</v>
      </c>
      <c r="C213" s="94" t="s">
        <v>8</v>
      </c>
      <c r="D213" s="16" t="s">
        <v>184</v>
      </c>
      <c r="E213" s="13" t="s">
        <v>100</v>
      </c>
      <c r="F213" s="8">
        <f>(INT(Table_Moldova[[#This Row],[Date]]) - DATE(1970, 1, 1)) * 86400000</f>
        <v>1727049600000</v>
      </c>
      <c r="G213" s="10">
        <f>'GMT Glossary'!$B$7</f>
        <v>3</v>
      </c>
      <c r="H213" s="2" t="str">
        <f>TEXT(IF(B213&lt;0, A213+1+((B213+(G213/24))-(INT(B213+(G213/24)))), A213+(B213+(G213/24))), "yyyy-mm-dd")</f>
        <v>2024-09-23</v>
      </c>
      <c r="I213" s="2" t="str">
        <f>TEXT(IF(B213&lt;0, A213+1+((B213+(G213/24))-(INT(B213+(G213/24)))), A213+(B213+(G213/24))), "hh:mm")</f>
        <v>08:00</v>
      </c>
    </row>
    <row r="214" spans="1:9" x14ac:dyDescent="0.25">
      <c r="A214" s="63">
        <v>45558</v>
      </c>
      <c r="B214" s="88">
        <v>0.29166666666666669</v>
      </c>
      <c r="C214" s="96" t="s">
        <v>8</v>
      </c>
      <c r="D214" s="58" t="s">
        <v>219</v>
      </c>
      <c r="E214" s="31" t="s">
        <v>21</v>
      </c>
      <c r="F214" s="8">
        <f>(INT(Table_Moldova[[#This Row],[Date]]) - DATE(1970, 1, 1)) * 86400000</f>
        <v>1727049600000</v>
      </c>
      <c r="G214">
        <f>'GMT Glossary'!$B$7</f>
        <v>3</v>
      </c>
      <c r="H214" s="2" t="str">
        <f>TEXT(IF(B214&lt;0, A214+1+((B214+(G214/24))-(INT(B214+(G214/24)))), A214+(B214+(G214/24))), "yyyy-mm-dd")</f>
        <v>2024-09-23</v>
      </c>
      <c r="I214" s="2" t="str">
        <f>TEXT(IF(B214&lt;0, A214+1+((B214+(G214/24))-(INT(B214+(G214/24)))), A214+(B214+(G214/24))), "hh:mm")</f>
        <v>10:00</v>
      </c>
    </row>
    <row r="215" spans="1:9" x14ac:dyDescent="0.25">
      <c r="A215" s="46">
        <v>45558</v>
      </c>
      <c r="B215" s="38">
        <v>0.29166666666666669</v>
      </c>
      <c r="C215" s="97" t="s">
        <v>8</v>
      </c>
      <c r="D215" s="58" t="s">
        <v>251</v>
      </c>
      <c r="E215" s="31" t="s">
        <v>72</v>
      </c>
      <c r="F215" s="8">
        <f>(INT(Table_Moldova[[#This Row],[Date]]) - DATE(1970, 1, 1)) * 86400000</f>
        <v>1727049600000</v>
      </c>
      <c r="G215">
        <f>'GMT Glossary'!$B$7</f>
        <v>3</v>
      </c>
      <c r="H215" s="2" t="str">
        <f>TEXT(IF(B215&lt;0, A215+1+((B215+(G215/24))-(INT(B215+(G215/24)))), A215+(B215+(G215/24))), "yyyy-mm-dd")</f>
        <v>2024-09-23</v>
      </c>
      <c r="I215" s="2" t="str">
        <f>TEXT(IF(B215&lt;0, A215+1+((B215+(G215/24))-(INT(B215+(G215/24)))), A215+(B215+(G215/24))), "hh:mm")</f>
        <v>10:00</v>
      </c>
    </row>
    <row r="216" spans="1:9" ht="15.75" x14ac:dyDescent="0.25">
      <c r="A216" s="14">
        <v>45558</v>
      </c>
      <c r="B216" s="19">
        <v>0.29166666666666669</v>
      </c>
      <c r="C216" s="94" t="s">
        <v>8</v>
      </c>
      <c r="D216" s="16" t="s">
        <v>145</v>
      </c>
      <c r="E216" s="13" t="s">
        <v>100</v>
      </c>
      <c r="F216" s="8">
        <f>(INT(Table_Moldova[[#This Row],[Date]]) - DATE(1970, 1, 1)) * 86400000</f>
        <v>1727049600000</v>
      </c>
      <c r="G216" s="10">
        <f>'GMT Glossary'!$B$7</f>
        <v>3</v>
      </c>
      <c r="H216" s="2" t="str">
        <f>TEXT(IF(B216&lt;0, A216+1+((B216+(G216/24))-(INT(B216+(G216/24)))), A216+(B216+(G216/24))), "yyyy-mm-dd")</f>
        <v>2024-09-23</v>
      </c>
      <c r="I216" s="2" t="str">
        <f>TEXT(IF(B216&lt;0, A216+1+((B216+(G216/24))-(INT(B216+(G216/24)))), A216+(B216+(G216/24))), "hh:mm")</f>
        <v>10:00</v>
      </c>
    </row>
    <row r="217" spans="1:9" x14ac:dyDescent="0.25">
      <c r="A217" s="63">
        <v>45558</v>
      </c>
      <c r="B217" s="88">
        <v>0.375</v>
      </c>
      <c r="C217" s="96" t="s">
        <v>8</v>
      </c>
      <c r="D217" s="58" t="s">
        <v>224</v>
      </c>
      <c r="E217" s="31" t="s">
        <v>21</v>
      </c>
      <c r="F217" s="8">
        <f>(INT(Table_Moldova[[#This Row],[Date]]) - DATE(1970, 1, 1)) * 86400000</f>
        <v>1727049600000</v>
      </c>
      <c r="G217" s="10">
        <f>'GMT Glossary'!$B$7</f>
        <v>3</v>
      </c>
      <c r="H217" s="2" t="str">
        <f>TEXT(IF(B217&lt;0, A217+1+((B217+(G217/24))-(INT(B217+(G217/24)))), A217+(B217+(G217/24))), "yyyy-mm-dd")</f>
        <v>2024-09-23</v>
      </c>
      <c r="I217" s="2" t="str">
        <f>TEXT(IF(B217&lt;0, A217+1+((B217+(G217/24))-(INT(B217+(G217/24)))), A217+(B217+(G217/24))), "hh:mm")</f>
        <v>12:00</v>
      </c>
    </row>
    <row r="218" spans="1:9" x14ac:dyDescent="0.25">
      <c r="A218" s="46">
        <v>45558</v>
      </c>
      <c r="B218" s="38">
        <v>0.375</v>
      </c>
      <c r="C218" s="97" t="s">
        <v>8</v>
      </c>
      <c r="D218" s="55" t="s">
        <v>252</v>
      </c>
      <c r="E218" s="31" t="s">
        <v>72</v>
      </c>
      <c r="F218" s="8">
        <f>(INT(Table_Moldova[[#This Row],[Date]]) - DATE(1970, 1, 1)) * 86400000</f>
        <v>1727049600000</v>
      </c>
      <c r="G218" s="10">
        <f>'GMT Glossary'!$B$7</f>
        <v>3</v>
      </c>
      <c r="H218" s="2" t="str">
        <f>TEXT(IF(B218&lt;0, A218+1+((B218+(G218/24))-(INT(B218+(G218/24)))), A218+(B218+(G218/24))), "yyyy-mm-dd")</f>
        <v>2024-09-23</v>
      </c>
      <c r="I218" s="2" t="str">
        <f>TEXT(IF(B218&lt;0, A218+1+((B218+(G218/24))-(INT(B218+(G218/24)))), A218+(B218+(G218/24))), "hh:mm")</f>
        <v>12:00</v>
      </c>
    </row>
    <row r="219" spans="1:9" ht="15.75" x14ac:dyDescent="0.25">
      <c r="A219" s="14">
        <v>45558</v>
      </c>
      <c r="B219" s="19">
        <v>0.375</v>
      </c>
      <c r="C219" s="94" t="s">
        <v>8</v>
      </c>
      <c r="D219" s="16" t="s">
        <v>151</v>
      </c>
      <c r="E219" s="13" t="s">
        <v>100</v>
      </c>
      <c r="F219" s="8">
        <f>(INT(Table_Moldova[[#This Row],[Date]]) - DATE(1970, 1, 1)) * 86400000</f>
        <v>1727049600000</v>
      </c>
      <c r="G219" s="10">
        <f>'GMT Glossary'!$B$7</f>
        <v>3</v>
      </c>
      <c r="H219" s="2" t="str">
        <f>TEXT(IF(B219&lt;0, A219+1+((B219+(G219/24))-(INT(B219+(G219/24)))), A219+(B219+(G219/24))), "yyyy-mm-dd")</f>
        <v>2024-09-23</v>
      </c>
      <c r="I219" s="2" t="str">
        <f>TEXT(IF(B219&lt;0, A219+1+((B219+(G219/24))-(INT(B219+(G219/24)))), A219+(B219+(G219/24))), "hh:mm")</f>
        <v>12:00</v>
      </c>
    </row>
    <row r="220" spans="1:9" x14ac:dyDescent="0.25">
      <c r="A220" s="63">
        <v>45558</v>
      </c>
      <c r="B220" s="88">
        <v>0.45833333333333331</v>
      </c>
      <c r="C220" s="96" t="s">
        <v>8</v>
      </c>
      <c r="D220" s="58" t="s">
        <v>225</v>
      </c>
      <c r="E220" s="31" t="s">
        <v>21</v>
      </c>
      <c r="F220" s="8">
        <f>(INT(Table_Moldova[[#This Row],[Date]]) - DATE(1970, 1, 1)) * 86400000</f>
        <v>1727049600000</v>
      </c>
      <c r="G220" s="10">
        <f>'GMT Glossary'!$B$7</f>
        <v>3</v>
      </c>
      <c r="H220" s="2" t="str">
        <f>TEXT(IF(B220&lt;0, A220+1+((B220+(G220/24))-(INT(B220+(G220/24)))), A220+(B220+(G220/24))), "yyyy-mm-dd")</f>
        <v>2024-09-23</v>
      </c>
      <c r="I220" s="2" t="str">
        <f>TEXT(IF(B220&lt;0, A220+1+((B220+(G220/24))-(INT(B220+(G220/24)))), A220+(B220+(G220/24))), "hh:mm")</f>
        <v>14:00</v>
      </c>
    </row>
    <row r="221" spans="1:9" x14ac:dyDescent="0.25">
      <c r="A221" s="46">
        <v>45558</v>
      </c>
      <c r="B221" s="38">
        <v>0.45833333333333331</v>
      </c>
      <c r="C221" s="97" t="s">
        <v>402</v>
      </c>
      <c r="D221" s="55" t="s">
        <v>91</v>
      </c>
      <c r="E221" s="31" t="s">
        <v>72</v>
      </c>
      <c r="F221" s="8">
        <f>(INT(Table_Moldova[[#This Row],[Date]]) - DATE(1970, 1, 1)) * 86400000</f>
        <v>1727049600000</v>
      </c>
      <c r="G221" s="10">
        <f>'GMT Glossary'!$B$7</f>
        <v>3</v>
      </c>
      <c r="H221" s="2" t="str">
        <f>TEXT(IF(B221&lt;0, A221+1+((B221+(G221/24))-(INT(B221+(G221/24)))), A221+(B221+(G221/24))), "yyyy-mm-dd")</f>
        <v>2024-09-23</v>
      </c>
      <c r="I221" s="2" t="str">
        <f>TEXT(IF(B221&lt;0, A221+1+((B221+(G221/24))-(INT(B221+(G221/24)))), A221+(B221+(G221/24))), "hh:mm")</f>
        <v>14:00</v>
      </c>
    </row>
    <row r="222" spans="1:9" ht="15.75" x14ac:dyDescent="0.25">
      <c r="A222" s="14">
        <v>45558</v>
      </c>
      <c r="B222" s="19">
        <v>0.45833333333333331</v>
      </c>
      <c r="C222" s="94" t="s">
        <v>8</v>
      </c>
      <c r="D222" s="16" t="s">
        <v>194</v>
      </c>
      <c r="E222" s="13" t="s">
        <v>100</v>
      </c>
      <c r="F222" s="8">
        <f>(INT(Table_Moldova[[#This Row],[Date]]) - DATE(1970, 1, 1)) * 86400000</f>
        <v>1727049600000</v>
      </c>
      <c r="G222" s="10">
        <f>'GMT Glossary'!$B$7</f>
        <v>3</v>
      </c>
      <c r="H222" s="2" t="str">
        <f>TEXT(IF(B222&lt;0, A222+1+((B222+(G222/24))-(INT(B222+(G222/24)))), A222+(B222+(G222/24))), "yyyy-mm-dd")</f>
        <v>2024-09-23</v>
      </c>
      <c r="I222" s="2" t="str">
        <f>TEXT(IF(B222&lt;0, A222+1+((B222+(G222/24))-(INT(B222+(G222/24)))), A222+(B222+(G222/24))), "hh:mm")</f>
        <v>14:00</v>
      </c>
    </row>
    <row r="223" spans="1:9" x14ac:dyDescent="0.25">
      <c r="A223" s="63">
        <v>45558</v>
      </c>
      <c r="B223" s="88">
        <v>0.54166666666666663</v>
      </c>
      <c r="C223" s="96" t="s">
        <v>8</v>
      </c>
      <c r="D223" s="58" t="s">
        <v>226</v>
      </c>
      <c r="E223" s="31" t="s">
        <v>21</v>
      </c>
      <c r="F223" s="8">
        <f>(INT(Table_Moldova[[#This Row],[Date]]) - DATE(1970, 1, 1)) * 86400000</f>
        <v>1727049600000</v>
      </c>
      <c r="G223">
        <f>'GMT Glossary'!$B$7</f>
        <v>3</v>
      </c>
      <c r="H223" s="2" t="str">
        <f>TEXT(IF(B223&lt;0, A223+1+((B223+(G223/24))-(INT(B223+(G223/24)))), A223+(B223+(G223/24))), "yyyy-mm-dd")</f>
        <v>2024-09-23</v>
      </c>
      <c r="I223" s="2" t="str">
        <f>TEXT(IF(B223&lt;0, A223+1+((B223+(G223/24))-(INT(B223+(G223/24)))), A223+(B223+(G223/24))), "hh:mm")</f>
        <v>16:00</v>
      </c>
    </row>
    <row r="224" spans="1:9" x14ac:dyDescent="0.25">
      <c r="A224" s="46">
        <v>45558</v>
      </c>
      <c r="B224" s="38">
        <v>0.54166666666666663</v>
      </c>
      <c r="C224" s="97" t="s">
        <v>398</v>
      </c>
      <c r="D224" s="58" t="s">
        <v>92</v>
      </c>
      <c r="E224" s="31" t="s">
        <v>72</v>
      </c>
      <c r="F224" s="8">
        <f>(INT(Table_Moldova[[#This Row],[Date]]) - DATE(1970, 1, 1)) * 86400000</f>
        <v>1727049600000</v>
      </c>
      <c r="G224" s="10">
        <f>'GMT Glossary'!$B$7</f>
        <v>3</v>
      </c>
      <c r="H224" s="2" t="str">
        <f>TEXT(IF(B224&lt;0, A224+1+((B224+(G224/24))-(INT(B224+(G224/24)))), A224+(B224+(G224/24))), "yyyy-mm-dd")</f>
        <v>2024-09-23</v>
      </c>
      <c r="I224" s="2" t="str">
        <f>TEXT(IF(B224&lt;0, A224+1+((B224+(G224/24))-(INT(B224+(G224/24)))), A224+(B224+(G224/24))), "hh:mm")</f>
        <v>16:00</v>
      </c>
    </row>
    <row r="225" spans="1:9" ht="15.75" x14ac:dyDescent="0.25">
      <c r="A225" s="14">
        <v>45558</v>
      </c>
      <c r="B225" s="19">
        <v>0.54166666666666663</v>
      </c>
      <c r="C225" s="94" t="s">
        <v>8</v>
      </c>
      <c r="D225" s="16" t="s">
        <v>298</v>
      </c>
      <c r="E225" s="13" t="s">
        <v>100</v>
      </c>
      <c r="F225" s="8">
        <f>(INT(Table_Moldova[[#This Row],[Date]]) - DATE(1970, 1, 1)) * 86400000</f>
        <v>1727049600000</v>
      </c>
      <c r="G225" s="10">
        <f>'GMT Glossary'!$B$7</f>
        <v>3</v>
      </c>
      <c r="H225" s="2" t="str">
        <f>TEXT(IF(B225&lt;0, A225+1+((B225+(G225/24))-(INT(B225+(G225/24)))), A225+(B225+(G225/24))), "yyyy-mm-dd")</f>
        <v>2024-09-23</v>
      </c>
      <c r="I225" s="2" t="str">
        <f>TEXT(IF(B225&lt;0, A225+1+((B225+(G225/24))-(INT(B225+(G225/24)))), A225+(B225+(G225/24))), "hh:mm")</f>
        <v>16:00</v>
      </c>
    </row>
    <row r="226" spans="1:9" x14ac:dyDescent="0.25">
      <c r="A226" s="63">
        <v>45558</v>
      </c>
      <c r="B226" s="88">
        <v>0.625</v>
      </c>
      <c r="C226" s="96" t="s">
        <v>8</v>
      </c>
      <c r="D226" s="58" t="s">
        <v>223</v>
      </c>
      <c r="E226" s="31" t="s">
        <v>21</v>
      </c>
      <c r="F226" s="8">
        <f>(INT(Table_Moldova[[#This Row],[Date]]) - DATE(1970, 1, 1)) * 86400000</f>
        <v>1727049600000</v>
      </c>
      <c r="G226">
        <f>'GMT Glossary'!$B$7</f>
        <v>3</v>
      </c>
      <c r="H226" s="2" t="str">
        <f>TEXT(IF(B226&lt;0, A226+1+((B226+(G226/24))-(INT(B226+(G226/24)))), A226+(B226+(G226/24))), "yyyy-mm-dd")</f>
        <v>2024-09-23</v>
      </c>
      <c r="I226" s="2" t="str">
        <f>TEXT(IF(B226&lt;0, A226+1+((B226+(G226/24))-(INT(B226+(G226/24)))), A226+(B226+(G226/24))), "hh:mm")</f>
        <v>18:00</v>
      </c>
    </row>
    <row r="227" spans="1:9" x14ac:dyDescent="0.25">
      <c r="A227" s="46">
        <v>45558</v>
      </c>
      <c r="B227" s="38">
        <v>0.625</v>
      </c>
      <c r="C227" s="97" t="s">
        <v>8</v>
      </c>
      <c r="D227" s="55" t="s">
        <v>253</v>
      </c>
      <c r="E227" s="31" t="s">
        <v>72</v>
      </c>
      <c r="F227" s="8">
        <f>(INT(Table_Moldova[[#This Row],[Date]]) - DATE(1970, 1, 1)) * 86400000</f>
        <v>1727049600000</v>
      </c>
      <c r="G227">
        <f>'GMT Glossary'!$B$7</f>
        <v>3</v>
      </c>
      <c r="H227" s="2" t="str">
        <f>TEXT(IF(B227&lt;0, A227+1+((B227+(G227/24))-(INT(B227+(G227/24)))), A227+(B227+(G227/24))), "yyyy-mm-dd")</f>
        <v>2024-09-23</v>
      </c>
      <c r="I227" s="2" t="str">
        <f>TEXT(IF(B227&lt;0, A227+1+((B227+(G227/24))-(INT(B227+(G227/24)))), A227+(B227+(G227/24))), "hh:mm")</f>
        <v>18:00</v>
      </c>
    </row>
    <row r="228" spans="1:9" ht="15.75" x14ac:dyDescent="0.25">
      <c r="A228" s="14">
        <v>45558</v>
      </c>
      <c r="B228" s="19">
        <v>0.625</v>
      </c>
      <c r="C228" s="94" t="s">
        <v>8</v>
      </c>
      <c r="D228" s="16" t="s">
        <v>141</v>
      </c>
      <c r="E228" s="13" t="s">
        <v>100</v>
      </c>
      <c r="F228" s="8">
        <f>(INT(Table_Moldova[[#This Row],[Date]]) - DATE(1970, 1, 1)) * 86400000</f>
        <v>1727049600000</v>
      </c>
      <c r="G228" s="10">
        <f>'GMT Glossary'!$B$7</f>
        <v>3</v>
      </c>
      <c r="H228" s="2" t="str">
        <f>TEXT(IF(B228&lt;0, A228+1+((B228+(G228/24))-(INT(B228+(G228/24)))), A228+(B228+(G228/24))), "yyyy-mm-dd")</f>
        <v>2024-09-23</v>
      </c>
      <c r="I228" s="2" t="str">
        <f>TEXT(IF(B228&lt;0, A228+1+((B228+(G228/24))-(INT(B228+(G228/24)))), A228+(B228+(G228/24))), "hh:mm")</f>
        <v>18:00</v>
      </c>
    </row>
    <row r="229" spans="1:9" x14ac:dyDescent="0.25">
      <c r="A229" s="63">
        <v>45558</v>
      </c>
      <c r="B229" s="88">
        <v>0.70833333333333337</v>
      </c>
      <c r="C229" s="96" t="s">
        <v>8</v>
      </c>
      <c r="D229" s="58" t="s">
        <v>221</v>
      </c>
      <c r="E229" s="31" t="s">
        <v>21</v>
      </c>
      <c r="F229" s="8">
        <f>(INT(Table_Moldova[[#This Row],[Date]]) - DATE(1970, 1, 1)) * 86400000</f>
        <v>1727049600000</v>
      </c>
      <c r="G229" s="10">
        <f>'GMT Glossary'!$B$7</f>
        <v>3</v>
      </c>
      <c r="H229" s="2" t="str">
        <f>TEXT(IF(B229&lt;0, A229+1+((B229+(G229/24))-(INT(B229+(G229/24)))), A229+(B229+(G229/24))), "yyyy-mm-dd")</f>
        <v>2024-09-23</v>
      </c>
      <c r="I229" s="2" t="str">
        <f>TEXT(IF(B229&lt;0, A229+1+((B229+(G229/24))-(INT(B229+(G229/24)))), A229+(B229+(G229/24))), "hh:mm")</f>
        <v>20:00</v>
      </c>
    </row>
    <row r="230" spans="1:9" x14ac:dyDescent="0.25">
      <c r="A230" s="46">
        <v>45558</v>
      </c>
      <c r="B230" s="38">
        <v>0.70833333333333337</v>
      </c>
      <c r="C230" s="97" t="s">
        <v>8</v>
      </c>
      <c r="D230" s="55" t="s">
        <v>254</v>
      </c>
      <c r="E230" s="31" t="s">
        <v>72</v>
      </c>
      <c r="F230" s="8">
        <f>(INT(Table_Moldova[[#This Row],[Date]]) - DATE(1970, 1, 1)) * 86400000</f>
        <v>1727049600000</v>
      </c>
      <c r="G230" s="10">
        <f>'GMT Glossary'!$B$7</f>
        <v>3</v>
      </c>
      <c r="H230" s="2" t="str">
        <f>TEXT(IF(B230&lt;0, A230+1+((B230+(G230/24))-(INT(B230+(G230/24)))), A230+(B230+(G230/24))), "yyyy-mm-dd")</f>
        <v>2024-09-23</v>
      </c>
      <c r="I230" s="2" t="str">
        <f>TEXT(IF(B230&lt;0, A230+1+((B230+(G230/24))-(INT(B230+(G230/24)))), A230+(B230+(G230/24))), "hh:mm")</f>
        <v>20:00</v>
      </c>
    </row>
    <row r="231" spans="1:9" ht="15.75" x14ac:dyDescent="0.25">
      <c r="A231" s="14">
        <v>45558</v>
      </c>
      <c r="B231" s="19">
        <v>0.70833333333333337</v>
      </c>
      <c r="C231" s="94" t="s">
        <v>8</v>
      </c>
      <c r="D231" s="16" t="s">
        <v>186</v>
      </c>
      <c r="E231" s="13" t="s">
        <v>100</v>
      </c>
      <c r="F231" s="8">
        <f>(INT(Table_Moldova[[#This Row],[Date]]) - DATE(1970, 1, 1)) * 86400000</f>
        <v>1727049600000</v>
      </c>
      <c r="G231" s="10">
        <f>'GMT Glossary'!$B$7</f>
        <v>3</v>
      </c>
      <c r="H231" s="2" t="str">
        <f>TEXT(IF(B231&lt;0, A231+1+((B231+(G231/24))-(INT(B231+(G231/24)))), A231+(B231+(G231/24))), "yyyy-mm-dd")</f>
        <v>2024-09-23</v>
      </c>
      <c r="I231" s="2" t="str">
        <f>TEXT(IF(B231&lt;0, A231+1+((B231+(G231/24))-(INT(B231+(G231/24)))), A231+(B231+(G231/24))), "hh:mm")</f>
        <v>20:00</v>
      </c>
    </row>
    <row r="232" spans="1:9" x14ac:dyDescent="0.25">
      <c r="A232" s="63">
        <v>45558</v>
      </c>
      <c r="B232" s="88">
        <v>0.78125</v>
      </c>
      <c r="C232" s="96" t="s">
        <v>8</v>
      </c>
      <c r="D232" s="56" t="s">
        <v>227</v>
      </c>
      <c r="E232" s="31" t="s">
        <v>21</v>
      </c>
      <c r="F232" s="8">
        <f>(INT(Table_Moldova[[#This Row],[Date]]) - DATE(1970, 1, 1)) * 86400000</f>
        <v>1727049600000</v>
      </c>
      <c r="G232" s="10">
        <f>'GMT Glossary'!$B$7</f>
        <v>3</v>
      </c>
      <c r="H232" s="2" t="str">
        <f>TEXT(IF(B232&lt;0, A232+1+((B232+(G232/24))-(INT(B232+(G232/24)))), A232+(B232+(G232/24))), "yyyy-mm-dd")</f>
        <v>2024-09-23</v>
      </c>
      <c r="I232" s="2" t="str">
        <f>TEXT(IF(B232&lt;0, A232+1+((B232+(G232/24))-(INT(B232+(G232/24)))), A232+(B232+(G232/24))), "hh:mm")</f>
        <v>21:45</v>
      </c>
    </row>
    <row r="233" spans="1:9" x14ac:dyDescent="0.25">
      <c r="A233" s="46">
        <v>45558</v>
      </c>
      <c r="B233" s="38">
        <v>0.79166666666666663</v>
      </c>
      <c r="C233" s="97" t="s">
        <v>8</v>
      </c>
      <c r="D233" s="55" t="s">
        <v>141</v>
      </c>
      <c r="E233" s="31" t="s">
        <v>72</v>
      </c>
      <c r="F233" s="8">
        <f>(INT(Table_Moldova[[#This Row],[Date]]) - DATE(1970, 1, 1)) * 86400000</f>
        <v>1727049600000</v>
      </c>
      <c r="G233" s="10">
        <f>'GMT Glossary'!$B$7</f>
        <v>3</v>
      </c>
      <c r="H233" s="2" t="str">
        <f>TEXT(IF(B233&lt;0, A233+1+((B233+(G233/24))-(INT(B233+(G233/24)))), A233+(B233+(G233/24))), "yyyy-mm-dd")</f>
        <v>2024-09-23</v>
      </c>
      <c r="I233" s="2" t="str">
        <f>TEXT(IF(B233&lt;0, A233+1+((B233+(G233/24))-(INT(B233+(G233/24)))), A233+(B233+(G233/24))), "hh:mm")</f>
        <v>22:00</v>
      </c>
    </row>
    <row r="234" spans="1:9" ht="15.75" x14ac:dyDescent="0.25">
      <c r="A234" s="14">
        <v>45558</v>
      </c>
      <c r="B234" s="19">
        <v>0.79166666666666663</v>
      </c>
      <c r="C234" s="94" t="s">
        <v>8</v>
      </c>
      <c r="D234" s="16" t="s">
        <v>299</v>
      </c>
      <c r="E234" s="13" t="s">
        <v>100</v>
      </c>
      <c r="F234" s="8">
        <f>(INT(Table_Moldova[[#This Row],[Date]]) - DATE(1970, 1, 1)) * 86400000</f>
        <v>1727049600000</v>
      </c>
      <c r="G234" s="10">
        <f>'GMT Glossary'!$B$7</f>
        <v>3</v>
      </c>
      <c r="H234" s="2" t="str">
        <f>TEXT(IF(B234&lt;0, A234+1+((B234+(G234/24))-(INT(B234+(G234/24)))), A234+(B234+(G234/24))), "yyyy-mm-dd")</f>
        <v>2024-09-23</v>
      </c>
      <c r="I234" s="2" t="str">
        <f>TEXT(IF(B234&lt;0, A234+1+((B234+(G234/24))-(INT(B234+(G234/24)))), A234+(B234+(G234/24))), "hh:mm")</f>
        <v>22:00</v>
      </c>
    </row>
    <row r="235" spans="1:9" x14ac:dyDescent="0.25">
      <c r="A235" s="63">
        <v>45558</v>
      </c>
      <c r="B235" s="88">
        <v>0.875</v>
      </c>
      <c r="C235" s="96" t="s">
        <v>8</v>
      </c>
      <c r="D235" s="58" t="s">
        <v>225</v>
      </c>
      <c r="E235" s="31" t="s">
        <v>21</v>
      </c>
      <c r="F235" s="8">
        <f>(INT(Table_Moldova[[#This Row],[Date]]) - DATE(1970, 1, 1)) * 86400000</f>
        <v>1727049600000</v>
      </c>
      <c r="G235">
        <f>'GMT Glossary'!$B$7</f>
        <v>3</v>
      </c>
      <c r="H235" s="2" t="str">
        <f>TEXT(IF(B235&lt;0, A235+1+((B235+(G235/24))-(INT(B235+(G235/24)))), A235+(B235+(G235/24))), "yyyy-mm-dd")</f>
        <v>2024-09-24</v>
      </c>
      <c r="I235" s="2" t="str">
        <f>TEXT(IF(B235&lt;0, A235+1+((B235+(G235/24))-(INT(B235+(G235/24)))), A235+(B235+(G235/24))), "hh:mm")</f>
        <v>00:00</v>
      </c>
    </row>
    <row r="236" spans="1:9" x14ac:dyDescent="0.25">
      <c r="A236" s="46">
        <v>45558</v>
      </c>
      <c r="B236" s="38">
        <v>0.875</v>
      </c>
      <c r="C236" s="97" t="s">
        <v>8</v>
      </c>
      <c r="D236" s="55" t="s">
        <v>139</v>
      </c>
      <c r="E236" s="31" t="s">
        <v>72</v>
      </c>
      <c r="F236" s="8">
        <f>(INT(Table_Moldova[[#This Row],[Date]]) - DATE(1970, 1, 1)) * 86400000</f>
        <v>1727049600000</v>
      </c>
      <c r="G236">
        <f>'GMT Glossary'!$B$7</f>
        <v>3</v>
      </c>
      <c r="H236" s="2" t="str">
        <f>TEXT(IF(B236&lt;0, A236+1+((B236+(G236/24))-(INT(B236+(G236/24)))), A236+(B236+(G236/24))), "yyyy-mm-dd")</f>
        <v>2024-09-24</v>
      </c>
      <c r="I236" s="2" t="str">
        <f>TEXT(IF(B236&lt;0, A236+1+((B236+(G236/24))-(INT(B236+(G236/24)))), A236+(B236+(G236/24))), "hh:mm")</f>
        <v>00:00</v>
      </c>
    </row>
    <row r="237" spans="1:9" ht="15.75" x14ac:dyDescent="0.25">
      <c r="A237" s="14">
        <v>45558</v>
      </c>
      <c r="B237" s="19">
        <v>0.875</v>
      </c>
      <c r="C237" s="94" t="s">
        <v>8</v>
      </c>
      <c r="D237" s="16" t="s">
        <v>191</v>
      </c>
      <c r="E237" s="13" t="s">
        <v>100</v>
      </c>
      <c r="F237" s="8">
        <f>(INT(Table_Moldova[[#This Row],[Date]]) - DATE(1970, 1, 1)) * 86400000</f>
        <v>1727049600000</v>
      </c>
      <c r="G237" s="10">
        <f>'GMT Glossary'!$B$7</f>
        <v>3</v>
      </c>
      <c r="H237" s="2" t="str">
        <f>TEXT(IF(B237&lt;0, A237+1+((B237+(G237/24))-(INT(B237+(G237/24)))), A237+(B237+(G237/24))), "yyyy-mm-dd")</f>
        <v>2024-09-24</v>
      </c>
      <c r="I237" s="2" t="str">
        <f>TEXT(IF(B237&lt;0, A237+1+((B237+(G237/24))-(INT(B237+(G237/24)))), A237+(B237+(G237/24))), "hh:mm")</f>
        <v>00:00</v>
      </c>
    </row>
    <row r="238" spans="1:9" x14ac:dyDescent="0.25">
      <c r="A238" s="63">
        <v>45558</v>
      </c>
      <c r="B238" s="88">
        <v>0.95833333333333337</v>
      </c>
      <c r="C238" s="96" t="s">
        <v>8</v>
      </c>
      <c r="D238" s="58" t="s">
        <v>228</v>
      </c>
      <c r="E238" s="31" t="s">
        <v>21</v>
      </c>
      <c r="F238" s="8">
        <f>(INT(Table_Moldova[[#This Row],[Date]]) - DATE(1970, 1, 1)) * 86400000</f>
        <v>1727049600000</v>
      </c>
      <c r="G238">
        <f>'GMT Glossary'!$B$7</f>
        <v>3</v>
      </c>
      <c r="H238" s="2" t="str">
        <f>TEXT(IF(B238&lt;0, A238+1+((B238+(G238/24))-(INT(B238+(G238/24)))), A238+(B238+(G238/24))), "yyyy-mm-dd")</f>
        <v>2024-09-24</v>
      </c>
      <c r="I238" s="2" t="str">
        <f>TEXT(IF(B238&lt;0, A238+1+((B238+(G238/24))-(INT(B238+(G238/24)))), A238+(B238+(G238/24))), "hh:mm")</f>
        <v>02:00</v>
      </c>
    </row>
    <row r="239" spans="1:9" x14ac:dyDescent="0.25">
      <c r="A239" s="46">
        <v>45558</v>
      </c>
      <c r="B239" s="38">
        <v>0.95833333333333337</v>
      </c>
      <c r="C239" s="97" t="s">
        <v>401</v>
      </c>
      <c r="D239" s="58" t="s">
        <v>87</v>
      </c>
      <c r="E239" s="31" t="s">
        <v>72</v>
      </c>
      <c r="F239" s="8">
        <f>(INT(Table_Moldova[[#This Row],[Date]]) - DATE(1970, 1, 1)) * 86400000</f>
        <v>1727049600000</v>
      </c>
      <c r="G239" s="10">
        <f>'GMT Glossary'!$B$7</f>
        <v>3</v>
      </c>
      <c r="H239" s="2" t="str">
        <f>TEXT(IF(B239&lt;0, A239+1+((B239+(G239/24))-(INT(B239+(G239/24)))), A239+(B239+(G239/24))), "yyyy-mm-dd")</f>
        <v>2024-09-24</v>
      </c>
      <c r="I239" s="2" t="str">
        <f>TEXT(IF(B239&lt;0, A239+1+((B239+(G239/24))-(INT(B239+(G239/24)))), A239+(B239+(G239/24))), "hh:mm")</f>
        <v>02:00</v>
      </c>
    </row>
    <row r="240" spans="1:9" ht="15.75" x14ac:dyDescent="0.25">
      <c r="A240" s="14">
        <v>45558</v>
      </c>
      <c r="B240" s="19">
        <v>0.95833333333333337</v>
      </c>
      <c r="C240" s="94" t="s">
        <v>8</v>
      </c>
      <c r="D240" s="16" t="s">
        <v>300</v>
      </c>
      <c r="E240" s="13" t="s">
        <v>100</v>
      </c>
      <c r="F240" s="8">
        <f>(INT(Table_Moldova[[#This Row],[Date]]) - DATE(1970, 1, 1)) * 86400000</f>
        <v>1727049600000</v>
      </c>
      <c r="G240" s="10">
        <f>'GMT Glossary'!$B$7</f>
        <v>3</v>
      </c>
      <c r="H240" s="2" t="str">
        <f>TEXT(IF(B240&lt;0, A240+1+((B240+(G240/24))-(INT(B240+(G240/24)))), A240+(B240+(G240/24))), "yyyy-mm-dd")</f>
        <v>2024-09-24</v>
      </c>
      <c r="I240" s="2" t="str">
        <f>TEXT(IF(B240&lt;0, A240+1+((B240+(G240/24))-(INT(B240+(G240/24)))), A240+(B240+(G240/24))), "hh:mm")</f>
        <v>02:00</v>
      </c>
    </row>
    <row r="241" spans="1:9" x14ac:dyDescent="0.25">
      <c r="A241" s="63">
        <v>45559</v>
      </c>
      <c r="B241" s="88">
        <v>4.1666666666666664E-2</v>
      </c>
      <c r="C241" s="96" t="s">
        <v>8</v>
      </c>
      <c r="D241" s="58" t="s">
        <v>224</v>
      </c>
      <c r="E241" s="31" t="s">
        <v>21</v>
      </c>
      <c r="F241" s="8">
        <f>(INT(Table_Moldova[[#This Row],[Date]]) - DATE(1970, 1, 1)) * 86400000</f>
        <v>1727136000000</v>
      </c>
      <c r="G241" s="10">
        <f>'GMT Glossary'!$B$7</f>
        <v>3</v>
      </c>
      <c r="H241" s="2" t="str">
        <f>TEXT(IF(B241&lt;0, A241+1+((B241+(G241/24))-(INT(B241+(G241/24)))), A241+(B241+(G241/24))), "yyyy-mm-dd")</f>
        <v>2024-09-24</v>
      </c>
      <c r="I241" s="2" t="str">
        <f>TEXT(IF(B241&lt;0, A241+1+((B241+(G241/24))-(INT(B241+(G241/24)))), A241+(B241+(G241/24))), "hh:mm")</f>
        <v>04:00</v>
      </c>
    </row>
    <row r="242" spans="1:9" ht="15.75" x14ac:dyDescent="0.25">
      <c r="A242" s="14">
        <v>45559</v>
      </c>
      <c r="B242" s="19">
        <v>4.1666666666666664E-2</v>
      </c>
      <c r="C242" s="94" t="s">
        <v>8</v>
      </c>
      <c r="D242" s="16" t="s">
        <v>301</v>
      </c>
      <c r="E242" s="13" t="s">
        <v>100</v>
      </c>
      <c r="F242" s="8">
        <f>(INT(Table_Moldova[[#This Row],[Date]]) - DATE(1970, 1, 1)) * 86400000</f>
        <v>1727136000000</v>
      </c>
      <c r="G242" s="10">
        <f>'GMT Glossary'!$B$7</f>
        <v>3</v>
      </c>
      <c r="H242" s="2" t="str">
        <f>TEXT(IF(B242&lt;0, A242+1+((B242+(G242/24))-(INT(B242+(G242/24)))), A242+(B242+(G242/24))), "yyyy-mm-dd")</f>
        <v>2024-09-24</v>
      </c>
      <c r="I242" s="2" t="str">
        <f>TEXT(IF(B242&lt;0, A242+1+((B242+(G242/24))-(INT(B242+(G242/24)))), A242+(B242+(G242/24))), "hh:mm")</f>
        <v>04:00</v>
      </c>
    </row>
    <row r="243" spans="1:9" x14ac:dyDescent="0.25">
      <c r="A243" s="46">
        <v>45559</v>
      </c>
      <c r="B243" s="38">
        <v>8.3333333333333329E-2</v>
      </c>
      <c r="C243" s="97" t="s">
        <v>402</v>
      </c>
      <c r="D243" s="55" t="s">
        <v>91</v>
      </c>
      <c r="E243" s="31" t="s">
        <v>72</v>
      </c>
      <c r="F243" s="8">
        <f>(INT(Table_Moldova[[#This Row],[Date]]) - DATE(1970, 1, 1)) * 86400000</f>
        <v>1727136000000</v>
      </c>
      <c r="G243" s="10">
        <f>'GMT Glossary'!$B$7</f>
        <v>3</v>
      </c>
      <c r="H243" s="2" t="str">
        <f>TEXT(IF(B243&lt;0, A243+1+((B243+(G243/24))-(INT(B243+(G243/24)))), A243+(B243+(G243/24))), "yyyy-mm-dd")</f>
        <v>2024-09-24</v>
      </c>
      <c r="I243" s="2" t="str">
        <f>TEXT(IF(B243&lt;0, A243+1+((B243+(G243/24))-(INT(B243+(G243/24)))), A243+(B243+(G243/24))), "hh:mm")</f>
        <v>05:00</v>
      </c>
    </row>
    <row r="244" spans="1:9" x14ac:dyDescent="0.25">
      <c r="A244" s="63">
        <v>45559</v>
      </c>
      <c r="B244" s="88">
        <v>0.125</v>
      </c>
      <c r="C244" s="96" t="s">
        <v>8</v>
      </c>
      <c r="D244" s="58" t="s">
        <v>220</v>
      </c>
      <c r="E244" s="31" t="s">
        <v>21</v>
      </c>
      <c r="F244" s="8">
        <f>(INT(Table_Moldova[[#This Row],[Date]]) - DATE(1970, 1, 1)) * 86400000</f>
        <v>1727136000000</v>
      </c>
      <c r="G244" s="10">
        <f>'GMT Glossary'!$B$7</f>
        <v>3</v>
      </c>
      <c r="H244" s="2" t="str">
        <f>TEXT(IF(B244&lt;0, A244+1+((B244+(G244/24))-(INT(B244+(G244/24)))), A244+(B244+(G244/24))), "yyyy-mm-dd")</f>
        <v>2024-09-24</v>
      </c>
      <c r="I244" s="2" t="str">
        <f>TEXT(IF(B244&lt;0, A244+1+((B244+(G244/24))-(INT(B244+(G244/24)))), A244+(B244+(G244/24))), "hh:mm")</f>
        <v>06:00</v>
      </c>
    </row>
    <row r="245" spans="1:9" ht="15.75" x14ac:dyDescent="0.25">
      <c r="A245" s="14">
        <v>45559</v>
      </c>
      <c r="B245" s="19">
        <v>0.125</v>
      </c>
      <c r="C245" s="94" t="s">
        <v>8</v>
      </c>
      <c r="D245" s="16" t="s">
        <v>152</v>
      </c>
      <c r="E245" s="13" t="s">
        <v>100</v>
      </c>
      <c r="F245" s="8">
        <f>(INT(Table_Moldova[[#This Row],[Date]]) - DATE(1970, 1, 1)) * 86400000</f>
        <v>1727136000000</v>
      </c>
      <c r="G245" s="10">
        <f>'GMT Glossary'!$B$7</f>
        <v>3</v>
      </c>
      <c r="H245" s="2" t="str">
        <f>TEXT(IF(B245&lt;0, A245+1+((B245+(G245/24))-(INT(B245+(G245/24)))), A245+(B245+(G245/24))), "yyyy-mm-dd")</f>
        <v>2024-09-24</v>
      </c>
      <c r="I245" s="2" t="str">
        <f>TEXT(IF(B245&lt;0, A245+1+((B245+(G245/24))-(INT(B245+(G245/24)))), A245+(B245+(G245/24))), "hh:mm")</f>
        <v>06:00</v>
      </c>
    </row>
    <row r="246" spans="1:9" x14ac:dyDescent="0.25">
      <c r="A246" s="63">
        <v>45559</v>
      </c>
      <c r="B246" s="88">
        <v>0.20833333333333334</v>
      </c>
      <c r="C246" s="96" t="s">
        <v>8</v>
      </c>
      <c r="D246" s="58" t="s">
        <v>222</v>
      </c>
      <c r="E246" s="31" t="s">
        <v>21</v>
      </c>
      <c r="F246" s="8">
        <f>(INT(Table_Moldova[[#This Row],[Date]]) - DATE(1970, 1, 1)) * 86400000</f>
        <v>1727136000000</v>
      </c>
      <c r="G246">
        <f>'GMT Glossary'!$B$7</f>
        <v>3</v>
      </c>
      <c r="H246" s="2" t="str">
        <f>TEXT(IF(B246&lt;0, A246+1+((B246+(G246/24))-(INT(B246+(G246/24)))), A246+(B246+(G246/24))), "yyyy-mm-dd")</f>
        <v>2024-09-24</v>
      </c>
      <c r="I246" s="2" t="str">
        <f>TEXT(IF(B246&lt;0, A246+1+((B246+(G246/24))-(INT(B246+(G246/24)))), A246+(B246+(G246/24))), "hh:mm")</f>
        <v>08:00</v>
      </c>
    </row>
    <row r="247" spans="1:9" x14ac:dyDescent="0.25">
      <c r="A247" s="46">
        <v>45559</v>
      </c>
      <c r="B247" s="38">
        <v>0.20833333333333334</v>
      </c>
      <c r="C247" s="97" t="s">
        <v>398</v>
      </c>
      <c r="D247" s="58" t="s">
        <v>92</v>
      </c>
      <c r="E247" s="31" t="s">
        <v>72</v>
      </c>
      <c r="F247" s="8">
        <f>(INT(Table_Moldova[[#This Row],[Date]]) - DATE(1970, 1, 1)) * 86400000</f>
        <v>1727136000000</v>
      </c>
      <c r="G247">
        <f>'GMT Glossary'!$B$7</f>
        <v>3</v>
      </c>
      <c r="H247" s="2" t="str">
        <f>TEXT(IF(B247&lt;0, A247+1+((B247+(G247/24))-(INT(B247+(G247/24)))), A247+(B247+(G247/24))), "yyyy-mm-dd")</f>
        <v>2024-09-24</v>
      </c>
      <c r="I247" s="2" t="str">
        <f>TEXT(IF(B247&lt;0, A247+1+((B247+(G247/24))-(INT(B247+(G247/24)))), A247+(B247+(G247/24))), "hh:mm")</f>
        <v>08:00</v>
      </c>
    </row>
    <row r="248" spans="1:9" ht="15.75" x14ac:dyDescent="0.25">
      <c r="A248" s="14">
        <v>45559</v>
      </c>
      <c r="B248" s="19">
        <v>0.20833333333333334</v>
      </c>
      <c r="C248" s="94" t="s">
        <v>8</v>
      </c>
      <c r="D248" s="16" t="s">
        <v>302</v>
      </c>
      <c r="E248" s="13" t="s">
        <v>100</v>
      </c>
      <c r="F248" s="8">
        <f>(INT(Table_Moldova[[#This Row],[Date]]) - DATE(1970, 1, 1)) * 86400000</f>
        <v>1727136000000</v>
      </c>
      <c r="G248" s="10">
        <f>'GMT Glossary'!$B$7</f>
        <v>3</v>
      </c>
      <c r="H248" s="2" t="str">
        <f>TEXT(IF(B248&lt;0, A248+1+((B248+(G248/24))-(INT(B248+(G248/24)))), A248+(B248+(G248/24))), "yyyy-mm-dd")</f>
        <v>2024-09-24</v>
      </c>
      <c r="I248" s="2" t="str">
        <f>TEXT(IF(B248&lt;0, A248+1+((B248+(G248/24))-(INT(B248+(G248/24)))), A248+(B248+(G248/24))), "hh:mm")</f>
        <v>08:00</v>
      </c>
    </row>
    <row r="249" spans="1:9" x14ac:dyDescent="0.25">
      <c r="A249" s="63">
        <v>45559</v>
      </c>
      <c r="B249" s="88">
        <v>0.29166666666666669</v>
      </c>
      <c r="C249" s="96" t="s">
        <v>8</v>
      </c>
      <c r="D249" s="58" t="s">
        <v>219</v>
      </c>
      <c r="E249" s="31" t="s">
        <v>21</v>
      </c>
      <c r="F249" s="8">
        <f>(INT(Table_Moldova[[#This Row],[Date]]) - DATE(1970, 1, 1)) * 86400000</f>
        <v>1727136000000</v>
      </c>
      <c r="G249" s="10">
        <f>'GMT Glossary'!$B$7</f>
        <v>3</v>
      </c>
      <c r="H249" s="2" t="str">
        <f>TEXT(IF(B249&lt;0, A249+1+((B249+(G249/24))-(INT(B249+(G249/24)))), A249+(B249+(G249/24))), "yyyy-mm-dd")</f>
        <v>2024-09-24</v>
      </c>
      <c r="I249" s="2" t="str">
        <f>TEXT(IF(B249&lt;0, A249+1+((B249+(G249/24))-(INT(B249+(G249/24)))), A249+(B249+(G249/24))), "hh:mm")</f>
        <v>10:00</v>
      </c>
    </row>
    <row r="250" spans="1:9" x14ac:dyDescent="0.25">
      <c r="A250" s="39">
        <v>45559</v>
      </c>
      <c r="B250" s="57">
        <v>0.29166666666666669</v>
      </c>
      <c r="C250" s="97" t="s">
        <v>8</v>
      </c>
      <c r="D250" s="54" t="s">
        <v>252</v>
      </c>
      <c r="E250" s="31" t="s">
        <v>72</v>
      </c>
      <c r="F250" s="8">
        <f>(INT(Table_Moldova[[#This Row],[Date]]) - DATE(1970, 1, 1)) * 86400000</f>
        <v>1727136000000</v>
      </c>
      <c r="G250" s="10">
        <f>'GMT Glossary'!$B$7</f>
        <v>3</v>
      </c>
      <c r="H250" s="2" t="str">
        <f>TEXT(IF(B250&lt;0, A250+1+((B250+(G250/24))-(INT(B250+(G250/24)))), A250+(B250+(G250/24))), "yyyy-mm-dd")</f>
        <v>2024-09-24</v>
      </c>
      <c r="I250" s="2" t="str">
        <f>TEXT(IF(B250&lt;0, A250+1+((B250+(G250/24))-(INT(B250+(G250/24)))), A250+(B250+(G250/24))), "hh:mm")</f>
        <v>10:00</v>
      </c>
    </row>
    <row r="251" spans="1:9" ht="15.75" x14ac:dyDescent="0.25">
      <c r="A251" s="82">
        <v>45559</v>
      </c>
      <c r="B251" s="52">
        <v>0.29166666666666669</v>
      </c>
      <c r="C251" s="93" t="s">
        <v>8</v>
      </c>
      <c r="D251" s="75" t="s">
        <v>303</v>
      </c>
      <c r="E251" s="13" t="s">
        <v>100</v>
      </c>
      <c r="F251" s="21">
        <f>(INT(Table_Moldova[[#This Row],[Date]]) - DATE(1970, 1, 1)) * 86400000</f>
        <v>1727136000000</v>
      </c>
      <c r="G251" s="12">
        <f>'GMT Glossary'!$B$7</f>
        <v>3</v>
      </c>
      <c r="H251" s="18" t="str">
        <f>TEXT(IF(B251&lt;0, A251+1+((B251+(G251/24))-(INT(B251+(G251/24)))), A251+(B251+(G251/24))), "yyyy-mm-dd")</f>
        <v>2024-09-24</v>
      </c>
      <c r="I251" s="18" t="str">
        <f>TEXT(IF(B251&lt;0, A251+1+((B251+(G251/24))-(INT(B251+(G251/24)))), A251+(B251+(G251/24))), "hh:mm")</f>
        <v>10:00</v>
      </c>
    </row>
  </sheetData>
  <sortState ref="A2:I251">
    <sortCondition ref="A2:A251"/>
    <sortCondition ref="B2:B251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40F0B-1A06-4A9F-97C3-85886513079F}">
  <sheetPr codeName="Sheet11"/>
  <dimension ref="A1:I165"/>
  <sheetViews>
    <sheetView tabSelected="1" topLeftCell="A134" workbookViewId="0">
      <selection activeCell="E155" sqref="E155"/>
    </sheetView>
  </sheetViews>
  <sheetFormatPr defaultRowHeight="15" x14ac:dyDescent="0.25"/>
  <cols>
    <col min="3" max="3" width="25.7109375" customWidth="1"/>
    <col min="4" max="4" width="65.28515625" bestFit="1" customWidth="1"/>
    <col min="5" max="5" width="55.140625" customWidth="1"/>
    <col min="6" max="6" width="26.28515625" style="8" customWidth="1"/>
    <col min="8" max="8" width="42.28515625" customWidth="1"/>
    <col min="9" max="9" width="40.570312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2" t="s">
        <v>20</v>
      </c>
      <c r="I1" t="s">
        <v>7</v>
      </c>
    </row>
    <row r="2" spans="1:9" x14ac:dyDescent="0.25">
      <c r="A2" s="107">
        <v>45552</v>
      </c>
      <c r="B2" s="108">
        <v>0.375</v>
      </c>
      <c r="C2" s="106" t="s">
        <v>8</v>
      </c>
      <c r="D2" s="109" t="s">
        <v>78</v>
      </c>
      <c r="E2" s="9" t="s">
        <v>21</v>
      </c>
      <c r="F2" s="8">
        <f>(INT(Table_Uzbekistan[[#This Row],[Date]]) - DATE(1970, 1, 1)) * 86400000</f>
        <v>1726531200000</v>
      </c>
      <c r="G2">
        <f>'GMT Glossary'!$B$9</f>
        <v>5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14:00</v>
      </c>
    </row>
    <row r="3" spans="1:9" x14ac:dyDescent="0.25">
      <c r="A3" s="23">
        <v>45552</v>
      </c>
      <c r="B3" s="20">
        <v>0.375</v>
      </c>
      <c r="C3" s="19" t="s">
        <v>8</v>
      </c>
      <c r="D3" s="109" t="s">
        <v>108</v>
      </c>
      <c r="E3" s="9" t="s">
        <v>72</v>
      </c>
      <c r="F3" s="8">
        <f>(INT(Table_Uzbekistan[[#This Row],[Date]]) - DATE(1970, 1, 1)) * 86400000</f>
        <v>1726531200000</v>
      </c>
      <c r="G3" s="10">
        <f>'GMT Glossary'!$B$9</f>
        <v>5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14:00</v>
      </c>
    </row>
    <row r="4" spans="1:9" x14ac:dyDescent="0.25">
      <c r="A4" s="107">
        <v>45552</v>
      </c>
      <c r="B4" s="108">
        <v>0.45833333333333331</v>
      </c>
      <c r="C4" s="106" t="s">
        <v>8</v>
      </c>
      <c r="D4" s="109" t="s">
        <v>195</v>
      </c>
      <c r="E4" s="9" t="s">
        <v>21</v>
      </c>
      <c r="F4" s="8">
        <f>(INT(Table_Uzbekistan[[#This Row],[Date]]) - DATE(1970, 1, 1)) * 86400000</f>
        <v>1726531200000</v>
      </c>
      <c r="G4" s="10">
        <f>'GMT Glossary'!$B$9</f>
        <v>5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16:00</v>
      </c>
    </row>
    <row r="5" spans="1:9" x14ac:dyDescent="0.25">
      <c r="A5" s="23">
        <v>45552</v>
      </c>
      <c r="B5" s="20">
        <v>0.45833333333333331</v>
      </c>
      <c r="C5" s="19" t="s">
        <v>8</v>
      </c>
      <c r="D5" s="103" t="s">
        <v>229</v>
      </c>
      <c r="E5" s="9" t="s">
        <v>72</v>
      </c>
      <c r="F5" s="8">
        <f>(INT(Table_Uzbekistan[[#This Row],[Date]]) - DATE(1970, 1, 1)) * 86400000</f>
        <v>1726531200000</v>
      </c>
      <c r="G5" s="10">
        <f>'GMT Glossary'!$B$9</f>
        <v>5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16:00</v>
      </c>
    </row>
    <row r="6" spans="1:9" x14ac:dyDescent="0.25">
      <c r="A6" s="107">
        <v>45552</v>
      </c>
      <c r="B6" s="108">
        <v>0.54166666666666663</v>
      </c>
      <c r="C6" s="106" t="s">
        <v>8</v>
      </c>
      <c r="D6" s="109" t="s">
        <v>129</v>
      </c>
      <c r="E6" s="9" t="s">
        <v>21</v>
      </c>
      <c r="F6" s="8">
        <f>(INT(Table_Uzbekistan[[#This Row],[Date]]) - DATE(1970, 1, 1)) * 86400000</f>
        <v>1726531200000</v>
      </c>
      <c r="G6" s="10">
        <f>'GMT Glossary'!$B$9</f>
        <v>5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18:00</v>
      </c>
    </row>
    <row r="7" spans="1:9" x14ac:dyDescent="0.25">
      <c r="A7" s="23">
        <v>45552</v>
      </c>
      <c r="B7" s="20">
        <v>0.54166666666666663</v>
      </c>
      <c r="C7" s="19" t="s">
        <v>8</v>
      </c>
      <c r="D7" s="103" t="s">
        <v>230</v>
      </c>
      <c r="E7" s="9" t="s">
        <v>72</v>
      </c>
      <c r="F7" s="8">
        <f>(INT(Table_Uzbekistan[[#This Row],[Date]]) - DATE(1970, 1, 1)) * 86400000</f>
        <v>1726531200000</v>
      </c>
      <c r="G7" s="10">
        <f>'GMT Glossary'!$B$9</f>
        <v>5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18:00</v>
      </c>
    </row>
    <row r="8" spans="1:9" x14ac:dyDescent="0.25">
      <c r="A8" s="107">
        <v>45552</v>
      </c>
      <c r="B8" s="108">
        <v>0.625</v>
      </c>
      <c r="C8" s="106" t="s">
        <v>8</v>
      </c>
      <c r="D8" s="109" t="s">
        <v>79</v>
      </c>
      <c r="E8" s="9" t="s">
        <v>21</v>
      </c>
      <c r="F8" s="8">
        <f>(INT(Table_Uzbekistan[[#This Row],[Date]]) - DATE(1970, 1, 1)) * 86400000</f>
        <v>1726531200000</v>
      </c>
      <c r="G8" s="10">
        <f>'GMT Glossary'!$B$9</f>
        <v>5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20:00</v>
      </c>
    </row>
    <row r="9" spans="1:9" x14ac:dyDescent="0.25">
      <c r="A9" s="23">
        <v>45552</v>
      </c>
      <c r="B9" s="20">
        <v>0.625</v>
      </c>
      <c r="C9" s="19" t="s">
        <v>8</v>
      </c>
      <c r="D9" s="109" t="s">
        <v>88</v>
      </c>
      <c r="E9" s="9" t="s">
        <v>72</v>
      </c>
      <c r="F9" s="8">
        <f>(INT(Table_Uzbekistan[[#This Row],[Date]]) - DATE(1970, 1, 1)) * 86400000</f>
        <v>1726531200000</v>
      </c>
      <c r="G9" s="10">
        <f>'GMT Glossary'!$B$9</f>
        <v>5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20:00</v>
      </c>
    </row>
    <row r="10" spans="1:9" x14ac:dyDescent="0.25">
      <c r="A10" s="107">
        <v>45552</v>
      </c>
      <c r="B10" s="108">
        <v>0.70833333333333337</v>
      </c>
      <c r="C10" s="106" t="s">
        <v>8</v>
      </c>
      <c r="D10" s="109" t="s">
        <v>43</v>
      </c>
      <c r="E10" s="9" t="s">
        <v>21</v>
      </c>
      <c r="F10" s="8">
        <f>(INT(Table_Uzbekistan[[#This Row],[Date]]) - DATE(1970, 1, 1)) * 86400000</f>
        <v>1726531200000</v>
      </c>
      <c r="G10" s="10">
        <f>'GMT Glossary'!$B$9</f>
        <v>5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22:00</v>
      </c>
    </row>
    <row r="11" spans="1:9" x14ac:dyDescent="0.25">
      <c r="A11" s="23">
        <v>45552</v>
      </c>
      <c r="B11" s="20">
        <v>0.70833333333333337</v>
      </c>
      <c r="C11" s="19" t="s">
        <v>8</v>
      </c>
      <c r="D11" s="103" t="s">
        <v>93</v>
      </c>
      <c r="E11" s="9" t="s">
        <v>72</v>
      </c>
      <c r="F11" s="8">
        <f>(INT(Table_Uzbekistan[[#This Row],[Date]]) - DATE(1970, 1, 1)) * 86400000</f>
        <v>1726531200000</v>
      </c>
      <c r="G11" s="10">
        <f>'GMT Glossary'!$B$9</f>
        <v>5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22:00</v>
      </c>
    </row>
    <row r="12" spans="1:9" x14ac:dyDescent="0.25">
      <c r="A12" s="23">
        <v>45552</v>
      </c>
      <c r="B12" s="20">
        <v>0.78125</v>
      </c>
      <c r="C12" s="19" t="s">
        <v>8</v>
      </c>
      <c r="D12" s="105" t="s">
        <v>231</v>
      </c>
      <c r="E12" s="9" t="s">
        <v>72</v>
      </c>
      <c r="F12" s="8">
        <f>(INT(Table_Uzbekistan[[#This Row],[Date]]) - DATE(1970, 1, 1)) * 86400000</f>
        <v>1726531200000</v>
      </c>
      <c r="G12" s="10">
        <f>'GMT Glossary'!$B$9</f>
        <v>5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23:45</v>
      </c>
    </row>
    <row r="13" spans="1:9" x14ac:dyDescent="0.25">
      <c r="A13" s="107">
        <v>45552</v>
      </c>
      <c r="B13" s="108">
        <v>0.79166666666666663</v>
      </c>
      <c r="C13" s="106" t="s">
        <v>8</v>
      </c>
      <c r="D13" s="99" t="s">
        <v>196</v>
      </c>
      <c r="E13" s="9" t="s">
        <v>21</v>
      </c>
      <c r="F13" s="8">
        <f>(INT(Table_Uzbekistan[[#This Row],[Date]]) - DATE(1970, 1, 1)) * 86400000</f>
        <v>1726531200000</v>
      </c>
      <c r="G13" s="10">
        <f>'GMT Glossary'!$B$9</f>
        <v>5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00:00</v>
      </c>
    </row>
    <row r="14" spans="1:9" x14ac:dyDescent="0.25">
      <c r="A14" s="107">
        <v>45552</v>
      </c>
      <c r="B14" s="108">
        <v>0.875</v>
      </c>
      <c r="C14" s="106" t="s">
        <v>8</v>
      </c>
      <c r="D14" s="109" t="s">
        <v>197</v>
      </c>
      <c r="E14" s="9" t="s">
        <v>21</v>
      </c>
      <c r="F14" s="8">
        <f>(INT(Table_Uzbekistan[[#This Row],[Date]]) - DATE(1970, 1, 1)) * 86400000</f>
        <v>1726531200000</v>
      </c>
      <c r="G14" s="10">
        <f>'GMT Glossary'!$B$9</f>
        <v>5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02:00</v>
      </c>
    </row>
    <row r="15" spans="1:9" x14ac:dyDescent="0.25">
      <c r="A15" s="23">
        <v>45552</v>
      </c>
      <c r="B15" s="20">
        <v>0.875</v>
      </c>
      <c r="C15" s="19" t="s">
        <v>8</v>
      </c>
      <c r="D15" s="109" t="s">
        <v>89</v>
      </c>
      <c r="E15" s="9" t="s">
        <v>72</v>
      </c>
      <c r="F15" s="8">
        <f>(INT(Table_Uzbekistan[[#This Row],[Date]]) - DATE(1970, 1, 1)) * 86400000</f>
        <v>1726531200000</v>
      </c>
      <c r="G15" s="10">
        <f>'GMT Glossary'!$B$9</f>
        <v>5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02:00</v>
      </c>
    </row>
    <row r="16" spans="1:9" x14ac:dyDescent="0.25">
      <c r="A16" s="107">
        <v>45552</v>
      </c>
      <c r="B16" s="108">
        <v>0.95833333333333337</v>
      </c>
      <c r="C16" s="106" t="s">
        <v>8</v>
      </c>
      <c r="D16" s="109" t="s">
        <v>198</v>
      </c>
      <c r="E16" s="9" t="s">
        <v>21</v>
      </c>
      <c r="F16" s="8">
        <f>(INT(Table_Uzbekistan[[#This Row],[Date]]) - DATE(1970, 1, 1)) * 86400000</f>
        <v>1726531200000</v>
      </c>
      <c r="G16" s="10">
        <f>'GMT Glossary'!$B$9</f>
        <v>5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04:00</v>
      </c>
    </row>
    <row r="17" spans="1:9" x14ac:dyDescent="0.25">
      <c r="A17" s="23">
        <v>45552</v>
      </c>
      <c r="B17" s="20">
        <v>0.95833333333333337</v>
      </c>
      <c r="C17" s="19" t="s">
        <v>8</v>
      </c>
      <c r="D17" s="103" t="s">
        <v>232</v>
      </c>
      <c r="E17" s="9" t="s">
        <v>72</v>
      </c>
      <c r="F17" s="8">
        <f>(INT(Table_Uzbekistan[[#This Row],[Date]]) - DATE(1970, 1, 1)) * 86400000</f>
        <v>1726531200000</v>
      </c>
      <c r="G17" s="10">
        <f>'GMT Glossary'!$B$9</f>
        <v>5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04:00</v>
      </c>
    </row>
    <row r="18" spans="1:9" x14ac:dyDescent="0.25">
      <c r="A18" s="107">
        <v>45553</v>
      </c>
      <c r="B18" s="108">
        <v>4.1666666666666664E-2</v>
      </c>
      <c r="C18" s="106" t="s">
        <v>8</v>
      </c>
      <c r="D18" s="109" t="s">
        <v>74</v>
      </c>
      <c r="E18" s="9" t="s">
        <v>21</v>
      </c>
      <c r="F18" s="8">
        <f>(INT(Table_Uzbekistan[[#This Row],[Date]]) - DATE(1970, 1, 1)) * 86400000</f>
        <v>1726617600000</v>
      </c>
      <c r="G18">
        <f>'GMT Glossary'!$B$9</f>
        <v>5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06:00</v>
      </c>
    </row>
    <row r="19" spans="1:9" x14ac:dyDescent="0.25">
      <c r="A19" s="107">
        <v>45553</v>
      </c>
      <c r="B19" s="108">
        <v>4.1666666666666664E-2</v>
      </c>
      <c r="C19" s="106" t="s">
        <v>8</v>
      </c>
      <c r="D19" s="109" t="s">
        <v>75</v>
      </c>
      <c r="E19" s="9" t="s">
        <v>21</v>
      </c>
      <c r="F19" s="8">
        <f>(INT(Table_Uzbekistan[[#This Row],[Date]]) - DATE(1970, 1, 1)) * 86400000</f>
        <v>1726617600000</v>
      </c>
      <c r="G19" s="10">
        <f>'GMT Glossary'!$B$9</f>
        <v>5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06:00</v>
      </c>
    </row>
    <row r="20" spans="1:9" x14ac:dyDescent="0.25">
      <c r="A20" s="23">
        <v>45553</v>
      </c>
      <c r="B20" s="20">
        <v>4.1666666666666664E-2</v>
      </c>
      <c r="C20" s="19" t="s">
        <v>8</v>
      </c>
      <c r="D20" s="109" t="s">
        <v>102</v>
      </c>
      <c r="E20" s="9" t="s">
        <v>72</v>
      </c>
      <c r="F20" s="8">
        <f>(INT(Table_Uzbekistan[[#This Row],[Date]]) - DATE(1970, 1, 1)) * 86400000</f>
        <v>1726617600000</v>
      </c>
      <c r="G20" s="10">
        <f>'GMT Glossary'!$B$9</f>
        <v>5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06:00</v>
      </c>
    </row>
    <row r="21" spans="1:9" x14ac:dyDescent="0.25">
      <c r="A21" s="107">
        <v>45553</v>
      </c>
      <c r="B21" s="108">
        <v>0.125</v>
      </c>
      <c r="C21" s="106" t="s">
        <v>8</v>
      </c>
      <c r="D21" s="104" t="s">
        <v>77</v>
      </c>
      <c r="E21" s="9" t="s">
        <v>21</v>
      </c>
      <c r="F21" s="8">
        <f>(INT(Table_Uzbekistan[[#This Row],[Date]]) - DATE(1970, 1, 1)) * 86400000</f>
        <v>1726617600000</v>
      </c>
      <c r="G21" s="10">
        <f>'GMT Glossary'!$B$9</f>
        <v>5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08:00</v>
      </c>
    </row>
    <row r="22" spans="1:9" x14ac:dyDescent="0.25">
      <c r="A22" s="23">
        <v>45553</v>
      </c>
      <c r="B22" s="20">
        <v>0.125</v>
      </c>
      <c r="C22" s="19" t="s">
        <v>401</v>
      </c>
      <c r="D22" s="109" t="s">
        <v>81</v>
      </c>
      <c r="E22" s="9" t="s">
        <v>72</v>
      </c>
      <c r="F22" s="8">
        <f>(INT(Table_Uzbekistan[[#This Row],[Date]]) - DATE(1970, 1, 1)) * 86400000</f>
        <v>1726617600000</v>
      </c>
      <c r="G22" s="10">
        <f>'GMT Glossary'!$B$9</f>
        <v>5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08:00</v>
      </c>
    </row>
    <row r="23" spans="1:9" x14ac:dyDescent="0.25">
      <c r="A23" s="107">
        <v>45553</v>
      </c>
      <c r="B23" s="108">
        <v>0.20833333333333334</v>
      </c>
      <c r="C23" s="106" t="s">
        <v>8</v>
      </c>
      <c r="D23" s="109" t="s">
        <v>80</v>
      </c>
      <c r="E23" s="9" t="s">
        <v>21</v>
      </c>
      <c r="F23" s="8">
        <f>(INT(Table_Uzbekistan[[#This Row],[Date]]) - DATE(1970, 1, 1)) * 86400000</f>
        <v>1726617600000</v>
      </c>
      <c r="G23" s="10">
        <f>'GMT Glossary'!$B$9</f>
        <v>5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10:00</v>
      </c>
    </row>
    <row r="24" spans="1:9" x14ac:dyDescent="0.25">
      <c r="A24" s="23">
        <v>45553</v>
      </c>
      <c r="B24" s="20">
        <v>0.25</v>
      </c>
      <c r="C24" s="19" t="s">
        <v>402</v>
      </c>
      <c r="D24" s="103" t="s">
        <v>82</v>
      </c>
      <c r="E24" s="9" t="s">
        <v>72</v>
      </c>
      <c r="F24" s="8">
        <f>(INT(Table_Uzbekistan[[#This Row],[Date]]) - DATE(1970, 1, 1)) * 86400000</f>
        <v>1726617600000</v>
      </c>
      <c r="G24" s="10">
        <f>'GMT Glossary'!$B$9</f>
        <v>5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11:00</v>
      </c>
    </row>
    <row r="25" spans="1:9" x14ac:dyDescent="0.25">
      <c r="A25" s="107">
        <v>45553</v>
      </c>
      <c r="B25" s="108">
        <v>0.29166666666666669</v>
      </c>
      <c r="C25" s="106" t="s">
        <v>8</v>
      </c>
      <c r="D25" s="109" t="s">
        <v>199</v>
      </c>
      <c r="E25" s="9" t="s">
        <v>21</v>
      </c>
      <c r="F25" s="8">
        <f>(INT(Table_Uzbekistan[[#This Row],[Date]]) - DATE(1970, 1, 1)) * 86400000</f>
        <v>1726617600000</v>
      </c>
      <c r="G25" s="10">
        <f>'GMT Glossary'!$B$9</f>
        <v>5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12:00</v>
      </c>
    </row>
    <row r="26" spans="1:9" x14ac:dyDescent="0.25">
      <c r="A26" s="107">
        <v>45553</v>
      </c>
      <c r="B26" s="108">
        <v>0.375</v>
      </c>
      <c r="C26" s="106" t="s">
        <v>8</v>
      </c>
      <c r="D26" s="109" t="s">
        <v>200</v>
      </c>
      <c r="E26" s="9" t="s">
        <v>21</v>
      </c>
      <c r="F26" s="8">
        <f>(INT(Table_Uzbekistan[[#This Row],[Date]]) - DATE(1970, 1, 1)) * 86400000</f>
        <v>1726617600000</v>
      </c>
      <c r="G26" s="10">
        <f>'GMT Glossary'!$B$9</f>
        <v>5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14:00</v>
      </c>
    </row>
    <row r="27" spans="1:9" x14ac:dyDescent="0.25">
      <c r="A27" s="23">
        <v>45553</v>
      </c>
      <c r="B27" s="20">
        <v>0.375</v>
      </c>
      <c r="C27" s="19" t="s">
        <v>8</v>
      </c>
      <c r="D27" s="103" t="s">
        <v>90</v>
      </c>
      <c r="E27" s="9" t="s">
        <v>72</v>
      </c>
      <c r="F27" s="8">
        <f>(INT(Table_Uzbekistan[[#This Row],[Date]]) - DATE(1970, 1, 1)) * 86400000</f>
        <v>1726617600000</v>
      </c>
      <c r="G27" s="10">
        <f>'GMT Glossary'!$B$9</f>
        <v>5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14:00</v>
      </c>
    </row>
    <row r="28" spans="1:9" x14ac:dyDescent="0.25">
      <c r="A28" s="107">
        <v>45553</v>
      </c>
      <c r="B28" s="108">
        <v>0.41666666666666669</v>
      </c>
      <c r="C28" s="106" t="s">
        <v>8</v>
      </c>
      <c r="D28" s="109" t="s">
        <v>99</v>
      </c>
      <c r="E28" s="9" t="s">
        <v>21</v>
      </c>
      <c r="F28" s="8">
        <f>(INT(Table_Uzbekistan[[#This Row],[Date]]) - DATE(1970, 1, 1)) * 86400000</f>
        <v>1726617600000</v>
      </c>
      <c r="G28" s="10">
        <f>'GMT Glossary'!$B$9</f>
        <v>5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15:00</v>
      </c>
    </row>
    <row r="29" spans="1:9" x14ac:dyDescent="0.25">
      <c r="A29" s="107">
        <v>45553</v>
      </c>
      <c r="B29" s="108">
        <v>0.45833333333333331</v>
      </c>
      <c r="C29" s="106" t="s">
        <v>8</v>
      </c>
      <c r="D29" s="109" t="s">
        <v>201</v>
      </c>
      <c r="E29" s="9" t="s">
        <v>21</v>
      </c>
      <c r="F29" s="8">
        <f>(INT(Table_Uzbekistan[[#This Row],[Date]]) - DATE(1970, 1, 1)) * 86400000</f>
        <v>1726617600000</v>
      </c>
      <c r="G29" s="10">
        <f>'GMT Glossary'!$B$9</f>
        <v>5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16:00</v>
      </c>
    </row>
    <row r="30" spans="1:9" x14ac:dyDescent="0.25">
      <c r="A30" s="23">
        <v>45553</v>
      </c>
      <c r="B30" s="20">
        <v>0.45833333333333331</v>
      </c>
      <c r="C30" s="19" t="s">
        <v>8</v>
      </c>
      <c r="D30" s="109" t="s">
        <v>108</v>
      </c>
      <c r="E30" s="9" t="s">
        <v>72</v>
      </c>
      <c r="F30" s="8">
        <f>(INT(Table_Uzbekistan[[#This Row],[Date]]) - DATE(1970, 1, 1)) * 86400000</f>
        <v>1726617600000</v>
      </c>
      <c r="G30" s="10">
        <f>'GMT Glossary'!$B$9</f>
        <v>5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16:00</v>
      </c>
    </row>
    <row r="31" spans="1:9" x14ac:dyDescent="0.25">
      <c r="A31" s="107">
        <v>45553</v>
      </c>
      <c r="B31" s="108">
        <v>0.5</v>
      </c>
      <c r="C31" s="106" t="s">
        <v>8</v>
      </c>
      <c r="D31" s="109" t="s">
        <v>202</v>
      </c>
      <c r="E31" s="9" t="s">
        <v>21</v>
      </c>
      <c r="F31" s="8">
        <f>(INT(Table_Uzbekistan[[#This Row],[Date]]) - DATE(1970, 1, 1)) * 86400000</f>
        <v>1726617600000</v>
      </c>
      <c r="G31" s="10">
        <f>'GMT Glossary'!$B$9</f>
        <v>5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17:00</v>
      </c>
    </row>
    <row r="32" spans="1:9" x14ac:dyDescent="0.25">
      <c r="A32" s="107">
        <v>45553</v>
      </c>
      <c r="B32" s="108">
        <v>0.54166666666666663</v>
      </c>
      <c r="C32" s="106" t="s">
        <v>8</v>
      </c>
      <c r="D32" s="109" t="s">
        <v>203</v>
      </c>
      <c r="E32" s="9" t="s">
        <v>21</v>
      </c>
      <c r="F32" s="8">
        <f>(INT(Table_Uzbekistan[[#This Row],[Date]]) - DATE(1970, 1, 1)) * 86400000</f>
        <v>1726617600000</v>
      </c>
      <c r="G32">
        <f>'GMT Glossary'!$B$9</f>
        <v>5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18:00</v>
      </c>
    </row>
    <row r="33" spans="1:9" x14ac:dyDescent="0.25">
      <c r="A33" s="23">
        <v>45553</v>
      </c>
      <c r="B33" s="20">
        <v>0.54166666666666663</v>
      </c>
      <c r="C33" s="19" t="s">
        <v>8</v>
      </c>
      <c r="D33" s="109" t="s">
        <v>35</v>
      </c>
      <c r="E33" s="9" t="s">
        <v>72</v>
      </c>
      <c r="F33" s="8">
        <f>(INT(Table_Uzbekistan[[#This Row],[Date]]) - DATE(1970, 1, 1)) * 86400000</f>
        <v>1726617600000</v>
      </c>
      <c r="G33" s="10">
        <f>'GMT Glossary'!$B$9</f>
        <v>5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18:00</v>
      </c>
    </row>
    <row r="34" spans="1:9" x14ac:dyDescent="0.25">
      <c r="A34" s="107">
        <v>45553</v>
      </c>
      <c r="B34" s="108">
        <v>0.625</v>
      </c>
      <c r="C34" s="106" t="s">
        <v>8</v>
      </c>
      <c r="D34" s="104" t="s">
        <v>74</v>
      </c>
      <c r="E34" s="9" t="s">
        <v>21</v>
      </c>
      <c r="F34" s="8">
        <f>(INT(Table_Uzbekistan[[#This Row],[Date]]) - DATE(1970, 1, 1)) * 86400000</f>
        <v>1726617600000</v>
      </c>
      <c r="G34" s="10">
        <f>'GMT Glossary'!$B$9</f>
        <v>5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20:00</v>
      </c>
    </row>
    <row r="35" spans="1:9" x14ac:dyDescent="0.25">
      <c r="A35" s="23">
        <v>45553</v>
      </c>
      <c r="B35" s="20">
        <v>0.625</v>
      </c>
      <c r="C35" s="19" t="s">
        <v>8</v>
      </c>
      <c r="D35" s="103" t="s">
        <v>86</v>
      </c>
      <c r="E35" s="9" t="s">
        <v>72</v>
      </c>
      <c r="F35" s="8">
        <f>(INT(Table_Uzbekistan[[#This Row],[Date]]) - DATE(1970, 1, 1)) * 86400000</f>
        <v>1726617600000</v>
      </c>
      <c r="G35" s="10">
        <f>'GMT Glossary'!$B$9</f>
        <v>5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20:00</v>
      </c>
    </row>
    <row r="36" spans="1:9" x14ac:dyDescent="0.25">
      <c r="A36" s="107">
        <v>45553</v>
      </c>
      <c r="B36" s="108">
        <v>0.70833333333333337</v>
      </c>
      <c r="C36" s="106" t="s">
        <v>8</v>
      </c>
      <c r="D36" s="109" t="s">
        <v>115</v>
      </c>
      <c r="E36" s="9" t="s">
        <v>21</v>
      </c>
      <c r="F36" s="8">
        <f>(INT(Table_Uzbekistan[[#This Row],[Date]]) - DATE(1970, 1, 1)) * 86400000</f>
        <v>1726617600000</v>
      </c>
      <c r="G36" s="10">
        <f>'GMT Glossary'!$B$9</f>
        <v>5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22:00</v>
      </c>
    </row>
    <row r="37" spans="1:9" x14ac:dyDescent="0.25">
      <c r="A37" s="23">
        <v>45553</v>
      </c>
      <c r="B37" s="20">
        <v>0.70833333333333337</v>
      </c>
      <c r="C37" s="19" t="s">
        <v>8</v>
      </c>
      <c r="D37" s="105" t="s">
        <v>126</v>
      </c>
      <c r="E37" s="9" t="s">
        <v>72</v>
      </c>
      <c r="F37" s="8">
        <f>(INT(Table_Uzbekistan[[#This Row],[Date]]) - DATE(1970, 1, 1)) * 86400000</f>
        <v>1726617600000</v>
      </c>
      <c r="G37" s="10">
        <f>'GMT Glossary'!$B$9</f>
        <v>5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22:00</v>
      </c>
    </row>
    <row r="38" spans="1:9" x14ac:dyDescent="0.25">
      <c r="A38" s="107">
        <v>45553</v>
      </c>
      <c r="B38" s="108">
        <v>0.79166666666666663</v>
      </c>
      <c r="C38" s="106" t="s">
        <v>8</v>
      </c>
      <c r="D38" s="99" t="s">
        <v>204</v>
      </c>
      <c r="E38" s="9" t="s">
        <v>21</v>
      </c>
      <c r="F38" s="8">
        <f>(INT(Table_Uzbekistan[[#This Row],[Date]]) - DATE(1970, 1, 1)) * 86400000</f>
        <v>1726617600000</v>
      </c>
      <c r="G38" s="10">
        <f>'GMT Glossary'!$B$9</f>
        <v>5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00:00</v>
      </c>
    </row>
    <row r="39" spans="1:9" x14ac:dyDescent="0.25">
      <c r="A39" s="23">
        <v>45553</v>
      </c>
      <c r="B39" s="20">
        <v>0.79166666666666663</v>
      </c>
      <c r="C39" s="19" t="s">
        <v>8</v>
      </c>
      <c r="D39" s="103" t="s">
        <v>64</v>
      </c>
      <c r="E39" s="9" t="s">
        <v>72</v>
      </c>
      <c r="F39" s="8">
        <f>(INT(Table_Uzbekistan[[#This Row],[Date]]) - DATE(1970, 1, 1)) * 86400000</f>
        <v>1726617600000</v>
      </c>
      <c r="G39" s="10">
        <f>'GMT Glossary'!$B$9</f>
        <v>5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00:00</v>
      </c>
    </row>
    <row r="40" spans="1:9" x14ac:dyDescent="0.25">
      <c r="A40" s="107">
        <v>45553</v>
      </c>
      <c r="B40" s="108">
        <v>0.875</v>
      </c>
      <c r="C40" s="106" t="s">
        <v>8</v>
      </c>
      <c r="D40" s="109" t="s">
        <v>205</v>
      </c>
      <c r="E40" s="9" t="s">
        <v>21</v>
      </c>
      <c r="F40" s="8">
        <f>(INT(Table_Uzbekistan[[#This Row],[Date]]) - DATE(1970, 1, 1)) * 86400000</f>
        <v>1726617600000</v>
      </c>
      <c r="G40" s="10">
        <f>'GMT Glossary'!$B$9</f>
        <v>5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02:00</v>
      </c>
    </row>
    <row r="41" spans="1:9" x14ac:dyDescent="0.25">
      <c r="A41" s="23">
        <v>45553</v>
      </c>
      <c r="B41" s="20">
        <v>0.875</v>
      </c>
      <c r="C41" s="19" t="s">
        <v>8</v>
      </c>
      <c r="D41" s="109" t="s">
        <v>88</v>
      </c>
      <c r="E41" s="9" t="s">
        <v>72</v>
      </c>
      <c r="F41" s="8">
        <f>(INT(Table_Uzbekistan[[#This Row],[Date]]) - DATE(1970, 1, 1)) * 86400000</f>
        <v>1726617600000</v>
      </c>
      <c r="G41" s="10">
        <f>'GMT Glossary'!$B$9</f>
        <v>5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02:00</v>
      </c>
    </row>
    <row r="42" spans="1:9" x14ac:dyDescent="0.25">
      <c r="A42" s="107">
        <v>45553</v>
      </c>
      <c r="B42" s="108">
        <v>0.95833333333333337</v>
      </c>
      <c r="C42" s="106" t="s">
        <v>8</v>
      </c>
      <c r="D42" s="109" t="s">
        <v>73</v>
      </c>
      <c r="E42" s="9" t="s">
        <v>21</v>
      </c>
      <c r="F42" s="8">
        <f>(INT(Table_Uzbekistan[[#This Row],[Date]]) - DATE(1970, 1, 1)) * 86400000</f>
        <v>1726617600000</v>
      </c>
      <c r="G42" s="10">
        <f>'GMT Glossary'!$B$9</f>
        <v>5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04:00</v>
      </c>
    </row>
    <row r="43" spans="1:9" x14ac:dyDescent="0.25">
      <c r="A43" s="23">
        <v>45553</v>
      </c>
      <c r="B43" s="20">
        <v>0.95833333333333337</v>
      </c>
      <c r="C43" s="19" t="s">
        <v>8</v>
      </c>
      <c r="D43" s="103" t="s">
        <v>40</v>
      </c>
      <c r="E43" s="9" t="s">
        <v>72</v>
      </c>
      <c r="F43" s="8">
        <f>(INT(Table_Uzbekistan[[#This Row],[Date]]) - DATE(1970, 1, 1)) * 86400000</f>
        <v>1726617600000</v>
      </c>
      <c r="G43" s="10">
        <f>'GMT Glossary'!$B$9</f>
        <v>5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04:00</v>
      </c>
    </row>
    <row r="44" spans="1:9" x14ac:dyDescent="0.25">
      <c r="A44" s="23">
        <v>45554</v>
      </c>
      <c r="B44" s="20">
        <v>4.1666666666666664E-2</v>
      </c>
      <c r="C44" s="19" t="s">
        <v>402</v>
      </c>
      <c r="D44" s="103" t="s">
        <v>91</v>
      </c>
      <c r="E44" s="9" t="s">
        <v>72</v>
      </c>
      <c r="F44" s="8">
        <f>(INT(Table_Uzbekistan[[#This Row],[Date]]) - DATE(1970, 1, 1)) * 86400000</f>
        <v>1726704000000</v>
      </c>
      <c r="G44" s="10">
        <f>'GMT Glossary'!$B$9</f>
        <v>5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06:00</v>
      </c>
    </row>
    <row r="45" spans="1:9" x14ac:dyDescent="0.25">
      <c r="A45" s="107">
        <v>45554</v>
      </c>
      <c r="B45" s="108">
        <v>0.125</v>
      </c>
      <c r="C45" s="106" t="s">
        <v>8</v>
      </c>
      <c r="D45" s="109" t="s">
        <v>78</v>
      </c>
      <c r="E45" s="9" t="s">
        <v>21</v>
      </c>
      <c r="F45" s="8">
        <f>(INT(Table_Uzbekistan[[#This Row],[Date]]) - DATE(1970, 1, 1)) * 86400000</f>
        <v>1726704000000</v>
      </c>
      <c r="G45" s="10">
        <f>'GMT Glossary'!$B$9</f>
        <v>5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08:00</v>
      </c>
    </row>
    <row r="46" spans="1:9" x14ac:dyDescent="0.25">
      <c r="A46" s="23">
        <v>45554</v>
      </c>
      <c r="B46" s="20">
        <v>0.16666666666666666</v>
      </c>
      <c r="C46" s="19" t="s">
        <v>401</v>
      </c>
      <c r="D46" s="104" t="s">
        <v>81</v>
      </c>
      <c r="E46" s="9" t="s">
        <v>72</v>
      </c>
      <c r="F46" s="8">
        <f>(INT(Table_Uzbekistan[[#This Row],[Date]]) - DATE(1970, 1, 1)) * 86400000</f>
        <v>1726704000000</v>
      </c>
      <c r="G46" s="10">
        <f>'GMT Glossary'!$B$9</f>
        <v>5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09:00</v>
      </c>
    </row>
    <row r="47" spans="1:9" x14ac:dyDescent="0.25">
      <c r="A47" s="107">
        <v>45554</v>
      </c>
      <c r="B47" s="108">
        <v>0.20833333333333334</v>
      </c>
      <c r="C47" s="106" t="s">
        <v>8</v>
      </c>
      <c r="D47" s="104" t="s">
        <v>195</v>
      </c>
      <c r="E47" s="9" t="s">
        <v>21</v>
      </c>
      <c r="F47" s="8">
        <f>(INT(Table_Uzbekistan[[#This Row],[Date]]) - DATE(1970, 1, 1)) * 86400000</f>
        <v>1726704000000</v>
      </c>
      <c r="G47">
        <f>'GMT Glossary'!$B$9</f>
        <v>5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10:00</v>
      </c>
    </row>
    <row r="48" spans="1:9" x14ac:dyDescent="0.25">
      <c r="A48" s="107">
        <v>45554</v>
      </c>
      <c r="B48" s="108">
        <v>0.29166666666666669</v>
      </c>
      <c r="C48" s="106" t="s">
        <v>8</v>
      </c>
      <c r="D48" s="109" t="s">
        <v>79</v>
      </c>
      <c r="E48" s="9" t="s">
        <v>21</v>
      </c>
      <c r="F48" s="8">
        <f>(INT(Table_Uzbekistan[[#This Row],[Date]]) - DATE(1970, 1, 1)) * 86400000</f>
        <v>1726704000000</v>
      </c>
      <c r="G48" s="10">
        <f>'GMT Glossary'!$B$9</f>
        <v>5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12:00</v>
      </c>
    </row>
    <row r="49" spans="1:9" x14ac:dyDescent="0.25">
      <c r="A49" s="23">
        <v>45554</v>
      </c>
      <c r="B49" s="20">
        <v>0.29166666666666669</v>
      </c>
      <c r="C49" s="19" t="s">
        <v>8</v>
      </c>
      <c r="D49" s="103" t="s">
        <v>233</v>
      </c>
      <c r="E49" s="9" t="s">
        <v>72</v>
      </c>
      <c r="F49" s="8">
        <f>(INT(Table_Uzbekistan[[#This Row],[Date]]) - DATE(1970, 1, 1)) * 86400000</f>
        <v>1726704000000</v>
      </c>
      <c r="G49" s="10">
        <f>'GMT Glossary'!$B$9</f>
        <v>5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12:00</v>
      </c>
    </row>
    <row r="50" spans="1:9" x14ac:dyDescent="0.25">
      <c r="A50" s="107">
        <v>45554</v>
      </c>
      <c r="B50" s="108">
        <v>0.375</v>
      </c>
      <c r="C50" s="106" t="s">
        <v>8</v>
      </c>
      <c r="D50" s="109" t="s">
        <v>200</v>
      </c>
      <c r="E50" s="9" t="s">
        <v>21</v>
      </c>
      <c r="F50" s="8">
        <f>(INT(Table_Uzbekistan[[#This Row],[Date]]) - DATE(1970, 1, 1)) * 86400000</f>
        <v>1726704000000</v>
      </c>
      <c r="G50" s="10">
        <f>'GMT Glossary'!$B$9</f>
        <v>5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14:00</v>
      </c>
    </row>
    <row r="51" spans="1:9" x14ac:dyDescent="0.25">
      <c r="A51" s="23">
        <v>45554</v>
      </c>
      <c r="B51" s="20">
        <v>0.375</v>
      </c>
      <c r="C51" s="19" t="s">
        <v>8</v>
      </c>
      <c r="D51" s="109" t="s">
        <v>102</v>
      </c>
      <c r="E51" s="9" t="s">
        <v>72</v>
      </c>
      <c r="F51" s="8">
        <f>(INT(Table_Uzbekistan[[#This Row],[Date]]) - DATE(1970, 1, 1)) * 86400000</f>
        <v>1726704000000</v>
      </c>
      <c r="G51" s="10">
        <f>'GMT Glossary'!$B$9</f>
        <v>5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14:00</v>
      </c>
    </row>
    <row r="52" spans="1:9" x14ac:dyDescent="0.25">
      <c r="A52" s="107">
        <v>45554</v>
      </c>
      <c r="B52" s="108">
        <v>0.41666666666666669</v>
      </c>
      <c r="C52" s="106" t="s">
        <v>8</v>
      </c>
      <c r="D52" s="109" t="s">
        <v>99</v>
      </c>
      <c r="E52" s="9" t="s">
        <v>21</v>
      </c>
      <c r="F52" s="8">
        <f>(INT(Table_Uzbekistan[[#This Row],[Date]]) - DATE(1970, 1, 1)) * 86400000</f>
        <v>1726704000000</v>
      </c>
      <c r="G52" s="10">
        <f>'GMT Glossary'!$B$9</f>
        <v>5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15:00</v>
      </c>
    </row>
    <row r="53" spans="1:9" x14ac:dyDescent="0.25">
      <c r="A53" s="107">
        <v>45554</v>
      </c>
      <c r="B53" s="108">
        <v>0.45833333333333331</v>
      </c>
      <c r="C53" s="106" t="s">
        <v>8</v>
      </c>
      <c r="D53" s="109" t="s">
        <v>201</v>
      </c>
      <c r="E53" s="9" t="s">
        <v>21</v>
      </c>
      <c r="F53" s="8">
        <f>(INT(Table_Uzbekistan[[#This Row],[Date]]) - DATE(1970, 1, 1)) * 86400000</f>
        <v>1726704000000</v>
      </c>
      <c r="G53" s="10">
        <f>'GMT Glossary'!$B$9</f>
        <v>5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16:00</v>
      </c>
    </row>
    <row r="54" spans="1:9" x14ac:dyDescent="0.25">
      <c r="A54" s="23">
        <v>45554</v>
      </c>
      <c r="B54" s="20">
        <v>0.45833333333333331</v>
      </c>
      <c r="C54" s="19" t="s">
        <v>8</v>
      </c>
      <c r="D54" s="103" t="s">
        <v>84</v>
      </c>
      <c r="E54" s="9" t="s">
        <v>72</v>
      </c>
      <c r="F54" s="8">
        <f>(INT(Table_Uzbekistan[[#This Row],[Date]]) - DATE(1970, 1, 1)) * 86400000</f>
        <v>1726704000000</v>
      </c>
      <c r="G54" s="10">
        <f>'GMT Glossary'!$B$9</f>
        <v>5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16:00</v>
      </c>
    </row>
    <row r="55" spans="1:9" x14ac:dyDescent="0.25">
      <c r="A55" s="107">
        <v>45554</v>
      </c>
      <c r="B55" s="108">
        <v>0.5</v>
      </c>
      <c r="C55" s="106" t="s">
        <v>8</v>
      </c>
      <c r="D55" s="104" t="s">
        <v>202</v>
      </c>
      <c r="E55" s="9" t="s">
        <v>21</v>
      </c>
      <c r="F55" s="8">
        <f>(INT(Table_Uzbekistan[[#This Row],[Date]]) - DATE(1970, 1, 1)) * 86400000</f>
        <v>1726704000000</v>
      </c>
      <c r="G55" s="10">
        <f>'GMT Glossary'!$B$9</f>
        <v>5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17:00</v>
      </c>
    </row>
    <row r="56" spans="1:9" x14ac:dyDescent="0.25">
      <c r="A56" s="107">
        <v>45554</v>
      </c>
      <c r="B56" s="108">
        <v>0.54166666666666663</v>
      </c>
      <c r="C56" s="106" t="s">
        <v>8</v>
      </c>
      <c r="D56" s="104" t="s">
        <v>206</v>
      </c>
      <c r="E56" s="9" t="s">
        <v>21</v>
      </c>
      <c r="F56" s="8">
        <f>(INT(Table_Uzbekistan[[#This Row],[Date]]) - DATE(1970, 1, 1)) * 86400000</f>
        <v>1726704000000</v>
      </c>
      <c r="G56">
        <f>'GMT Glossary'!$B$9</f>
        <v>5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18:00</v>
      </c>
    </row>
    <row r="57" spans="1:9" x14ac:dyDescent="0.25">
      <c r="A57" s="23">
        <v>45554</v>
      </c>
      <c r="B57" s="20">
        <v>0.54166666666666663</v>
      </c>
      <c r="C57" s="19" t="s">
        <v>8</v>
      </c>
      <c r="D57" s="104" t="s">
        <v>35</v>
      </c>
      <c r="E57" s="9" t="s">
        <v>72</v>
      </c>
      <c r="F57" s="8">
        <f>(INT(Table_Uzbekistan[[#This Row],[Date]]) - DATE(1970, 1, 1)) * 86400000</f>
        <v>1726704000000</v>
      </c>
      <c r="G57" s="10">
        <f>'GMT Glossary'!$B$9</f>
        <v>5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18:00</v>
      </c>
    </row>
    <row r="58" spans="1:9" x14ac:dyDescent="0.25">
      <c r="A58" s="107">
        <v>45554</v>
      </c>
      <c r="B58" s="108">
        <v>0.625</v>
      </c>
      <c r="C58" s="106" t="s">
        <v>8</v>
      </c>
      <c r="D58" s="104" t="s">
        <v>43</v>
      </c>
      <c r="E58" s="9" t="s">
        <v>21</v>
      </c>
      <c r="F58" s="8">
        <f>(INT(Table_Uzbekistan[[#This Row],[Date]]) - DATE(1970, 1, 1)) * 86400000</f>
        <v>1726704000000</v>
      </c>
      <c r="G58" s="10">
        <f>'GMT Glossary'!$B$9</f>
        <v>5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20:00</v>
      </c>
    </row>
    <row r="59" spans="1:9" x14ac:dyDescent="0.25">
      <c r="A59" s="23">
        <v>45554</v>
      </c>
      <c r="B59" s="20">
        <v>0.625</v>
      </c>
      <c r="C59" s="19" t="s">
        <v>8</v>
      </c>
      <c r="D59" s="103" t="s">
        <v>234</v>
      </c>
      <c r="E59" s="9" t="s">
        <v>72</v>
      </c>
      <c r="F59" s="8">
        <f>(INT(Table_Uzbekistan[[#This Row],[Date]]) - DATE(1970, 1, 1)) * 86400000</f>
        <v>1726704000000</v>
      </c>
      <c r="G59" s="10">
        <f>'GMT Glossary'!$B$9</f>
        <v>5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20:00</v>
      </c>
    </row>
    <row r="60" spans="1:9" x14ac:dyDescent="0.25">
      <c r="A60" s="107">
        <v>45554</v>
      </c>
      <c r="B60" s="108">
        <v>0.70833333333333337</v>
      </c>
      <c r="C60" s="106" t="s">
        <v>8</v>
      </c>
      <c r="D60" s="99" t="s">
        <v>207</v>
      </c>
      <c r="E60" s="9" t="s">
        <v>21</v>
      </c>
      <c r="F60" s="8">
        <f>(INT(Table_Uzbekistan[[#This Row],[Date]]) - DATE(1970, 1, 1)) * 86400000</f>
        <v>1726704000000</v>
      </c>
      <c r="G60" s="10">
        <f>'GMT Glossary'!$B$9</f>
        <v>5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22:00</v>
      </c>
    </row>
    <row r="61" spans="1:9" x14ac:dyDescent="0.25">
      <c r="A61" s="23">
        <v>45554</v>
      </c>
      <c r="B61" s="20">
        <v>0.70833333333333337</v>
      </c>
      <c r="C61" s="19" t="s">
        <v>8</v>
      </c>
      <c r="D61" s="109" t="s">
        <v>89</v>
      </c>
      <c r="E61" s="9" t="s">
        <v>72</v>
      </c>
      <c r="F61" s="8">
        <f>(INT(Table_Uzbekistan[[#This Row],[Date]]) - DATE(1970, 1, 1)) * 86400000</f>
        <v>1726704000000</v>
      </c>
      <c r="G61" s="10">
        <f>'GMT Glossary'!$B$9</f>
        <v>5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22:00</v>
      </c>
    </row>
    <row r="62" spans="1:9" x14ac:dyDescent="0.25">
      <c r="A62" s="107">
        <v>45554</v>
      </c>
      <c r="B62" s="108">
        <v>0.79166666666666663</v>
      </c>
      <c r="C62" s="106" t="s">
        <v>8</v>
      </c>
      <c r="D62" s="109" t="s">
        <v>197</v>
      </c>
      <c r="E62" s="9" t="s">
        <v>21</v>
      </c>
      <c r="F62" s="8">
        <f>(INT(Table_Uzbekistan[[#This Row],[Date]]) - DATE(1970, 1, 1)) * 86400000</f>
        <v>1726704000000</v>
      </c>
      <c r="G62" s="10">
        <f>'GMT Glossary'!$B$9</f>
        <v>5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00:00</v>
      </c>
    </row>
    <row r="63" spans="1:9" x14ac:dyDescent="0.25">
      <c r="A63" s="23">
        <v>45554</v>
      </c>
      <c r="B63" s="20">
        <v>0.79166666666666663</v>
      </c>
      <c r="C63" s="19" t="s">
        <v>8</v>
      </c>
      <c r="D63" s="103" t="s">
        <v>42</v>
      </c>
      <c r="E63" s="9" t="s">
        <v>72</v>
      </c>
      <c r="F63" s="8">
        <f>(INT(Table_Uzbekistan[[#This Row],[Date]]) - DATE(1970, 1, 1)) * 86400000</f>
        <v>1726704000000</v>
      </c>
      <c r="G63" s="10">
        <f>'GMT Glossary'!$B$9</f>
        <v>5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00:00</v>
      </c>
    </row>
    <row r="64" spans="1:9" x14ac:dyDescent="0.25">
      <c r="A64" s="107">
        <v>45554</v>
      </c>
      <c r="B64" s="108">
        <v>0.875</v>
      </c>
      <c r="C64" s="106" t="s">
        <v>8</v>
      </c>
      <c r="D64" s="109" t="s">
        <v>77</v>
      </c>
      <c r="E64" s="9" t="s">
        <v>21</v>
      </c>
      <c r="F64" s="8">
        <f>(INT(Table_Uzbekistan[[#This Row],[Date]]) - DATE(1970, 1, 1)) * 86400000</f>
        <v>1726704000000</v>
      </c>
      <c r="G64" s="10">
        <f>'GMT Glossary'!$B$9</f>
        <v>5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02:00</v>
      </c>
    </row>
    <row r="65" spans="1:9" x14ac:dyDescent="0.25">
      <c r="A65" s="23">
        <v>45554</v>
      </c>
      <c r="B65" s="20">
        <v>0.875</v>
      </c>
      <c r="C65" s="19" t="s">
        <v>8</v>
      </c>
      <c r="D65" s="109" t="s">
        <v>88</v>
      </c>
      <c r="E65" s="9" t="s">
        <v>72</v>
      </c>
      <c r="F65" s="8">
        <f>(INT(Table_Uzbekistan[[#This Row],[Date]]) - DATE(1970, 1, 1)) * 86400000</f>
        <v>1726704000000</v>
      </c>
      <c r="G65" s="10">
        <f>'GMT Glossary'!$B$9</f>
        <v>5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02:00</v>
      </c>
    </row>
    <row r="66" spans="1:9" x14ac:dyDescent="0.25">
      <c r="A66" s="107">
        <v>45554</v>
      </c>
      <c r="B66" s="108">
        <v>0.95833333333333337</v>
      </c>
      <c r="C66" s="106" t="s">
        <v>8</v>
      </c>
      <c r="D66" s="104" t="s">
        <v>76</v>
      </c>
      <c r="E66" s="9" t="s">
        <v>21</v>
      </c>
      <c r="F66" s="8">
        <f>(INT(Table_Uzbekistan[[#This Row],[Date]]) - DATE(1970, 1, 1)) * 86400000</f>
        <v>1726704000000</v>
      </c>
      <c r="G66" s="10">
        <f>'GMT Glossary'!$B$9</f>
        <v>5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04:00</v>
      </c>
    </row>
    <row r="67" spans="1:9" x14ac:dyDescent="0.25">
      <c r="A67" s="23">
        <v>45554</v>
      </c>
      <c r="B67" s="20">
        <v>0.95833333333333337</v>
      </c>
      <c r="C67" s="19" t="s">
        <v>8</v>
      </c>
      <c r="D67" s="103" t="s">
        <v>93</v>
      </c>
      <c r="E67" s="9" t="s">
        <v>72</v>
      </c>
      <c r="F67" s="8">
        <f>(INT(Table_Uzbekistan[[#This Row],[Date]]) - DATE(1970, 1, 1)) * 86400000</f>
        <v>1726704000000</v>
      </c>
      <c r="G67" s="10">
        <f>'GMT Glossary'!$B$9</f>
        <v>5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04:00</v>
      </c>
    </row>
    <row r="68" spans="1:9" x14ac:dyDescent="0.25">
      <c r="A68" s="107">
        <v>45555</v>
      </c>
      <c r="B68" s="108">
        <v>4.1666666666666664E-2</v>
      </c>
      <c r="C68" s="106" t="s">
        <v>8</v>
      </c>
      <c r="D68" s="104" t="s">
        <v>198</v>
      </c>
      <c r="E68" s="9" t="s">
        <v>21</v>
      </c>
      <c r="F68" s="8">
        <f>(INT(Table_Uzbekistan[[#This Row],[Date]]) - DATE(1970, 1, 1)) * 86400000</f>
        <v>1726790400000</v>
      </c>
      <c r="G68" s="10">
        <f>'GMT Glossary'!$B$9</f>
        <v>5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06:00</v>
      </c>
    </row>
    <row r="69" spans="1:9" x14ac:dyDescent="0.25">
      <c r="A69" s="23">
        <v>45555</v>
      </c>
      <c r="B69" s="20">
        <v>4.1666666666666664E-2</v>
      </c>
      <c r="C69" s="19" t="s">
        <v>402</v>
      </c>
      <c r="D69" s="103" t="s">
        <v>83</v>
      </c>
      <c r="E69" s="9" t="s">
        <v>72</v>
      </c>
      <c r="F69" s="8">
        <f>(INT(Table_Uzbekistan[[#This Row],[Date]]) - DATE(1970, 1, 1)) * 86400000</f>
        <v>1726790400000</v>
      </c>
      <c r="G69" s="10">
        <f>'GMT Glossary'!$B$9</f>
        <v>5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06:00</v>
      </c>
    </row>
    <row r="70" spans="1:9" x14ac:dyDescent="0.25">
      <c r="A70" s="107">
        <v>45555</v>
      </c>
      <c r="B70" s="108">
        <v>0.125</v>
      </c>
      <c r="C70" s="106" t="s">
        <v>8</v>
      </c>
      <c r="D70" s="109" t="s">
        <v>74</v>
      </c>
      <c r="E70" s="9" t="s">
        <v>21</v>
      </c>
      <c r="F70" s="8">
        <f>(INT(Table_Uzbekistan[[#This Row],[Date]]) - DATE(1970, 1, 1)) * 86400000</f>
        <v>1726790400000</v>
      </c>
      <c r="G70" s="10">
        <f>'GMT Glossary'!$B$9</f>
        <v>5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08:00</v>
      </c>
    </row>
    <row r="71" spans="1:9" x14ac:dyDescent="0.25">
      <c r="A71" s="23">
        <v>45555</v>
      </c>
      <c r="B71" s="20">
        <v>0.125</v>
      </c>
      <c r="C71" s="19" t="s">
        <v>8</v>
      </c>
      <c r="D71" s="103" t="s">
        <v>235</v>
      </c>
      <c r="E71" s="9" t="s">
        <v>72</v>
      </c>
      <c r="F71" s="8">
        <f>(INT(Table_Uzbekistan[[#This Row],[Date]]) - DATE(1970, 1, 1)) * 86400000</f>
        <v>1726790400000</v>
      </c>
      <c r="G71" s="10">
        <f>'GMT Glossary'!$B$9</f>
        <v>5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08:00</v>
      </c>
    </row>
    <row r="72" spans="1:9" x14ac:dyDescent="0.25">
      <c r="A72" s="107">
        <v>45555</v>
      </c>
      <c r="B72" s="108">
        <v>0.20833333333333334</v>
      </c>
      <c r="C72" s="106" t="s">
        <v>8</v>
      </c>
      <c r="D72" s="109" t="s">
        <v>80</v>
      </c>
      <c r="E72" s="9" t="s">
        <v>21</v>
      </c>
      <c r="F72" s="8">
        <f>(INT(Table_Uzbekistan[[#This Row],[Date]]) - DATE(1970, 1, 1)) * 86400000</f>
        <v>1726790400000</v>
      </c>
      <c r="G72" s="10">
        <f>'GMT Glossary'!$B$9</f>
        <v>5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10:00</v>
      </c>
    </row>
    <row r="73" spans="1:9" x14ac:dyDescent="0.25">
      <c r="A73" s="23">
        <v>45555</v>
      </c>
      <c r="B73" s="20">
        <v>0.20833333333333334</v>
      </c>
      <c r="C73" s="19" t="s">
        <v>398</v>
      </c>
      <c r="D73" s="99" t="s">
        <v>236</v>
      </c>
      <c r="E73" s="9" t="s">
        <v>72</v>
      </c>
      <c r="F73" s="8">
        <f>(INT(Table_Uzbekistan[[#This Row],[Date]]) - DATE(1970, 1, 1)) * 86400000</f>
        <v>1726790400000</v>
      </c>
      <c r="G73" s="10">
        <f>'GMT Glossary'!$B$9</f>
        <v>5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10:00</v>
      </c>
    </row>
    <row r="74" spans="1:9" x14ac:dyDescent="0.25">
      <c r="A74" s="23">
        <v>45555</v>
      </c>
      <c r="B74" s="20">
        <v>0.27083333333333331</v>
      </c>
      <c r="C74" s="19" t="s">
        <v>398</v>
      </c>
      <c r="D74" s="99" t="s">
        <v>237</v>
      </c>
      <c r="E74" s="9" t="s">
        <v>72</v>
      </c>
      <c r="F74" s="8">
        <f>(INT(Table_Uzbekistan[[#This Row],[Date]]) - DATE(1970, 1, 1)) * 86400000</f>
        <v>1726790400000</v>
      </c>
      <c r="G74" s="10">
        <f>'GMT Glossary'!$B$9</f>
        <v>5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11:30</v>
      </c>
    </row>
    <row r="75" spans="1:9" x14ac:dyDescent="0.25">
      <c r="A75" s="107">
        <v>45555</v>
      </c>
      <c r="B75" s="108">
        <v>0.29166666666666669</v>
      </c>
      <c r="C75" s="106" t="s">
        <v>8</v>
      </c>
      <c r="D75" s="109" t="s">
        <v>205</v>
      </c>
      <c r="E75" s="9" t="s">
        <v>21</v>
      </c>
      <c r="F75" s="8">
        <f>(INT(Table_Uzbekistan[[#This Row],[Date]]) - DATE(1970, 1, 1)) * 86400000</f>
        <v>1726790400000</v>
      </c>
      <c r="G75" s="10">
        <f>'GMT Glossary'!$B$9</f>
        <v>5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12:00</v>
      </c>
    </row>
    <row r="76" spans="1:9" x14ac:dyDescent="0.25">
      <c r="A76" s="23">
        <v>45555</v>
      </c>
      <c r="B76" s="20">
        <v>0.33333333333333331</v>
      </c>
      <c r="C76" s="19" t="s">
        <v>398</v>
      </c>
      <c r="D76" s="99" t="s">
        <v>238</v>
      </c>
      <c r="E76" s="9" t="s">
        <v>72</v>
      </c>
      <c r="F76" s="8">
        <f>(INT(Table_Uzbekistan[[#This Row],[Date]]) - DATE(1970, 1, 1)) * 86400000</f>
        <v>1726790400000</v>
      </c>
      <c r="G76" s="10">
        <f>'GMT Glossary'!$B$9</f>
        <v>5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13:00</v>
      </c>
    </row>
    <row r="77" spans="1:9" x14ac:dyDescent="0.25">
      <c r="A77" s="107">
        <v>45555</v>
      </c>
      <c r="B77" s="108">
        <v>0.375</v>
      </c>
      <c r="C77" s="106" t="s">
        <v>8</v>
      </c>
      <c r="D77" s="109" t="s">
        <v>203</v>
      </c>
      <c r="E77" s="9" t="s">
        <v>21</v>
      </c>
      <c r="F77" s="8">
        <f>(INT(Table_Uzbekistan[[#This Row],[Date]]) - DATE(1970, 1, 1)) * 86400000</f>
        <v>1726790400000</v>
      </c>
      <c r="G77" s="10">
        <f>'GMT Glossary'!$B$9</f>
        <v>5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14:00</v>
      </c>
    </row>
    <row r="78" spans="1:9" x14ac:dyDescent="0.25">
      <c r="A78" s="23">
        <v>45555</v>
      </c>
      <c r="B78" s="20">
        <v>0.41666666666666669</v>
      </c>
      <c r="C78" s="19" t="s">
        <v>398</v>
      </c>
      <c r="D78" s="99" t="s">
        <v>239</v>
      </c>
      <c r="E78" s="9" t="s">
        <v>72</v>
      </c>
      <c r="F78" s="8">
        <f>(INT(Table_Uzbekistan[[#This Row],[Date]]) - DATE(1970, 1, 1)) * 86400000</f>
        <v>1726790400000</v>
      </c>
      <c r="G78" s="10">
        <f>'GMT Glossary'!$B$9</f>
        <v>5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15:00</v>
      </c>
    </row>
    <row r="79" spans="1:9" x14ac:dyDescent="0.25">
      <c r="A79" s="107">
        <v>45555</v>
      </c>
      <c r="B79" s="108">
        <v>0.45833333333333331</v>
      </c>
      <c r="C79" s="106" t="s">
        <v>8</v>
      </c>
      <c r="D79" s="109" t="s">
        <v>73</v>
      </c>
      <c r="E79" s="9" t="s">
        <v>21</v>
      </c>
      <c r="F79" s="8">
        <f>(INT(Table_Uzbekistan[[#This Row],[Date]]) - DATE(1970, 1, 1)) * 86400000</f>
        <v>1726790400000</v>
      </c>
      <c r="G79" s="10">
        <f>'GMT Glossary'!$B$9</f>
        <v>5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16:00</v>
      </c>
    </row>
    <row r="80" spans="1:9" x14ac:dyDescent="0.25">
      <c r="A80" s="107">
        <v>45555</v>
      </c>
      <c r="B80" s="108">
        <v>0.54166666666666663</v>
      </c>
      <c r="C80" s="106" t="s">
        <v>8</v>
      </c>
      <c r="D80" s="109" t="s">
        <v>78</v>
      </c>
      <c r="E80" s="9" t="s">
        <v>21</v>
      </c>
      <c r="F80" s="8">
        <f>(INT(Table_Uzbekistan[[#This Row],[Date]]) - DATE(1970, 1, 1)) * 86400000</f>
        <v>1726790400000</v>
      </c>
      <c r="G80" s="10">
        <f>'GMT Glossary'!$B$9</f>
        <v>5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18:00</v>
      </c>
    </row>
    <row r="81" spans="1:9" x14ac:dyDescent="0.25">
      <c r="A81" s="23">
        <v>45555</v>
      </c>
      <c r="B81" s="20">
        <v>0.54166666666666663</v>
      </c>
      <c r="C81" s="19" t="s">
        <v>8</v>
      </c>
      <c r="D81" s="103" t="s">
        <v>232</v>
      </c>
      <c r="E81" s="9" t="s">
        <v>72</v>
      </c>
      <c r="F81" s="8">
        <f>(INT(Table_Uzbekistan[[#This Row],[Date]]) - DATE(1970, 1, 1)) * 86400000</f>
        <v>1726790400000</v>
      </c>
      <c r="G81" s="10">
        <f>'GMT Glossary'!$B$9</f>
        <v>5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18:00</v>
      </c>
    </row>
    <row r="82" spans="1:9" x14ac:dyDescent="0.25">
      <c r="A82" s="107">
        <v>45555</v>
      </c>
      <c r="B82" s="108">
        <v>0.625</v>
      </c>
      <c r="C82" s="106" t="s">
        <v>8</v>
      </c>
      <c r="D82" s="109" t="s">
        <v>59</v>
      </c>
      <c r="E82" s="9" t="s">
        <v>21</v>
      </c>
      <c r="F82" s="8">
        <f>(INT(Table_Uzbekistan[[#This Row],[Date]]) - DATE(1970, 1, 1)) * 86400000</f>
        <v>1726790400000</v>
      </c>
      <c r="G82">
        <f>'GMT Glossary'!$B$9</f>
        <v>5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20:00</v>
      </c>
    </row>
    <row r="83" spans="1:9" x14ac:dyDescent="0.25">
      <c r="A83" s="23">
        <v>45555</v>
      </c>
      <c r="B83" s="20">
        <v>0.64583333333333337</v>
      </c>
      <c r="C83" s="19" t="s">
        <v>399</v>
      </c>
      <c r="D83" s="99" t="s">
        <v>131</v>
      </c>
      <c r="E83" s="9" t="s">
        <v>72</v>
      </c>
      <c r="F83" s="8">
        <f>(INT(Table_Uzbekistan[[#This Row],[Date]]) - DATE(1970, 1, 1)) * 86400000</f>
        <v>1726790400000</v>
      </c>
      <c r="G83" s="10">
        <f>'GMT Glossary'!$B$9</f>
        <v>5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20:30</v>
      </c>
    </row>
    <row r="84" spans="1:9" x14ac:dyDescent="0.25">
      <c r="A84" s="107">
        <v>45555</v>
      </c>
      <c r="B84" s="108">
        <v>0.6875</v>
      </c>
      <c r="C84" s="106" t="s">
        <v>8</v>
      </c>
      <c r="D84" s="99" t="s">
        <v>208</v>
      </c>
      <c r="E84" s="9" t="s">
        <v>21</v>
      </c>
      <c r="F84" s="8">
        <f>(INT(Table_Uzbekistan[[#This Row],[Date]]) - DATE(1970, 1, 1)) * 86400000</f>
        <v>1726790400000</v>
      </c>
      <c r="G84" s="10">
        <f>'GMT Glossary'!$B$9</f>
        <v>5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21:30</v>
      </c>
    </row>
    <row r="85" spans="1:9" x14ac:dyDescent="0.25">
      <c r="A85" s="107">
        <v>45555</v>
      </c>
      <c r="B85" s="108">
        <v>0.79166666666666663</v>
      </c>
      <c r="C85" s="106" t="s">
        <v>8</v>
      </c>
      <c r="D85" s="99" t="s">
        <v>255</v>
      </c>
      <c r="E85" s="9" t="s">
        <v>21</v>
      </c>
      <c r="F85" s="8">
        <f>(INT(Table_Uzbekistan[[#This Row],[Date]]) - DATE(1970, 1, 1)) * 86400000</f>
        <v>1726790400000</v>
      </c>
      <c r="G85">
        <f>'GMT Glossary'!$B$9</f>
        <v>5</v>
      </c>
      <c r="H85" s="2" t="str">
        <f>TEXT(IF(B85&lt;0, A85+1+((B85+(G85/24))-(INT(B85+(G85/24)))), A85+(B85+(G85/24))), "yyyy-mm-dd")</f>
        <v>2024-09-21</v>
      </c>
      <c r="I85" s="2" t="str">
        <f>TEXT(IF(B85&lt;0, A85+1+((B85+(G85/24))-(INT(B85+(G85/24)))), A85+(B85+(G85/24))), "hh:mm")</f>
        <v>00:00</v>
      </c>
    </row>
    <row r="86" spans="1:9" x14ac:dyDescent="0.25">
      <c r="A86" s="23">
        <v>45555</v>
      </c>
      <c r="B86" s="20">
        <v>0.79166666666666663</v>
      </c>
      <c r="C86" s="19" t="s">
        <v>8</v>
      </c>
      <c r="D86" s="103" t="s">
        <v>90</v>
      </c>
      <c r="E86" s="9" t="s">
        <v>72</v>
      </c>
      <c r="F86" s="8">
        <f>(INT(Table_Uzbekistan[[#This Row],[Date]]) - DATE(1970, 1, 1)) * 86400000</f>
        <v>1726790400000</v>
      </c>
      <c r="G86" s="10">
        <f>'GMT Glossary'!$B$9</f>
        <v>5</v>
      </c>
      <c r="H86" s="2" t="str">
        <f>TEXT(IF(B86&lt;0, A86+1+((B86+(G86/24))-(INT(B86+(G86/24)))), A86+(B86+(G86/24))), "yyyy-mm-dd")</f>
        <v>2024-09-21</v>
      </c>
      <c r="I86" s="2" t="str">
        <f>TEXT(IF(B86&lt;0, A86+1+((B86+(G86/24))-(INT(B86+(G86/24)))), A86+(B86+(G86/24))), "hh:mm")</f>
        <v>00:00</v>
      </c>
    </row>
    <row r="87" spans="1:9" x14ac:dyDescent="0.25">
      <c r="A87" s="107">
        <v>45555</v>
      </c>
      <c r="B87" s="108">
        <v>0.875</v>
      </c>
      <c r="C87" s="106" t="s">
        <v>8</v>
      </c>
      <c r="D87" s="109" t="s">
        <v>79</v>
      </c>
      <c r="E87" s="9" t="s">
        <v>21</v>
      </c>
      <c r="F87" s="8">
        <f>(INT(Table_Uzbekistan[[#This Row],[Date]]) - DATE(1970, 1, 1)) * 86400000</f>
        <v>1726790400000</v>
      </c>
      <c r="G87" s="10">
        <f>'GMT Glossary'!$B$9</f>
        <v>5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02:00</v>
      </c>
    </row>
    <row r="88" spans="1:9" x14ac:dyDescent="0.25">
      <c r="A88" s="23">
        <v>45555</v>
      </c>
      <c r="B88" s="20">
        <v>0.875</v>
      </c>
      <c r="C88" s="19" t="s">
        <v>8</v>
      </c>
      <c r="D88" s="103" t="s">
        <v>64</v>
      </c>
      <c r="E88" s="9" t="s">
        <v>72</v>
      </c>
      <c r="F88" s="8">
        <f>(INT(Table_Uzbekistan[[#This Row],[Date]]) - DATE(1970, 1, 1)) * 86400000</f>
        <v>1726790400000</v>
      </c>
      <c r="G88" s="10">
        <f>'GMT Glossary'!$B$9</f>
        <v>5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02:00</v>
      </c>
    </row>
    <row r="89" spans="1:9" x14ac:dyDescent="0.25">
      <c r="A89" s="100">
        <v>45555</v>
      </c>
      <c r="B89" s="102">
        <v>0.95833333333333337</v>
      </c>
      <c r="C89" s="101" t="s">
        <v>8</v>
      </c>
      <c r="D89" s="104" t="s">
        <v>206</v>
      </c>
      <c r="E89" s="9" t="s">
        <v>21</v>
      </c>
      <c r="F89" s="8">
        <f>(INT(Table_Uzbekistan[[#This Row],[Date]]) - DATE(1970, 1, 1)) * 86400000</f>
        <v>1726790400000</v>
      </c>
      <c r="G89" s="10">
        <f>'GMT Glossary'!$B$9</f>
        <v>5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04:00</v>
      </c>
    </row>
    <row r="90" spans="1:9" x14ac:dyDescent="0.25">
      <c r="A90" s="23">
        <v>45555</v>
      </c>
      <c r="B90" s="20">
        <v>0.95833333333333337</v>
      </c>
      <c r="C90" s="19" t="s">
        <v>8</v>
      </c>
      <c r="D90" s="104" t="s">
        <v>88</v>
      </c>
      <c r="E90" s="9" t="s">
        <v>72</v>
      </c>
      <c r="F90" s="8">
        <f>(INT(Table_Uzbekistan[[#This Row],[Date]]) - DATE(1970, 1, 1)) * 86400000</f>
        <v>1726790400000</v>
      </c>
      <c r="G90" s="10">
        <f>'GMT Glossary'!$B$9</f>
        <v>5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04:00</v>
      </c>
    </row>
    <row r="91" spans="1:9" x14ac:dyDescent="0.25">
      <c r="A91" s="100">
        <v>45556</v>
      </c>
      <c r="B91" s="102">
        <v>4.1666666666666664E-2</v>
      </c>
      <c r="C91" s="101" t="s">
        <v>8</v>
      </c>
      <c r="D91" s="104" t="s">
        <v>199</v>
      </c>
      <c r="E91" s="9" t="s">
        <v>21</v>
      </c>
      <c r="F91" s="8">
        <f>(INT(Table_Uzbekistan[[#This Row],[Date]]) - DATE(1970, 1, 1)) * 86400000</f>
        <v>1726876800000</v>
      </c>
      <c r="G91" s="10">
        <f>'GMT Glossary'!$B$9</f>
        <v>5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06:00</v>
      </c>
    </row>
    <row r="92" spans="1:9" x14ac:dyDescent="0.25">
      <c r="A92" s="23">
        <v>45556</v>
      </c>
      <c r="B92" s="20">
        <v>4.1666666666666664E-2</v>
      </c>
      <c r="C92" s="19" t="s">
        <v>8</v>
      </c>
      <c r="D92" s="103" t="s">
        <v>86</v>
      </c>
      <c r="E92" s="9" t="s">
        <v>72</v>
      </c>
      <c r="F92" s="8">
        <f>(INT(Table_Uzbekistan[[#This Row],[Date]]) - DATE(1970, 1, 1)) * 86400000</f>
        <v>1726876800000</v>
      </c>
      <c r="G92" s="10">
        <f>'GMT Glossary'!$B$9</f>
        <v>5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06:00</v>
      </c>
    </row>
    <row r="93" spans="1:9" x14ac:dyDescent="0.25">
      <c r="A93" s="100">
        <v>45556</v>
      </c>
      <c r="B93" s="102">
        <v>0.125</v>
      </c>
      <c r="C93" s="101" t="s">
        <v>8</v>
      </c>
      <c r="D93" s="104" t="s">
        <v>77</v>
      </c>
      <c r="E93" s="9" t="s">
        <v>21</v>
      </c>
      <c r="F93" s="8">
        <f>(INT(Table_Uzbekistan[[#This Row],[Date]]) - DATE(1970, 1, 1)) * 86400000</f>
        <v>1726876800000</v>
      </c>
      <c r="G93" s="10">
        <f>'GMT Glossary'!$B$9</f>
        <v>5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08:00</v>
      </c>
    </row>
    <row r="94" spans="1:9" x14ac:dyDescent="0.25">
      <c r="A94" s="23">
        <v>45556</v>
      </c>
      <c r="B94" s="20">
        <v>0.125</v>
      </c>
      <c r="C94" s="19" t="s">
        <v>8</v>
      </c>
      <c r="D94" s="103" t="s">
        <v>40</v>
      </c>
      <c r="E94" s="9" t="s">
        <v>72</v>
      </c>
      <c r="F94" s="8">
        <f>(INT(Table_Uzbekistan[[#This Row],[Date]]) - DATE(1970, 1, 1)) * 86400000</f>
        <v>1726876800000</v>
      </c>
      <c r="G94" s="10">
        <f>'GMT Glossary'!$B$9</f>
        <v>5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08:00</v>
      </c>
    </row>
    <row r="95" spans="1:9" x14ac:dyDescent="0.25">
      <c r="A95" s="100">
        <v>45556</v>
      </c>
      <c r="B95" s="102">
        <v>0.20833333333333334</v>
      </c>
      <c r="C95" s="101" t="s">
        <v>8</v>
      </c>
      <c r="D95" s="104" t="s">
        <v>75</v>
      </c>
      <c r="E95" s="9" t="s">
        <v>21</v>
      </c>
      <c r="F95" s="8">
        <f>(INT(Table_Uzbekistan[[#This Row],[Date]]) - DATE(1970, 1, 1)) * 86400000</f>
        <v>1726876800000</v>
      </c>
      <c r="G95">
        <f>'GMT Glossary'!$B$9</f>
        <v>5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10:00</v>
      </c>
    </row>
    <row r="96" spans="1:9" x14ac:dyDescent="0.25">
      <c r="A96" s="23">
        <v>45556</v>
      </c>
      <c r="B96" s="20">
        <v>0.20833333333333334</v>
      </c>
      <c r="C96" s="19" t="s">
        <v>402</v>
      </c>
      <c r="D96" s="103" t="s">
        <v>91</v>
      </c>
      <c r="E96" s="9" t="s">
        <v>72</v>
      </c>
      <c r="F96" s="8">
        <f>(INT(Table_Uzbekistan[[#This Row],[Date]]) - DATE(1970, 1, 1)) * 86400000</f>
        <v>1726876800000</v>
      </c>
      <c r="G96" s="10">
        <f>'GMT Glossary'!$B$9</f>
        <v>5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10:00</v>
      </c>
    </row>
    <row r="97" spans="1:9" x14ac:dyDescent="0.25">
      <c r="A97" s="100">
        <v>45556</v>
      </c>
      <c r="B97" s="102">
        <v>0.29166666666666669</v>
      </c>
      <c r="C97" s="101" t="s">
        <v>8</v>
      </c>
      <c r="D97" s="104" t="s">
        <v>76</v>
      </c>
      <c r="E97" s="9" t="s">
        <v>21</v>
      </c>
      <c r="F97" s="8">
        <f>(INT(Table_Uzbekistan[[#This Row],[Date]]) - DATE(1970, 1, 1)) * 86400000</f>
        <v>1726876800000</v>
      </c>
      <c r="G97" s="10">
        <f>'GMT Glossary'!$B$9</f>
        <v>5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12:00</v>
      </c>
    </row>
    <row r="98" spans="1:9" x14ac:dyDescent="0.25">
      <c r="A98" s="23">
        <v>45556</v>
      </c>
      <c r="B98" s="20">
        <v>0.29166666666666669</v>
      </c>
      <c r="C98" s="19" t="s">
        <v>398</v>
      </c>
      <c r="D98" s="99" t="s">
        <v>240</v>
      </c>
      <c r="E98" s="9" t="s">
        <v>72</v>
      </c>
      <c r="F98" s="8">
        <f>(INT(Table_Uzbekistan[[#This Row],[Date]]) - DATE(1970, 1, 1)) * 86400000</f>
        <v>1726876800000</v>
      </c>
      <c r="G98" s="10">
        <f>'GMT Glossary'!$B$9</f>
        <v>5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12:00</v>
      </c>
    </row>
    <row r="99" spans="1:9" x14ac:dyDescent="0.25">
      <c r="A99" s="23">
        <v>45556</v>
      </c>
      <c r="B99" s="20">
        <v>0.35416666666666669</v>
      </c>
      <c r="C99" s="19" t="s">
        <v>398</v>
      </c>
      <c r="D99" s="99" t="s">
        <v>241</v>
      </c>
      <c r="E99" s="9" t="s">
        <v>72</v>
      </c>
      <c r="F99" s="8">
        <f>(INT(Table_Uzbekistan[[#This Row],[Date]]) - DATE(1970, 1, 1)) * 86400000</f>
        <v>1726876800000</v>
      </c>
      <c r="G99" s="10">
        <f>'GMT Glossary'!$B$9</f>
        <v>5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13:30</v>
      </c>
    </row>
    <row r="100" spans="1:9" x14ac:dyDescent="0.25">
      <c r="A100" s="100">
        <v>45556</v>
      </c>
      <c r="B100" s="102">
        <v>0.375</v>
      </c>
      <c r="C100" s="101" t="s">
        <v>8</v>
      </c>
      <c r="D100" s="104" t="s">
        <v>74</v>
      </c>
      <c r="E100" s="9" t="s">
        <v>21</v>
      </c>
      <c r="F100" s="8">
        <f>(INT(Table_Uzbekistan[[#This Row],[Date]]) - DATE(1970, 1, 1)) * 86400000</f>
        <v>1726876800000</v>
      </c>
      <c r="G100" s="10">
        <f>'GMT Glossary'!$B$9</f>
        <v>5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14:00</v>
      </c>
    </row>
    <row r="101" spans="1:9" x14ac:dyDescent="0.25">
      <c r="A101" s="23">
        <v>45556</v>
      </c>
      <c r="B101" s="20">
        <v>0.45833333333333331</v>
      </c>
      <c r="C101" s="19" t="s">
        <v>8</v>
      </c>
      <c r="D101" s="103" t="s">
        <v>139</v>
      </c>
      <c r="E101" s="9" t="s">
        <v>72</v>
      </c>
      <c r="F101" s="8">
        <f>(INT(Table_Uzbekistan[[#This Row],[Date]]) - DATE(1970, 1, 1)) * 86400000</f>
        <v>1726876800000</v>
      </c>
      <c r="G101" s="10">
        <f>'GMT Glossary'!$B$9</f>
        <v>5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16:00</v>
      </c>
    </row>
    <row r="102" spans="1:9" x14ac:dyDescent="0.25">
      <c r="A102" s="100">
        <v>45556</v>
      </c>
      <c r="B102" s="102">
        <v>0.47916666666666669</v>
      </c>
      <c r="C102" s="101" t="s">
        <v>8</v>
      </c>
      <c r="D102" s="99" t="s">
        <v>210</v>
      </c>
      <c r="E102" s="9" t="s">
        <v>21</v>
      </c>
      <c r="F102" s="8">
        <f>(INT(Table_Uzbekistan[[#This Row],[Date]]) - DATE(1970, 1, 1)) * 86400000</f>
        <v>1726876800000</v>
      </c>
      <c r="G102" s="10">
        <f>'GMT Glossary'!$B$9</f>
        <v>5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16:30</v>
      </c>
    </row>
    <row r="103" spans="1:9" x14ac:dyDescent="0.25">
      <c r="A103" s="23">
        <v>45556</v>
      </c>
      <c r="B103" s="20">
        <v>0.54166666666666663</v>
      </c>
      <c r="C103" s="19" t="s">
        <v>402</v>
      </c>
      <c r="D103" s="99" t="s">
        <v>242</v>
      </c>
      <c r="E103" s="9" t="s">
        <v>72</v>
      </c>
      <c r="F103" s="8">
        <f>(INT(Table_Uzbekistan[[#This Row],[Date]]) - DATE(1970, 1, 1)) * 86400000</f>
        <v>1726876800000</v>
      </c>
      <c r="G103" s="10">
        <f>'GMT Glossary'!$B$9</f>
        <v>5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18:00</v>
      </c>
    </row>
    <row r="104" spans="1:9" x14ac:dyDescent="0.25">
      <c r="A104" s="100">
        <v>45556</v>
      </c>
      <c r="B104" s="102">
        <v>0.58333333333333337</v>
      </c>
      <c r="C104" s="101" t="s">
        <v>8</v>
      </c>
      <c r="D104" s="99" t="s">
        <v>211</v>
      </c>
      <c r="E104" s="9" t="s">
        <v>21</v>
      </c>
      <c r="F104" s="8">
        <f>(INT(Table_Uzbekistan[[#This Row],[Date]]) - DATE(1970, 1, 1)) * 86400000</f>
        <v>1726876800000</v>
      </c>
      <c r="G104">
        <f>'GMT Glossary'!$B$9</f>
        <v>5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19:00</v>
      </c>
    </row>
    <row r="105" spans="1:9" x14ac:dyDescent="0.25">
      <c r="A105" s="23">
        <v>45556</v>
      </c>
      <c r="B105" s="20">
        <v>0.58333333333333337</v>
      </c>
      <c r="C105" s="19" t="s">
        <v>8</v>
      </c>
      <c r="D105" s="99" t="s">
        <v>258</v>
      </c>
      <c r="E105" s="9" t="s">
        <v>72</v>
      </c>
      <c r="F105" s="8">
        <f>(INT(Table_Uzbekistan[[#This Row],[Date]]) - DATE(1970, 1, 1)) * 86400000</f>
        <v>1726876800000</v>
      </c>
      <c r="G105" s="10">
        <f>'GMT Glossary'!$B$9</f>
        <v>5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19:00</v>
      </c>
    </row>
    <row r="106" spans="1:9" x14ac:dyDescent="0.25">
      <c r="A106" s="23">
        <v>45556</v>
      </c>
      <c r="B106" s="20">
        <v>0.66666666666666663</v>
      </c>
      <c r="C106" s="19" t="s">
        <v>8</v>
      </c>
      <c r="D106" s="105" t="s">
        <v>136</v>
      </c>
      <c r="E106" s="9" t="s">
        <v>72</v>
      </c>
      <c r="F106" s="8">
        <f>(INT(Table_Uzbekistan[[#This Row],[Date]]) - DATE(1970, 1, 1)) * 86400000</f>
        <v>1726876800000</v>
      </c>
      <c r="G106" s="10">
        <f>'GMT Glossary'!$B$9</f>
        <v>5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21:00</v>
      </c>
    </row>
    <row r="107" spans="1:9" x14ac:dyDescent="0.25">
      <c r="A107" s="100">
        <v>45556</v>
      </c>
      <c r="B107" s="102">
        <v>0.6875</v>
      </c>
      <c r="C107" s="101" t="s">
        <v>8</v>
      </c>
      <c r="D107" s="99" t="s">
        <v>212</v>
      </c>
      <c r="E107" s="9" t="s">
        <v>21</v>
      </c>
      <c r="F107" s="8">
        <f>(INT(Table_Uzbekistan[[#This Row],[Date]]) - DATE(1970, 1, 1)) * 86400000</f>
        <v>1726876800000</v>
      </c>
      <c r="G107" s="10">
        <f>'GMT Glossary'!$B$9</f>
        <v>5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21:30</v>
      </c>
    </row>
    <row r="108" spans="1:9" x14ac:dyDescent="0.25">
      <c r="A108" s="100">
        <v>45556</v>
      </c>
      <c r="B108" s="102">
        <v>0.79166666666666663</v>
      </c>
      <c r="C108" s="101" t="s">
        <v>8</v>
      </c>
      <c r="D108" s="99" t="s">
        <v>213</v>
      </c>
      <c r="E108" s="9" t="s">
        <v>21</v>
      </c>
      <c r="F108" s="8">
        <f>(INT(Table_Uzbekistan[[#This Row],[Date]]) - DATE(1970, 1, 1)) * 86400000</f>
        <v>1726876800000</v>
      </c>
      <c r="G108" s="10">
        <f>'GMT Glossary'!$B$9</f>
        <v>5</v>
      </c>
      <c r="H108" s="2" t="str">
        <f>TEXT(IF(B108&lt;0, A108+1+((B108+(G108/24))-(INT(B108+(G108/24)))), A108+(B108+(G108/24))), "yyyy-mm-dd")</f>
        <v>2024-09-22</v>
      </c>
      <c r="I108" s="2" t="str">
        <f>TEXT(IF(B108&lt;0, A108+1+((B108+(G108/24))-(INT(B108+(G108/24)))), A108+(B108+(G108/24))), "hh:mm")</f>
        <v>00:00</v>
      </c>
    </row>
    <row r="109" spans="1:9" x14ac:dyDescent="0.25">
      <c r="A109" s="23">
        <v>45556</v>
      </c>
      <c r="B109" s="20">
        <v>0.79166666666666663</v>
      </c>
      <c r="C109" s="19" t="s">
        <v>8</v>
      </c>
      <c r="D109" s="105" t="s">
        <v>137</v>
      </c>
      <c r="E109" s="9" t="s">
        <v>72</v>
      </c>
      <c r="F109" s="8">
        <f>(INT(Table_Uzbekistan[[#This Row],[Date]]) - DATE(1970, 1, 1)) * 86400000</f>
        <v>1726876800000</v>
      </c>
      <c r="G109" s="10">
        <f>'GMT Glossary'!$B$9</f>
        <v>5</v>
      </c>
      <c r="H109" s="2" t="str">
        <f>TEXT(IF(B109&lt;0, A109+1+((B109+(G109/24))-(INT(B109+(G109/24)))), A109+(B109+(G109/24))), "yyyy-mm-dd")</f>
        <v>2024-09-22</v>
      </c>
      <c r="I109" s="2" t="str">
        <f>TEXT(IF(B109&lt;0, A109+1+((B109+(G109/24))-(INT(B109+(G109/24)))), A109+(B109+(G109/24))), "hh:mm")</f>
        <v>00:00</v>
      </c>
    </row>
    <row r="110" spans="1:9" x14ac:dyDescent="0.25">
      <c r="A110" s="100">
        <v>45556</v>
      </c>
      <c r="B110" s="102">
        <v>0.875</v>
      </c>
      <c r="C110" s="101" t="s">
        <v>8</v>
      </c>
      <c r="D110" s="104" t="s">
        <v>79</v>
      </c>
      <c r="E110" s="9" t="s">
        <v>21</v>
      </c>
      <c r="F110" s="8">
        <f>(INT(Table_Uzbekistan[[#This Row],[Date]]) - DATE(1970, 1, 1)) * 86400000</f>
        <v>1726876800000</v>
      </c>
      <c r="G110" s="10">
        <f>'GMT Glossary'!$B$9</f>
        <v>5</v>
      </c>
      <c r="H110" s="2" t="str">
        <f>TEXT(IF(B110&lt;0, A110+1+((B110+(G110/24))-(INT(B110+(G110/24)))), A110+(B110+(G110/24))), "yyyy-mm-dd")</f>
        <v>2024-09-22</v>
      </c>
      <c r="I110" s="2" t="str">
        <f>TEXT(IF(B110&lt;0, A110+1+((B110+(G110/24))-(INT(B110+(G110/24)))), A110+(B110+(G110/24))), "hh:mm")</f>
        <v>02:00</v>
      </c>
    </row>
    <row r="111" spans="1:9" x14ac:dyDescent="0.25">
      <c r="A111" s="23">
        <v>45556</v>
      </c>
      <c r="B111" s="20">
        <v>0.875</v>
      </c>
      <c r="C111" s="19" t="s">
        <v>8</v>
      </c>
      <c r="D111" s="104" t="s">
        <v>244</v>
      </c>
      <c r="E111" s="9" t="s">
        <v>72</v>
      </c>
      <c r="F111" s="8">
        <f>(INT(Table_Uzbekistan[[#This Row],[Date]]) - DATE(1970, 1, 1)) * 86400000</f>
        <v>1726876800000</v>
      </c>
      <c r="G111" s="10">
        <f>'GMT Glossary'!$B$9</f>
        <v>5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02:00</v>
      </c>
    </row>
    <row r="112" spans="1:9" x14ac:dyDescent="0.25">
      <c r="A112" s="100">
        <v>45556</v>
      </c>
      <c r="B112" s="102">
        <v>0.95833333333333337</v>
      </c>
      <c r="C112" s="101" t="s">
        <v>8</v>
      </c>
      <c r="D112" s="104" t="s">
        <v>214</v>
      </c>
      <c r="E112" s="9" t="s">
        <v>21</v>
      </c>
      <c r="F112" s="8">
        <f>(INT(Table_Uzbekistan[[#This Row],[Date]]) - DATE(1970, 1, 1)) * 86400000</f>
        <v>1726876800000</v>
      </c>
      <c r="G112">
        <f>'GMT Glossary'!$B$9</f>
        <v>5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04:00</v>
      </c>
    </row>
    <row r="113" spans="1:9" x14ac:dyDescent="0.25">
      <c r="A113" s="23">
        <v>45556</v>
      </c>
      <c r="B113" s="20">
        <v>0.95833333333333337</v>
      </c>
      <c r="C113" s="19" t="s">
        <v>8</v>
      </c>
      <c r="D113" s="103" t="s">
        <v>64</v>
      </c>
      <c r="E113" s="9" t="s">
        <v>72</v>
      </c>
      <c r="F113" s="8">
        <f>(INT(Table_Uzbekistan[[#This Row],[Date]]) - DATE(1970, 1, 1)) * 86400000</f>
        <v>1726876800000</v>
      </c>
      <c r="G113" s="10">
        <f>'GMT Glossary'!$B$9</f>
        <v>5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04:00</v>
      </c>
    </row>
    <row r="114" spans="1:9" x14ac:dyDescent="0.25">
      <c r="A114" s="100">
        <v>45557</v>
      </c>
      <c r="B114" s="102">
        <v>4.1666666666666664E-2</v>
      </c>
      <c r="C114" s="101" t="s">
        <v>8</v>
      </c>
      <c r="D114" s="104" t="s">
        <v>77</v>
      </c>
      <c r="E114" s="9" t="s">
        <v>21</v>
      </c>
      <c r="F114" s="8">
        <f>(INT(Table_Uzbekistan[[#This Row],[Date]]) - DATE(1970, 1, 1)) * 86400000</f>
        <v>1726963200000</v>
      </c>
      <c r="G114" s="10">
        <f>'GMT Glossary'!$B$9</f>
        <v>5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06:00</v>
      </c>
    </row>
    <row r="115" spans="1:9" x14ac:dyDescent="0.25">
      <c r="A115" s="23">
        <v>45557</v>
      </c>
      <c r="B115" s="20">
        <v>4.1666666666666664E-2</v>
      </c>
      <c r="C115" s="19" t="s">
        <v>8</v>
      </c>
      <c r="D115" s="103" t="s">
        <v>139</v>
      </c>
      <c r="E115" s="9" t="s">
        <v>72</v>
      </c>
      <c r="F115" s="8">
        <f>(INT(Table_Uzbekistan[[#This Row],[Date]]) - DATE(1970, 1, 1)) * 86400000</f>
        <v>1726963200000</v>
      </c>
      <c r="G115" s="10">
        <f>'GMT Glossary'!$B$9</f>
        <v>5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06:00</v>
      </c>
    </row>
    <row r="116" spans="1:9" x14ac:dyDescent="0.25">
      <c r="A116" s="100">
        <v>45557</v>
      </c>
      <c r="B116" s="102">
        <v>0.125</v>
      </c>
      <c r="C116" s="101" t="s">
        <v>8</v>
      </c>
      <c r="D116" s="104" t="s">
        <v>195</v>
      </c>
      <c r="E116" s="9" t="s">
        <v>21</v>
      </c>
      <c r="F116" s="8">
        <f>(INT(Table_Uzbekistan[[#This Row],[Date]]) - DATE(1970, 1, 1)) * 86400000</f>
        <v>1726963200000</v>
      </c>
      <c r="G116" s="10">
        <f>'GMT Glossary'!$B$9</f>
        <v>5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08:00</v>
      </c>
    </row>
    <row r="117" spans="1:9" x14ac:dyDescent="0.25">
      <c r="A117" s="23">
        <v>45557</v>
      </c>
      <c r="B117" s="20">
        <v>0.125</v>
      </c>
      <c r="C117" s="19" t="s">
        <v>8</v>
      </c>
      <c r="D117" s="104" t="s">
        <v>244</v>
      </c>
      <c r="E117" s="9" t="s">
        <v>72</v>
      </c>
      <c r="F117" s="8">
        <f>(INT(Table_Uzbekistan[[#This Row],[Date]]) - DATE(1970, 1, 1)) * 86400000</f>
        <v>1726963200000</v>
      </c>
      <c r="G117" s="10">
        <f>'GMT Glossary'!$B$9</f>
        <v>5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08:00</v>
      </c>
    </row>
    <row r="118" spans="1:9" x14ac:dyDescent="0.25">
      <c r="A118" s="100">
        <v>45557</v>
      </c>
      <c r="B118" s="102">
        <v>0.20833333333333334</v>
      </c>
      <c r="C118" s="101" t="s">
        <v>8</v>
      </c>
      <c r="D118" s="104" t="s">
        <v>129</v>
      </c>
      <c r="E118" s="9" t="s">
        <v>21</v>
      </c>
      <c r="F118" s="8">
        <f>(INT(Table_Uzbekistan[[#This Row],[Date]]) - DATE(1970, 1, 1)) * 86400000</f>
        <v>1726963200000</v>
      </c>
      <c r="G118" s="10">
        <f>'GMT Glossary'!$B$9</f>
        <v>5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10:00</v>
      </c>
    </row>
    <row r="119" spans="1:9" x14ac:dyDescent="0.25">
      <c r="A119" s="23">
        <v>45557</v>
      </c>
      <c r="B119" s="20">
        <v>0.20833333333333334</v>
      </c>
      <c r="C119" s="19" t="s">
        <v>402</v>
      </c>
      <c r="D119" s="103" t="s">
        <v>85</v>
      </c>
      <c r="E119" s="9" t="s">
        <v>72</v>
      </c>
      <c r="F119" s="8">
        <f>(INT(Table_Uzbekistan[[#This Row],[Date]]) - DATE(1970, 1, 1)) * 86400000</f>
        <v>1726963200000</v>
      </c>
      <c r="G119" s="10">
        <f>'GMT Glossary'!$B$9</f>
        <v>5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10:00</v>
      </c>
    </row>
    <row r="120" spans="1:9" x14ac:dyDescent="0.25">
      <c r="A120" s="100">
        <v>45557</v>
      </c>
      <c r="B120" s="102">
        <v>0.29166666666666669</v>
      </c>
      <c r="C120" s="101" t="s">
        <v>8</v>
      </c>
      <c r="D120" s="104" t="s">
        <v>74</v>
      </c>
      <c r="E120" s="9" t="s">
        <v>21</v>
      </c>
      <c r="F120" s="8">
        <f>(INT(Table_Uzbekistan[[#This Row],[Date]]) - DATE(1970, 1, 1)) * 86400000</f>
        <v>1726963200000</v>
      </c>
      <c r="G120" s="10">
        <f>'GMT Glossary'!$B$9</f>
        <v>5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12:00</v>
      </c>
    </row>
    <row r="121" spans="1:9" x14ac:dyDescent="0.25">
      <c r="A121" s="23">
        <v>45557</v>
      </c>
      <c r="B121" s="20">
        <v>0.29166666666666669</v>
      </c>
      <c r="C121" s="19" t="s">
        <v>398</v>
      </c>
      <c r="D121" s="99" t="s">
        <v>245</v>
      </c>
      <c r="E121" s="9" t="s">
        <v>72</v>
      </c>
      <c r="F121" s="8">
        <f>(INT(Table_Uzbekistan[[#This Row],[Date]]) - DATE(1970, 1, 1)) * 86400000</f>
        <v>1726963200000</v>
      </c>
      <c r="G121" s="10">
        <f>'GMT Glossary'!$B$9</f>
        <v>5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12:00</v>
      </c>
    </row>
    <row r="122" spans="1:9" x14ac:dyDescent="0.25">
      <c r="A122" s="100">
        <v>45557</v>
      </c>
      <c r="B122" s="102">
        <v>0.375</v>
      </c>
      <c r="C122" s="101" t="s">
        <v>8</v>
      </c>
      <c r="D122" s="104" t="s">
        <v>59</v>
      </c>
      <c r="E122" s="9" t="s">
        <v>21</v>
      </c>
      <c r="F122" s="8">
        <f>(INT(Table_Uzbekistan[[#This Row],[Date]]) - DATE(1970, 1, 1)) * 86400000</f>
        <v>1726963200000</v>
      </c>
      <c r="G122" s="10">
        <f>'GMT Glossary'!$B$9</f>
        <v>5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14:00</v>
      </c>
    </row>
    <row r="123" spans="1:9" x14ac:dyDescent="0.25">
      <c r="A123" s="23">
        <v>45557</v>
      </c>
      <c r="B123" s="20">
        <v>0.375</v>
      </c>
      <c r="C123" s="19" t="s">
        <v>8</v>
      </c>
      <c r="D123" s="103" t="s">
        <v>141</v>
      </c>
      <c r="E123" s="9" t="s">
        <v>72</v>
      </c>
      <c r="F123" s="8">
        <f>(INT(Table_Uzbekistan[[#This Row],[Date]]) - DATE(1970, 1, 1)) * 86400000</f>
        <v>1726963200000</v>
      </c>
      <c r="G123" s="10">
        <f>'GMT Glossary'!$B$9</f>
        <v>5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14:00</v>
      </c>
    </row>
    <row r="124" spans="1:9" x14ac:dyDescent="0.25">
      <c r="A124" s="100">
        <v>45557</v>
      </c>
      <c r="B124" s="102">
        <v>0.4375</v>
      </c>
      <c r="C124" s="101" t="s">
        <v>8</v>
      </c>
      <c r="D124" s="99" t="s">
        <v>215</v>
      </c>
      <c r="E124" s="9" t="s">
        <v>21</v>
      </c>
      <c r="F124" s="8">
        <f>(INT(Table_Uzbekistan[[#This Row],[Date]]) - DATE(1970, 1, 1)) * 86400000</f>
        <v>1726963200000</v>
      </c>
      <c r="G124" s="10">
        <f>'GMT Glossary'!$B$9</f>
        <v>5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15:30</v>
      </c>
    </row>
    <row r="125" spans="1:9" x14ac:dyDescent="0.25">
      <c r="A125" s="23">
        <v>45557</v>
      </c>
      <c r="B125" s="20">
        <v>0.5</v>
      </c>
      <c r="C125" s="19" t="s">
        <v>402</v>
      </c>
      <c r="D125" s="105" t="s">
        <v>246</v>
      </c>
      <c r="E125" s="9" t="s">
        <v>72</v>
      </c>
      <c r="F125" s="8">
        <f>(INT(Table_Uzbekistan[[#This Row],[Date]]) - DATE(1970, 1, 1)) * 86400000</f>
        <v>1726963200000</v>
      </c>
      <c r="G125" s="10">
        <f>'GMT Glossary'!$B$9</f>
        <v>5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17:00</v>
      </c>
    </row>
    <row r="126" spans="1:9" x14ac:dyDescent="0.25">
      <c r="A126" s="100">
        <v>45557</v>
      </c>
      <c r="B126" s="102">
        <v>0.54166666666666663</v>
      </c>
      <c r="C126" s="101" t="s">
        <v>8</v>
      </c>
      <c r="D126" s="99" t="s">
        <v>216</v>
      </c>
      <c r="E126" s="9" t="s">
        <v>21</v>
      </c>
      <c r="F126" s="8">
        <f>(INT(Table_Uzbekistan[[#This Row],[Date]]) - DATE(1970, 1, 1)) * 86400000</f>
        <v>1726963200000</v>
      </c>
      <c r="G126" s="10">
        <f>'GMT Glossary'!$B$9</f>
        <v>5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18:00</v>
      </c>
    </row>
    <row r="127" spans="1:9" x14ac:dyDescent="0.25">
      <c r="A127" s="23">
        <v>45557</v>
      </c>
      <c r="B127" s="20">
        <v>0.59375</v>
      </c>
      <c r="C127" s="19" t="s">
        <v>8</v>
      </c>
      <c r="D127" s="105" t="s">
        <v>247</v>
      </c>
      <c r="E127" s="9" t="s">
        <v>72</v>
      </c>
      <c r="F127" s="8">
        <f>(INT(Table_Uzbekistan[[#This Row],[Date]]) - DATE(1970, 1, 1)) * 86400000</f>
        <v>1726963200000</v>
      </c>
      <c r="G127" s="10">
        <f>'GMT Glossary'!$B$9</f>
        <v>5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19:15</v>
      </c>
    </row>
    <row r="128" spans="1:9" x14ac:dyDescent="0.25">
      <c r="A128" s="100">
        <v>45557</v>
      </c>
      <c r="B128" s="102">
        <v>0.64583333333333337</v>
      </c>
      <c r="C128" s="101" t="s">
        <v>8</v>
      </c>
      <c r="D128" s="99" t="s">
        <v>256</v>
      </c>
      <c r="E128" s="9" t="s">
        <v>21</v>
      </c>
      <c r="F128" s="8">
        <f>(INT(Table_Uzbekistan[[#This Row],[Date]]) - DATE(1970, 1, 1)) * 86400000</f>
        <v>1726963200000</v>
      </c>
      <c r="G128">
        <f>'GMT Glossary'!$B$9</f>
        <v>5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20:30</v>
      </c>
    </row>
    <row r="129" spans="1:9" x14ac:dyDescent="0.25">
      <c r="A129" s="23">
        <v>45557</v>
      </c>
      <c r="B129" s="20">
        <v>0.6875</v>
      </c>
      <c r="C129" s="19" t="s">
        <v>8</v>
      </c>
      <c r="D129" s="105" t="s">
        <v>248</v>
      </c>
      <c r="E129" s="9" t="s">
        <v>72</v>
      </c>
      <c r="F129" s="8">
        <f>(INT(Table_Uzbekistan[[#This Row],[Date]]) - DATE(1970, 1, 1)) * 86400000</f>
        <v>1726963200000</v>
      </c>
      <c r="G129" s="10">
        <f>'GMT Glossary'!$B$9</f>
        <v>5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21:30</v>
      </c>
    </row>
    <row r="130" spans="1:9" x14ac:dyDescent="0.25">
      <c r="A130" s="100">
        <v>45557</v>
      </c>
      <c r="B130" s="102">
        <v>0.78125</v>
      </c>
      <c r="C130" s="101" t="s">
        <v>8</v>
      </c>
      <c r="D130" s="99" t="s">
        <v>257</v>
      </c>
      <c r="E130" s="9" t="s">
        <v>21</v>
      </c>
      <c r="F130" s="8">
        <f>(INT(Table_Uzbekistan[[#This Row],[Date]]) - DATE(1970, 1, 1)) * 86400000</f>
        <v>1726963200000</v>
      </c>
      <c r="G130" s="10">
        <f>'GMT Glossary'!$B$9</f>
        <v>5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23:45</v>
      </c>
    </row>
    <row r="131" spans="1:9" x14ac:dyDescent="0.25">
      <c r="A131" s="23">
        <v>45557</v>
      </c>
      <c r="B131" s="20">
        <v>0.79166666666666663</v>
      </c>
      <c r="C131" s="19" t="s">
        <v>8</v>
      </c>
      <c r="D131" s="105" t="s">
        <v>259</v>
      </c>
      <c r="E131" s="9" t="s">
        <v>72</v>
      </c>
      <c r="F131" s="8">
        <f>(INT(Table_Uzbekistan[[#This Row],[Date]]) - DATE(1970, 1, 1)) * 86400000</f>
        <v>1726963200000</v>
      </c>
      <c r="G131" s="10">
        <f>'GMT Glossary'!$B$9</f>
        <v>5</v>
      </c>
      <c r="H131" s="2" t="str">
        <f>TEXT(IF(B131&lt;0, A131+1+((B131+(G131/24))-(INT(B131+(G131/24)))), A131+(B131+(G131/24))), "yyyy-mm-dd")</f>
        <v>2024-09-23</v>
      </c>
      <c r="I131" s="2" t="str">
        <f>TEXT(IF(B131&lt;0, A131+1+((B131+(G131/24))-(INT(B131+(G131/24)))), A131+(B131+(G131/24))), "hh:mm")</f>
        <v>00:00</v>
      </c>
    </row>
    <row r="132" spans="1:9" x14ac:dyDescent="0.25">
      <c r="A132" s="100">
        <v>45557</v>
      </c>
      <c r="B132" s="102">
        <v>0.875</v>
      </c>
      <c r="C132" s="101" t="s">
        <v>8</v>
      </c>
      <c r="D132" s="104" t="s">
        <v>219</v>
      </c>
      <c r="E132" s="9" t="s">
        <v>21</v>
      </c>
      <c r="F132" s="8">
        <f>(INT(Table_Uzbekistan[[#This Row],[Date]]) - DATE(1970, 1, 1)) * 86400000</f>
        <v>1726963200000</v>
      </c>
      <c r="G132" s="10">
        <f>'GMT Glossary'!$B$9</f>
        <v>5</v>
      </c>
      <c r="H132" s="2" t="str">
        <f>TEXT(IF(B132&lt;0, A132+1+((B132+(G132/24))-(INT(B132+(G132/24)))), A132+(B132+(G132/24))), "yyyy-mm-dd")</f>
        <v>2024-09-23</v>
      </c>
      <c r="I132" s="2" t="str">
        <f>TEXT(IF(B132&lt;0, A132+1+((B132+(G132/24))-(INT(B132+(G132/24)))), A132+(B132+(G132/24))), "hh:mm")</f>
        <v>02:00</v>
      </c>
    </row>
    <row r="133" spans="1:9" x14ac:dyDescent="0.25">
      <c r="A133" s="23">
        <v>45557</v>
      </c>
      <c r="B133" s="20">
        <v>0.875</v>
      </c>
      <c r="C133" s="19" t="s">
        <v>8</v>
      </c>
      <c r="D133" s="103" t="s">
        <v>141</v>
      </c>
      <c r="E133" s="9" t="s">
        <v>72</v>
      </c>
      <c r="F133" s="8">
        <f>(INT(Table_Uzbekistan[[#This Row],[Date]]) - DATE(1970, 1, 1)) * 86400000</f>
        <v>1726963200000</v>
      </c>
      <c r="G133" s="10">
        <f>'GMT Glossary'!$B$9</f>
        <v>5</v>
      </c>
      <c r="H133" s="2" t="str">
        <f>TEXT(IF(B133&lt;0, A133+1+((B133+(G133/24))-(INT(B133+(G133/24)))), A133+(B133+(G133/24))), "yyyy-mm-dd")</f>
        <v>2024-09-23</v>
      </c>
      <c r="I133" s="2" t="str">
        <f>TEXT(IF(B133&lt;0, A133+1+((B133+(G133/24))-(INT(B133+(G133/24)))), A133+(B133+(G133/24))), "hh:mm")</f>
        <v>02:00</v>
      </c>
    </row>
    <row r="134" spans="1:9" x14ac:dyDescent="0.25">
      <c r="A134" s="100">
        <v>45557</v>
      </c>
      <c r="B134" s="102">
        <v>0.95833333333333337</v>
      </c>
      <c r="C134" s="101" t="s">
        <v>8</v>
      </c>
      <c r="D134" s="104" t="s">
        <v>220</v>
      </c>
      <c r="E134" s="9" t="s">
        <v>21</v>
      </c>
      <c r="F134" s="8">
        <f>(INT(Table_Uzbekistan[[#This Row],[Date]]) - DATE(1970, 1, 1)) * 86400000</f>
        <v>1726963200000</v>
      </c>
      <c r="G134" s="10">
        <f>'GMT Glossary'!$B$9</f>
        <v>5</v>
      </c>
      <c r="H134" s="2" t="str">
        <f>TEXT(IF(B134&lt;0, A134+1+((B134+(G134/24))-(INT(B134+(G134/24)))), A134+(B134+(G134/24))), "yyyy-mm-dd")</f>
        <v>2024-09-23</v>
      </c>
      <c r="I134" s="2" t="str">
        <f>TEXT(IF(B134&lt;0, A134+1+((B134+(G134/24))-(INT(B134+(G134/24)))), A134+(B134+(G134/24))), "hh:mm")</f>
        <v>04:00</v>
      </c>
    </row>
    <row r="135" spans="1:9" x14ac:dyDescent="0.25">
      <c r="A135" s="23">
        <v>45557</v>
      </c>
      <c r="B135" s="20">
        <v>0.97916666666666663</v>
      </c>
      <c r="C135" s="19" t="s">
        <v>398</v>
      </c>
      <c r="D135" s="103" t="s">
        <v>92</v>
      </c>
      <c r="E135" s="9" t="s">
        <v>72</v>
      </c>
      <c r="F135" s="8">
        <f>(INT(Table_Uzbekistan[[#This Row],[Date]]) - DATE(1970, 1, 1)) * 86400000</f>
        <v>1726963200000</v>
      </c>
      <c r="G135" s="10">
        <f>'GMT Glossary'!$B$9</f>
        <v>5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04:30</v>
      </c>
    </row>
    <row r="136" spans="1:9" x14ac:dyDescent="0.25">
      <c r="A136" s="100">
        <v>45558</v>
      </c>
      <c r="B136" s="102">
        <v>4.1666666666666664E-2</v>
      </c>
      <c r="C136" s="101" t="s">
        <v>8</v>
      </c>
      <c r="D136" s="104" t="s">
        <v>221</v>
      </c>
      <c r="E136" s="9" t="s">
        <v>21</v>
      </c>
      <c r="F136" s="8">
        <f>(INT(Table_Uzbekistan[[#This Row],[Date]]) - DATE(1970, 1, 1)) * 86400000</f>
        <v>1727049600000</v>
      </c>
      <c r="G136" s="10">
        <f>'GMT Glossary'!$B$9</f>
        <v>5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06:00</v>
      </c>
    </row>
    <row r="137" spans="1:9" x14ac:dyDescent="0.25">
      <c r="A137" s="23">
        <v>45558</v>
      </c>
      <c r="B137" s="20">
        <v>8.3333333333333329E-2</v>
      </c>
      <c r="C137" s="19" t="s">
        <v>401</v>
      </c>
      <c r="D137" s="104" t="s">
        <v>87</v>
      </c>
      <c r="E137" s="9" t="s">
        <v>72</v>
      </c>
      <c r="F137" s="8">
        <f>(INT(Table_Uzbekistan[[#This Row],[Date]]) - DATE(1970, 1, 1)) * 86400000</f>
        <v>1727049600000</v>
      </c>
      <c r="G137" s="10">
        <f>'GMT Glossary'!$B$9</f>
        <v>5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07:00</v>
      </c>
    </row>
    <row r="138" spans="1:9" x14ac:dyDescent="0.25">
      <c r="A138" s="100">
        <v>45558</v>
      </c>
      <c r="B138" s="102">
        <v>0.125</v>
      </c>
      <c r="C138" s="101" t="s">
        <v>8</v>
      </c>
      <c r="D138" s="104" t="s">
        <v>222</v>
      </c>
      <c r="E138" s="9" t="s">
        <v>21</v>
      </c>
      <c r="F138" s="8">
        <f>(INT(Table_Uzbekistan[[#This Row],[Date]]) - DATE(1970, 1, 1)) * 86400000</f>
        <v>1727049600000</v>
      </c>
      <c r="G138" s="10">
        <f>'GMT Glossary'!$B$9</f>
        <v>5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08:00</v>
      </c>
    </row>
    <row r="139" spans="1:9" x14ac:dyDescent="0.25">
      <c r="A139" s="100">
        <v>45558</v>
      </c>
      <c r="B139" s="102">
        <v>0.20833333333333334</v>
      </c>
      <c r="C139" s="101" t="s">
        <v>8</v>
      </c>
      <c r="D139" s="104" t="s">
        <v>223</v>
      </c>
      <c r="E139" s="9" t="s">
        <v>21</v>
      </c>
      <c r="F139" s="8">
        <f>(INT(Table_Uzbekistan[[#This Row],[Date]]) - DATE(1970, 1, 1)) * 86400000</f>
        <v>1727049600000</v>
      </c>
      <c r="G139" s="10">
        <f>'GMT Glossary'!$B$9</f>
        <v>5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10:00</v>
      </c>
    </row>
    <row r="140" spans="1:9" x14ac:dyDescent="0.25">
      <c r="A140" s="23">
        <v>45558</v>
      </c>
      <c r="B140" s="20">
        <v>0.20833333333333334</v>
      </c>
      <c r="C140" s="19" t="s">
        <v>8</v>
      </c>
      <c r="D140" s="104" t="s">
        <v>250</v>
      </c>
      <c r="E140" s="9" t="s">
        <v>72</v>
      </c>
      <c r="F140" s="8">
        <f>(INT(Table_Uzbekistan[[#This Row],[Date]]) - DATE(1970, 1, 1)) * 86400000</f>
        <v>1727049600000</v>
      </c>
      <c r="G140" s="10">
        <f>'GMT Glossary'!$B$9</f>
        <v>5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10:00</v>
      </c>
    </row>
    <row r="141" spans="1:9" x14ac:dyDescent="0.25">
      <c r="A141" s="100">
        <v>45558</v>
      </c>
      <c r="B141" s="102">
        <v>0.29166666666666669</v>
      </c>
      <c r="C141" s="101" t="s">
        <v>8</v>
      </c>
      <c r="D141" s="104" t="s">
        <v>219</v>
      </c>
      <c r="E141" s="9" t="s">
        <v>21</v>
      </c>
      <c r="F141" s="8">
        <f>(INT(Table_Uzbekistan[[#This Row],[Date]]) - DATE(1970, 1, 1)) * 86400000</f>
        <v>1727049600000</v>
      </c>
      <c r="G141" s="10">
        <f>'GMT Glossary'!$B$9</f>
        <v>5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12:00</v>
      </c>
    </row>
    <row r="142" spans="1:9" x14ac:dyDescent="0.25">
      <c r="A142" s="23">
        <v>45558</v>
      </c>
      <c r="B142" s="20">
        <v>0.29166666666666669</v>
      </c>
      <c r="C142" s="19" t="s">
        <v>8</v>
      </c>
      <c r="D142" s="104" t="s">
        <v>251</v>
      </c>
      <c r="E142" s="9" t="s">
        <v>72</v>
      </c>
      <c r="F142" s="8">
        <f>(INT(Table_Uzbekistan[[#This Row],[Date]]) - DATE(1970, 1, 1)) * 86400000</f>
        <v>1727049600000</v>
      </c>
      <c r="G142" s="10">
        <f>'GMT Glossary'!$B$9</f>
        <v>5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12:00</v>
      </c>
    </row>
    <row r="143" spans="1:9" x14ac:dyDescent="0.25">
      <c r="A143" s="100">
        <v>45558</v>
      </c>
      <c r="B143" s="102">
        <v>0.375</v>
      </c>
      <c r="C143" s="101" t="s">
        <v>8</v>
      </c>
      <c r="D143" s="104" t="s">
        <v>224</v>
      </c>
      <c r="E143" s="9" t="s">
        <v>21</v>
      </c>
      <c r="F143" s="8">
        <f>(INT(Table_Uzbekistan[[#This Row],[Date]]) - DATE(1970, 1, 1)) * 86400000</f>
        <v>1727049600000</v>
      </c>
      <c r="G143" s="10">
        <f>'GMT Glossary'!$B$9</f>
        <v>5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14:00</v>
      </c>
    </row>
    <row r="144" spans="1:9" x14ac:dyDescent="0.25">
      <c r="A144" s="23">
        <v>45558</v>
      </c>
      <c r="B144" s="20">
        <v>0.375</v>
      </c>
      <c r="C144" s="19" t="s">
        <v>8</v>
      </c>
      <c r="D144" s="103" t="s">
        <v>252</v>
      </c>
      <c r="E144" s="9" t="s">
        <v>72</v>
      </c>
      <c r="F144" s="8">
        <f>(INT(Table_Uzbekistan[[#This Row],[Date]]) - DATE(1970, 1, 1)) * 86400000</f>
        <v>1727049600000</v>
      </c>
      <c r="G144" s="10">
        <f>'GMT Glossary'!$B$9</f>
        <v>5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14:00</v>
      </c>
    </row>
    <row r="145" spans="1:9" x14ac:dyDescent="0.25">
      <c r="A145" s="100">
        <v>45558</v>
      </c>
      <c r="B145" s="102">
        <v>0.45833333333333331</v>
      </c>
      <c r="C145" s="101" t="s">
        <v>8</v>
      </c>
      <c r="D145" s="104" t="s">
        <v>225</v>
      </c>
      <c r="E145" s="9" t="s">
        <v>21</v>
      </c>
      <c r="F145" s="8">
        <f>(INT(Table_Uzbekistan[[#This Row],[Date]]) - DATE(1970, 1, 1)) * 86400000</f>
        <v>1727049600000</v>
      </c>
      <c r="G145">
        <f>'GMT Glossary'!$B$9</f>
        <v>5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16:00</v>
      </c>
    </row>
    <row r="146" spans="1:9" x14ac:dyDescent="0.25">
      <c r="A146" s="23">
        <v>45558</v>
      </c>
      <c r="B146" s="20">
        <v>0.45833333333333331</v>
      </c>
      <c r="C146" s="19" t="s">
        <v>402</v>
      </c>
      <c r="D146" s="103" t="s">
        <v>91</v>
      </c>
      <c r="E146" s="9" t="s">
        <v>72</v>
      </c>
      <c r="F146" s="8">
        <f>(INT(Table_Uzbekistan[[#This Row],[Date]]) - DATE(1970, 1, 1)) * 86400000</f>
        <v>1727049600000</v>
      </c>
      <c r="G146" s="10">
        <f>'GMT Glossary'!$B$9</f>
        <v>5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16:00</v>
      </c>
    </row>
    <row r="147" spans="1:9" x14ac:dyDescent="0.25">
      <c r="A147" s="100">
        <v>45558</v>
      </c>
      <c r="B147" s="102">
        <v>0.54166666666666663</v>
      </c>
      <c r="C147" s="101" t="s">
        <v>8</v>
      </c>
      <c r="D147" s="104" t="s">
        <v>226</v>
      </c>
      <c r="E147" s="9" t="s">
        <v>21</v>
      </c>
      <c r="F147" s="8">
        <f>(INT(Table_Uzbekistan[[#This Row],[Date]]) - DATE(1970, 1, 1)) * 86400000</f>
        <v>1727049600000</v>
      </c>
      <c r="G147" s="10">
        <f>'GMT Glossary'!$B$9</f>
        <v>5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18:00</v>
      </c>
    </row>
    <row r="148" spans="1:9" x14ac:dyDescent="0.25">
      <c r="A148" s="23">
        <v>45558</v>
      </c>
      <c r="B148" s="20">
        <v>0.54166666666666663</v>
      </c>
      <c r="C148" s="19" t="s">
        <v>398</v>
      </c>
      <c r="D148" s="104" t="s">
        <v>92</v>
      </c>
      <c r="E148" s="9" t="s">
        <v>72</v>
      </c>
      <c r="F148" s="8">
        <f>(INT(Table_Uzbekistan[[#This Row],[Date]]) - DATE(1970, 1, 1)) * 86400000</f>
        <v>1727049600000</v>
      </c>
      <c r="G148" s="10">
        <f>'GMT Glossary'!$B$9</f>
        <v>5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18:00</v>
      </c>
    </row>
    <row r="149" spans="1:9" x14ac:dyDescent="0.25">
      <c r="A149" s="100">
        <v>45558</v>
      </c>
      <c r="B149" s="102">
        <v>0.625</v>
      </c>
      <c r="C149" s="101" t="s">
        <v>8</v>
      </c>
      <c r="D149" s="104" t="s">
        <v>223</v>
      </c>
      <c r="E149" s="9" t="s">
        <v>21</v>
      </c>
      <c r="F149" s="8">
        <f>(INT(Table_Uzbekistan[[#This Row],[Date]]) - DATE(1970, 1, 1)) * 86400000</f>
        <v>1727049600000</v>
      </c>
      <c r="G149" s="10">
        <f>'GMT Glossary'!$B$9</f>
        <v>5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20:00</v>
      </c>
    </row>
    <row r="150" spans="1:9" x14ac:dyDescent="0.25">
      <c r="A150" s="23">
        <v>45558</v>
      </c>
      <c r="B150" s="20">
        <v>0.625</v>
      </c>
      <c r="C150" s="19" t="s">
        <v>8</v>
      </c>
      <c r="D150" s="103" t="s">
        <v>253</v>
      </c>
      <c r="E150" s="9" t="s">
        <v>72</v>
      </c>
      <c r="F150" s="8">
        <f>(INT(Table_Uzbekistan[[#This Row],[Date]]) - DATE(1970, 1, 1)) * 86400000</f>
        <v>1727049600000</v>
      </c>
      <c r="G150" s="10">
        <f>'GMT Glossary'!$B$9</f>
        <v>5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20:00</v>
      </c>
    </row>
    <row r="151" spans="1:9" x14ac:dyDescent="0.25">
      <c r="A151" s="100">
        <v>45558</v>
      </c>
      <c r="B151" s="102">
        <v>0.70833333333333337</v>
      </c>
      <c r="C151" s="101" t="s">
        <v>8</v>
      </c>
      <c r="D151" s="104" t="s">
        <v>221</v>
      </c>
      <c r="E151" s="9" t="s">
        <v>21</v>
      </c>
      <c r="F151" s="8">
        <f>(INT(Table_Uzbekistan[[#This Row],[Date]]) - DATE(1970, 1, 1)) * 86400000</f>
        <v>1727049600000</v>
      </c>
      <c r="G151" s="10">
        <f>'GMT Glossary'!$B$9</f>
        <v>5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22:00</v>
      </c>
    </row>
    <row r="152" spans="1:9" x14ac:dyDescent="0.25">
      <c r="A152" s="23">
        <v>45558</v>
      </c>
      <c r="B152" s="20">
        <v>0.70833333333333337</v>
      </c>
      <c r="C152" s="19" t="s">
        <v>8</v>
      </c>
      <c r="D152" s="103" t="s">
        <v>254</v>
      </c>
      <c r="E152" s="9" t="s">
        <v>72</v>
      </c>
      <c r="F152" s="8">
        <f>(INT(Table_Uzbekistan[[#This Row],[Date]]) - DATE(1970, 1, 1)) * 86400000</f>
        <v>1727049600000</v>
      </c>
      <c r="G152" s="10">
        <f>'GMT Glossary'!$B$9</f>
        <v>5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22:00</v>
      </c>
    </row>
    <row r="153" spans="1:9" x14ac:dyDescent="0.25">
      <c r="A153" s="100">
        <v>45558</v>
      </c>
      <c r="B153" s="102">
        <v>0.78125</v>
      </c>
      <c r="C153" s="101" t="s">
        <v>8</v>
      </c>
      <c r="D153" s="99" t="s">
        <v>227</v>
      </c>
      <c r="E153" s="9" t="s">
        <v>21</v>
      </c>
      <c r="F153" s="8">
        <f>(INT(Table_Uzbekistan[[#This Row],[Date]]) - DATE(1970, 1, 1)) * 86400000</f>
        <v>1727049600000</v>
      </c>
      <c r="G153" s="10">
        <f>'GMT Glossary'!$B$9</f>
        <v>5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23:45</v>
      </c>
    </row>
    <row r="154" spans="1:9" x14ac:dyDescent="0.25">
      <c r="A154" s="23">
        <v>45558</v>
      </c>
      <c r="B154" s="20">
        <v>0.79166666666666663</v>
      </c>
      <c r="C154" s="19" t="s">
        <v>8</v>
      </c>
      <c r="D154" s="103" t="s">
        <v>141</v>
      </c>
      <c r="E154" s="9" t="s">
        <v>72</v>
      </c>
      <c r="F154" s="8">
        <f>(INT(Table_Uzbekistan[[#This Row],[Date]]) - DATE(1970, 1, 1)) * 86400000</f>
        <v>1727049600000</v>
      </c>
      <c r="G154" s="10">
        <f>'GMT Glossary'!$B$9</f>
        <v>5</v>
      </c>
      <c r="H154" s="2" t="str">
        <f>TEXT(IF(B154&lt;0, A154+1+((B154+(G154/24))-(INT(B154+(G154/24)))), A154+(B154+(G154/24))), "yyyy-mm-dd")</f>
        <v>2024-09-24</v>
      </c>
      <c r="I154" s="2" t="str">
        <f>TEXT(IF(B154&lt;0, A154+1+((B154+(G154/24))-(INT(B154+(G154/24)))), A154+(B154+(G154/24))), "hh:mm")</f>
        <v>00:00</v>
      </c>
    </row>
    <row r="155" spans="1:9" x14ac:dyDescent="0.25">
      <c r="A155" s="100">
        <v>45558</v>
      </c>
      <c r="B155" s="102">
        <v>0.875</v>
      </c>
      <c r="C155" s="101" t="s">
        <v>8</v>
      </c>
      <c r="D155" s="104" t="s">
        <v>225</v>
      </c>
      <c r="E155" s="9" t="s">
        <v>21</v>
      </c>
      <c r="F155" s="8">
        <f>(INT(Table_Uzbekistan[[#This Row],[Date]]) - DATE(1970, 1, 1)) * 86400000</f>
        <v>1727049600000</v>
      </c>
      <c r="G155">
        <f>'GMT Glossary'!$B$9</f>
        <v>5</v>
      </c>
      <c r="H155" s="2" t="str">
        <f>TEXT(IF(B155&lt;0, A155+1+((B155+(G155/24))-(INT(B155+(G155/24)))), A155+(B155+(G155/24))), "yyyy-mm-dd")</f>
        <v>2024-09-24</v>
      </c>
      <c r="I155" s="2" t="str">
        <f>TEXT(IF(B155&lt;0, A155+1+((B155+(G155/24))-(INT(B155+(G155/24)))), A155+(B155+(G155/24))), "hh:mm")</f>
        <v>02:00</v>
      </c>
    </row>
    <row r="156" spans="1:9" x14ac:dyDescent="0.25">
      <c r="A156" s="23">
        <v>45558</v>
      </c>
      <c r="B156" s="20">
        <v>0.875</v>
      </c>
      <c r="C156" s="19" t="s">
        <v>8</v>
      </c>
      <c r="D156" s="103" t="s">
        <v>139</v>
      </c>
      <c r="E156" s="9" t="s">
        <v>72</v>
      </c>
      <c r="F156" s="8">
        <f>(INT(Table_Uzbekistan[[#This Row],[Date]]) - DATE(1970, 1, 1)) * 86400000</f>
        <v>1727049600000</v>
      </c>
      <c r="G156" s="10">
        <f>'GMT Glossary'!$B$9</f>
        <v>5</v>
      </c>
      <c r="H156" s="2" t="str">
        <f>TEXT(IF(B156&lt;0, A156+1+((B156+(G156/24))-(INT(B156+(G156/24)))), A156+(B156+(G156/24))), "yyyy-mm-dd")</f>
        <v>2024-09-24</v>
      </c>
      <c r="I156" s="2" t="str">
        <f>TEXT(IF(B156&lt;0, A156+1+((B156+(G156/24))-(INT(B156+(G156/24)))), A156+(B156+(G156/24))), "hh:mm")</f>
        <v>02:00</v>
      </c>
    </row>
    <row r="157" spans="1:9" x14ac:dyDescent="0.25">
      <c r="A157" s="100">
        <v>45558</v>
      </c>
      <c r="B157" s="102">
        <v>0.95833333333333337</v>
      </c>
      <c r="C157" s="101" t="s">
        <v>8</v>
      </c>
      <c r="D157" s="104" t="s">
        <v>228</v>
      </c>
      <c r="E157" s="9" t="s">
        <v>21</v>
      </c>
      <c r="F157" s="8">
        <f>(INT(Table_Uzbekistan[[#This Row],[Date]]) - DATE(1970, 1, 1)) * 86400000</f>
        <v>1727049600000</v>
      </c>
      <c r="G157" s="10">
        <f>'GMT Glossary'!$B$9</f>
        <v>5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04:00</v>
      </c>
    </row>
    <row r="158" spans="1:9" x14ac:dyDescent="0.25">
      <c r="A158" s="23">
        <v>45558</v>
      </c>
      <c r="B158" s="20">
        <v>0.95833333333333337</v>
      </c>
      <c r="C158" s="19" t="s">
        <v>401</v>
      </c>
      <c r="D158" s="104" t="s">
        <v>87</v>
      </c>
      <c r="E158" s="9" t="s">
        <v>72</v>
      </c>
      <c r="F158" s="8">
        <f>(INT(Table_Uzbekistan[[#This Row],[Date]]) - DATE(1970, 1, 1)) * 86400000</f>
        <v>1727049600000</v>
      </c>
      <c r="G158" s="10">
        <f>'GMT Glossary'!$B$9</f>
        <v>5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04:00</v>
      </c>
    </row>
    <row r="159" spans="1:9" x14ac:dyDescent="0.25">
      <c r="A159" s="100">
        <v>45559</v>
      </c>
      <c r="B159" s="102">
        <v>4.1666666666666664E-2</v>
      </c>
      <c r="C159" s="101" t="s">
        <v>8</v>
      </c>
      <c r="D159" s="104" t="s">
        <v>224</v>
      </c>
      <c r="E159" s="9" t="s">
        <v>21</v>
      </c>
      <c r="F159" s="8">
        <f>(INT(Table_Uzbekistan[[#This Row],[Date]]) - DATE(1970, 1, 1)) * 86400000</f>
        <v>1727136000000</v>
      </c>
      <c r="G159" s="10">
        <f>'GMT Glossary'!$B$9</f>
        <v>5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06:00</v>
      </c>
    </row>
    <row r="160" spans="1:9" x14ac:dyDescent="0.25">
      <c r="A160" s="23">
        <v>45559</v>
      </c>
      <c r="B160" s="20">
        <v>8.3333333333333329E-2</v>
      </c>
      <c r="C160" s="19" t="s">
        <v>402</v>
      </c>
      <c r="D160" s="103" t="s">
        <v>91</v>
      </c>
      <c r="E160" s="9" t="s">
        <v>72</v>
      </c>
      <c r="F160" s="8">
        <f>(INT(Table_Uzbekistan[[#This Row],[Date]]) - DATE(1970, 1, 1)) * 86400000</f>
        <v>1727136000000</v>
      </c>
      <c r="G160" s="10">
        <f>'GMT Glossary'!$B$9</f>
        <v>5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07:00</v>
      </c>
    </row>
    <row r="161" spans="1:9" x14ac:dyDescent="0.25">
      <c r="A161" s="100">
        <v>45559</v>
      </c>
      <c r="B161" s="102">
        <v>0.125</v>
      </c>
      <c r="C161" s="101" t="s">
        <v>8</v>
      </c>
      <c r="D161" s="104" t="s">
        <v>220</v>
      </c>
      <c r="E161" s="9" t="s">
        <v>21</v>
      </c>
      <c r="F161" s="8">
        <f>(INT(Table_Uzbekistan[[#This Row],[Date]]) - DATE(1970, 1, 1)) * 86400000</f>
        <v>1727136000000</v>
      </c>
      <c r="G161">
        <f>'GMT Glossary'!$B$9</f>
        <v>5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08:00</v>
      </c>
    </row>
    <row r="162" spans="1:9" x14ac:dyDescent="0.25">
      <c r="A162" s="100">
        <v>45559</v>
      </c>
      <c r="B162" s="102">
        <v>0.20833333333333334</v>
      </c>
      <c r="C162" s="101" t="s">
        <v>8</v>
      </c>
      <c r="D162" s="104" t="s">
        <v>222</v>
      </c>
      <c r="E162" s="9" t="s">
        <v>21</v>
      </c>
      <c r="F162" s="8">
        <f>(INT(Table_Uzbekistan[[#This Row],[Date]]) - DATE(1970, 1, 1)) * 86400000</f>
        <v>1727136000000</v>
      </c>
      <c r="G162" s="10">
        <f>'GMT Glossary'!$B$9</f>
        <v>5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10:00</v>
      </c>
    </row>
    <row r="163" spans="1:9" x14ac:dyDescent="0.25">
      <c r="A163" s="23">
        <v>45559</v>
      </c>
      <c r="B163" s="20">
        <v>0.20833333333333334</v>
      </c>
      <c r="C163" s="19" t="s">
        <v>398</v>
      </c>
      <c r="D163" s="104" t="s">
        <v>92</v>
      </c>
      <c r="E163" s="9" t="s">
        <v>72</v>
      </c>
      <c r="F163" s="8">
        <f>(INT(Table_Uzbekistan[[#This Row],[Date]]) - DATE(1970, 1, 1)) * 86400000</f>
        <v>1727136000000</v>
      </c>
      <c r="G163" s="10">
        <f>'GMT Glossary'!$B$9</f>
        <v>5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10:00</v>
      </c>
    </row>
    <row r="164" spans="1:9" x14ac:dyDescent="0.25">
      <c r="A164" s="100">
        <v>45559</v>
      </c>
      <c r="B164" s="102">
        <v>0.29166666666666669</v>
      </c>
      <c r="C164" s="101" t="s">
        <v>8</v>
      </c>
      <c r="D164" s="104" t="s">
        <v>219</v>
      </c>
      <c r="E164" s="9" t="s">
        <v>21</v>
      </c>
      <c r="F164" s="8">
        <f>(INT(Table_Uzbekistan[[#This Row],[Date]]) - DATE(1970, 1, 1)) * 86400000</f>
        <v>1727136000000</v>
      </c>
      <c r="G164" s="10">
        <f>'GMT Glossary'!$B$9</f>
        <v>5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12:00</v>
      </c>
    </row>
    <row r="165" spans="1:9" x14ac:dyDescent="0.25">
      <c r="A165" s="22">
        <v>45559</v>
      </c>
      <c r="B165" s="15">
        <v>0.29166666666666669</v>
      </c>
      <c r="C165" s="52" t="s">
        <v>8</v>
      </c>
      <c r="D165" s="17" t="s">
        <v>252</v>
      </c>
      <c r="E165" s="9" t="s">
        <v>72</v>
      </c>
      <c r="F165" s="21">
        <f>(INT(Table_Uzbekistan[[#This Row],[Date]]) - DATE(1970, 1, 1)) * 86400000</f>
        <v>1727136000000</v>
      </c>
      <c r="G165" s="12">
        <f>'GMT Glossary'!$B$9</f>
        <v>5</v>
      </c>
      <c r="H165" s="18" t="str">
        <f>TEXT(IF(B165&lt;0, A165+1+((B165+(G165/24))-(INT(B165+(G165/24)))), A165+(B165+(G165/24))), "yyyy-mm-dd")</f>
        <v>2024-09-24</v>
      </c>
      <c r="I165" s="18" t="str">
        <f>TEXT(IF(B165&lt;0, A165+1+((B165+(G165/24))-(INT(B165+(G165/24)))), A165+(B165+(G165/24))), "hh:mm")</f>
        <v>12:00</v>
      </c>
    </row>
  </sheetData>
  <sortState ref="A2:I165">
    <sortCondition ref="A2:A165"/>
    <sortCondition ref="B2:B165"/>
  </sortState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A70A4-41CD-4E13-B798-4FDF7D4403A5}">
  <sheetPr codeName="Sheet12"/>
  <dimension ref="A1:I165"/>
  <sheetViews>
    <sheetView workbookViewId="0">
      <selection activeCell="D23" sqref="D23"/>
    </sheetView>
  </sheetViews>
  <sheetFormatPr defaultRowHeight="15" x14ac:dyDescent="0.25"/>
  <cols>
    <col min="1" max="1" width="27.28515625" style="1" customWidth="1"/>
    <col min="2" max="3" width="25.570312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20</v>
      </c>
      <c r="I1" t="s">
        <v>7</v>
      </c>
    </row>
    <row r="2" spans="1:9" x14ac:dyDescent="0.25">
      <c r="A2" s="28">
        <v>45552</v>
      </c>
      <c r="B2" s="26">
        <v>0.375</v>
      </c>
      <c r="C2" s="27" t="s">
        <v>8</v>
      </c>
      <c r="D2" s="30" t="s">
        <v>78</v>
      </c>
      <c r="E2" s="9" t="s">
        <v>21</v>
      </c>
      <c r="F2" s="8">
        <f>(INT(Table_Turkmenistan[[#This Row],[Date]]) - DATE(1970, 1, 1)) * 86400000</f>
        <v>1726531200000</v>
      </c>
      <c r="G2">
        <f>'GMT Glossary'!$B$10</f>
        <v>5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14:00</v>
      </c>
    </row>
    <row r="3" spans="1:9" x14ac:dyDescent="0.25">
      <c r="A3" s="23">
        <v>45552</v>
      </c>
      <c r="B3" s="20">
        <v>0.375</v>
      </c>
      <c r="C3" s="20" t="s">
        <v>8</v>
      </c>
      <c r="D3" s="29" t="s">
        <v>108</v>
      </c>
      <c r="E3" s="32" t="s">
        <v>72</v>
      </c>
      <c r="F3" s="8">
        <f>(INT(Table_Turkmenistan[[#This Row],[Date]]) - DATE(1970, 1, 1)) * 86400000</f>
        <v>1726531200000</v>
      </c>
      <c r="G3" s="10">
        <f>'GMT Glossary'!$B$10</f>
        <v>5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14:00</v>
      </c>
    </row>
    <row r="4" spans="1:9" x14ac:dyDescent="0.25">
      <c r="A4" s="23">
        <v>45552</v>
      </c>
      <c r="B4" s="20">
        <v>0.45833333333333331</v>
      </c>
      <c r="C4" s="20" t="s">
        <v>8</v>
      </c>
      <c r="D4" s="30" t="s">
        <v>195</v>
      </c>
      <c r="E4" s="32" t="s">
        <v>21</v>
      </c>
      <c r="F4" s="8">
        <f>(INT(Table_Turkmenistan[[#This Row],[Date]]) - DATE(1970, 1, 1)) * 86400000</f>
        <v>1726531200000</v>
      </c>
      <c r="G4" s="10">
        <f>'GMT Glossary'!$B$10</f>
        <v>5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16:00</v>
      </c>
    </row>
    <row r="5" spans="1:9" x14ac:dyDescent="0.25">
      <c r="A5" s="28">
        <v>45552</v>
      </c>
      <c r="B5" s="27">
        <v>0.45833333333333331</v>
      </c>
      <c r="C5" s="27" t="s">
        <v>8</v>
      </c>
      <c r="D5" s="30" t="s">
        <v>229</v>
      </c>
      <c r="E5" s="9" t="s">
        <v>72</v>
      </c>
      <c r="F5" s="8">
        <f>(INT(Table_Turkmenistan[[#This Row],[Date]]) - DATE(1970, 1, 1)) * 86400000</f>
        <v>1726531200000</v>
      </c>
      <c r="G5">
        <f>'GMT Glossary'!$B$10</f>
        <v>5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16:00</v>
      </c>
    </row>
    <row r="6" spans="1:9" x14ac:dyDescent="0.25">
      <c r="A6" s="28">
        <v>45552</v>
      </c>
      <c r="B6" s="26">
        <v>0.54166666666666663</v>
      </c>
      <c r="C6" s="27" t="s">
        <v>8</v>
      </c>
      <c r="D6" s="30" t="s">
        <v>129</v>
      </c>
      <c r="E6" s="9" t="s">
        <v>21</v>
      </c>
      <c r="F6" s="8">
        <f>(INT(Table_Turkmenistan[[#This Row],[Date]]) - DATE(1970, 1, 1)) * 86400000</f>
        <v>1726531200000</v>
      </c>
      <c r="G6">
        <f>'GMT Glossary'!$B$10</f>
        <v>5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18:00</v>
      </c>
    </row>
    <row r="7" spans="1:9" x14ac:dyDescent="0.25">
      <c r="A7" s="23">
        <v>45552</v>
      </c>
      <c r="B7" s="20">
        <v>0.54166666666666663</v>
      </c>
      <c r="C7" s="20" t="s">
        <v>8</v>
      </c>
      <c r="D7" s="30" t="s">
        <v>230</v>
      </c>
      <c r="E7" s="32" t="s">
        <v>72</v>
      </c>
      <c r="F7" s="8">
        <f>(INT(Table_Turkmenistan[[#This Row],[Date]]) - DATE(1970, 1, 1)) * 86400000</f>
        <v>1726531200000</v>
      </c>
      <c r="G7" s="10">
        <f>'GMT Glossary'!$B$10</f>
        <v>5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18:00</v>
      </c>
    </row>
    <row r="8" spans="1:9" x14ac:dyDescent="0.25">
      <c r="A8" s="23">
        <v>45552</v>
      </c>
      <c r="B8" s="20">
        <v>0.625</v>
      </c>
      <c r="C8" s="20" t="s">
        <v>8</v>
      </c>
      <c r="D8" s="29" t="s">
        <v>79</v>
      </c>
      <c r="E8" s="32" t="s">
        <v>21</v>
      </c>
      <c r="F8" s="8">
        <f>(INT(Table_Turkmenistan[[#This Row],[Date]]) - DATE(1970, 1, 1)) * 86400000</f>
        <v>1726531200000</v>
      </c>
      <c r="G8" s="10">
        <f>'GMT Glossary'!$B$10</f>
        <v>5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20:00</v>
      </c>
    </row>
    <row r="9" spans="1:9" x14ac:dyDescent="0.25">
      <c r="A9" s="28">
        <v>45552</v>
      </c>
      <c r="B9" s="27">
        <v>0.625</v>
      </c>
      <c r="C9" s="27" t="s">
        <v>8</v>
      </c>
      <c r="D9" s="30" t="s">
        <v>88</v>
      </c>
      <c r="E9" s="9" t="s">
        <v>72</v>
      </c>
      <c r="F9" s="8">
        <f>(INT(Table_Turkmenistan[[#This Row],[Date]]) - DATE(1970, 1, 1)) * 86400000</f>
        <v>1726531200000</v>
      </c>
      <c r="G9">
        <f>'GMT Glossary'!$B$10</f>
        <v>5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20:00</v>
      </c>
    </row>
    <row r="10" spans="1:9" x14ac:dyDescent="0.25">
      <c r="A10" s="28">
        <v>45552</v>
      </c>
      <c r="B10" s="26">
        <v>0.70833333333333337</v>
      </c>
      <c r="C10" s="27" t="s">
        <v>8</v>
      </c>
      <c r="D10" s="30" t="s">
        <v>43</v>
      </c>
      <c r="E10" s="9" t="s">
        <v>21</v>
      </c>
      <c r="F10" s="8">
        <f>(INT(Table_Turkmenistan[[#This Row],[Date]]) - DATE(1970, 1, 1)) * 86400000</f>
        <v>1726531200000</v>
      </c>
      <c r="G10">
        <f>'GMT Glossary'!$B$10</f>
        <v>5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22:00</v>
      </c>
    </row>
    <row r="11" spans="1:9" x14ac:dyDescent="0.25">
      <c r="A11" s="23">
        <v>45552</v>
      </c>
      <c r="B11" s="20">
        <v>0.70833333333333337</v>
      </c>
      <c r="C11" s="20" t="s">
        <v>8</v>
      </c>
      <c r="D11" s="29" t="s">
        <v>93</v>
      </c>
      <c r="E11" s="32" t="s">
        <v>72</v>
      </c>
      <c r="F11" s="8">
        <f>(INT(Table_Turkmenistan[[#This Row],[Date]]) - DATE(1970, 1, 1)) * 86400000</f>
        <v>1726531200000</v>
      </c>
      <c r="G11" s="10">
        <f>'GMT Glossary'!$B$10</f>
        <v>5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22:00</v>
      </c>
    </row>
    <row r="12" spans="1:9" x14ac:dyDescent="0.25">
      <c r="A12" s="28">
        <v>45552</v>
      </c>
      <c r="B12" s="27">
        <v>0.78125</v>
      </c>
      <c r="C12" s="27" t="s">
        <v>8</v>
      </c>
      <c r="D12" s="30" t="s">
        <v>231</v>
      </c>
      <c r="E12" s="9" t="s">
        <v>72</v>
      </c>
      <c r="F12" s="8">
        <f>(INT(Table_Turkmenistan[[#This Row],[Date]]) - DATE(1970, 1, 1)) * 86400000</f>
        <v>1726531200000</v>
      </c>
      <c r="G12">
        <f>'GMT Glossary'!$B$10</f>
        <v>5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23:45</v>
      </c>
    </row>
    <row r="13" spans="1:9" x14ac:dyDescent="0.25">
      <c r="A13" s="23">
        <v>45552</v>
      </c>
      <c r="B13" s="20">
        <v>0.79166666666666663</v>
      </c>
      <c r="C13" s="20" t="s">
        <v>8</v>
      </c>
      <c r="D13" s="29" t="s">
        <v>196</v>
      </c>
      <c r="E13" s="32" t="s">
        <v>21</v>
      </c>
      <c r="F13" s="8">
        <f>(INT(Table_Turkmenistan[[#This Row],[Date]]) - DATE(1970, 1, 1)) * 86400000</f>
        <v>1726531200000</v>
      </c>
      <c r="G13" s="10">
        <f>'GMT Glossary'!$B$10</f>
        <v>5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00:00</v>
      </c>
    </row>
    <row r="14" spans="1:9" x14ac:dyDescent="0.25">
      <c r="A14" s="28">
        <v>45552</v>
      </c>
      <c r="B14" s="26">
        <v>0.875</v>
      </c>
      <c r="C14" s="27" t="s">
        <v>8</v>
      </c>
      <c r="D14" s="30" t="s">
        <v>197</v>
      </c>
      <c r="E14" s="9" t="s">
        <v>21</v>
      </c>
      <c r="F14" s="8">
        <f>(INT(Table_Turkmenistan[[#This Row],[Date]]) - DATE(1970, 1, 1)) * 86400000</f>
        <v>1726531200000</v>
      </c>
      <c r="G14">
        <f>'GMT Glossary'!$B$10</f>
        <v>5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02:00</v>
      </c>
    </row>
    <row r="15" spans="1:9" x14ac:dyDescent="0.25">
      <c r="A15" s="23">
        <v>45552</v>
      </c>
      <c r="B15" s="20">
        <v>0.875</v>
      </c>
      <c r="C15" s="20" t="s">
        <v>8</v>
      </c>
      <c r="D15" s="29" t="s">
        <v>89</v>
      </c>
      <c r="E15" s="32" t="s">
        <v>72</v>
      </c>
      <c r="F15" s="8">
        <f>(INT(Table_Turkmenistan[[#This Row],[Date]]) - DATE(1970, 1, 1)) * 86400000</f>
        <v>1726531200000</v>
      </c>
      <c r="G15" s="10">
        <f>'GMT Glossary'!$B$10</f>
        <v>5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02:00</v>
      </c>
    </row>
    <row r="16" spans="1:9" x14ac:dyDescent="0.25">
      <c r="A16" s="23">
        <v>45552</v>
      </c>
      <c r="B16" s="20">
        <v>0.95833333333333337</v>
      </c>
      <c r="C16" s="20" t="s">
        <v>8</v>
      </c>
      <c r="D16" s="30" t="s">
        <v>198</v>
      </c>
      <c r="E16" s="32" t="s">
        <v>21</v>
      </c>
      <c r="F16" s="8">
        <f>(INT(Table_Turkmenistan[[#This Row],[Date]]) - DATE(1970, 1, 1)) * 86400000</f>
        <v>1726531200000</v>
      </c>
      <c r="G16" s="10">
        <f>'GMT Glossary'!$B$10</f>
        <v>5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04:00</v>
      </c>
    </row>
    <row r="17" spans="1:9" x14ac:dyDescent="0.25">
      <c r="A17" s="28">
        <v>45552</v>
      </c>
      <c r="B17" s="27">
        <v>0.95833333333333337</v>
      </c>
      <c r="C17" s="27" t="s">
        <v>8</v>
      </c>
      <c r="D17" s="30" t="s">
        <v>232</v>
      </c>
      <c r="E17" s="9" t="s">
        <v>72</v>
      </c>
      <c r="F17" s="8">
        <f>(INT(Table_Turkmenistan[[#This Row],[Date]]) - DATE(1970, 1, 1)) * 86400000</f>
        <v>1726531200000</v>
      </c>
      <c r="G17">
        <f>'GMT Glossary'!$B$10</f>
        <v>5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04:00</v>
      </c>
    </row>
    <row r="18" spans="1:9" x14ac:dyDescent="0.25">
      <c r="A18" s="28">
        <v>45553</v>
      </c>
      <c r="B18" s="26">
        <v>4.1666666666666664E-2</v>
      </c>
      <c r="C18" s="27" t="s">
        <v>8</v>
      </c>
      <c r="D18" s="30" t="s">
        <v>74</v>
      </c>
      <c r="E18" s="9" t="s">
        <v>21</v>
      </c>
      <c r="F18" s="8">
        <f>(INT(Table_Turkmenistan[[#This Row],[Date]]) - DATE(1970, 1, 1)) * 86400000</f>
        <v>1726617600000</v>
      </c>
      <c r="G18">
        <f>'GMT Glossary'!$B$10</f>
        <v>5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06:00</v>
      </c>
    </row>
    <row r="19" spans="1:9" x14ac:dyDescent="0.25">
      <c r="A19" s="23">
        <v>45553</v>
      </c>
      <c r="B19" s="20">
        <v>4.1666666666666664E-2</v>
      </c>
      <c r="C19" s="20" t="s">
        <v>8</v>
      </c>
      <c r="D19" s="29" t="s">
        <v>75</v>
      </c>
      <c r="E19" s="32" t="s">
        <v>21</v>
      </c>
      <c r="F19" s="8">
        <f>(INT(Table_Turkmenistan[[#This Row],[Date]]) - DATE(1970, 1, 1)) * 86400000</f>
        <v>1726617600000</v>
      </c>
      <c r="G19" s="10">
        <f>'GMT Glossary'!$B$10</f>
        <v>5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06:00</v>
      </c>
    </row>
    <row r="20" spans="1:9" x14ac:dyDescent="0.25">
      <c r="A20" s="23">
        <v>45553</v>
      </c>
      <c r="B20" s="20">
        <v>4.1666666666666664E-2</v>
      </c>
      <c r="C20" s="20" t="s">
        <v>8</v>
      </c>
      <c r="D20" s="29" t="s">
        <v>102</v>
      </c>
      <c r="E20" s="32" t="s">
        <v>72</v>
      </c>
      <c r="F20" s="8">
        <f>(INT(Table_Turkmenistan[[#This Row],[Date]]) - DATE(1970, 1, 1)) * 86400000</f>
        <v>1726617600000</v>
      </c>
      <c r="G20" s="10">
        <f>'GMT Glossary'!$B$10</f>
        <v>5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06:00</v>
      </c>
    </row>
    <row r="21" spans="1:9" x14ac:dyDescent="0.25">
      <c r="A21" s="23">
        <v>45553</v>
      </c>
      <c r="B21" s="20">
        <v>0.125</v>
      </c>
      <c r="C21" s="20" t="s">
        <v>8</v>
      </c>
      <c r="D21" s="29" t="s">
        <v>77</v>
      </c>
      <c r="E21" s="32" t="s">
        <v>21</v>
      </c>
      <c r="F21" s="8">
        <f>(INT(Table_Turkmenistan[[#This Row],[Date]]) - DATE(1970, 1, 1)) * 86400000</f>
        <v>1726617600000</v>
      </c>
      <c r="G21" s="10">
        <f>'GMT Glossary'!$B$10</f>
        <v>5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08:00</v>
      </c>
    </row>
    <row r="22" spans="1:9" x14ac:dyDescent="0.25">
      <c r="A22" s="28">
        <v>45553</v>
      </c>
      <c r="B22" s="27">
        <v>0.125</v>
      </c>
      <c r="C22" s="27" t="s">
        <v>401</v>
      </c>
      <c r="D22" s="30" t="s">
        <v>81</v>
      </c>
      <c r="E22" s="9" t="s">
        <v>72</v>
      </c>
      <c r="F22" s="8">
        <f>(INT(Table_Turkmenistan[[#This Row],[Date]]) - DATE(1970, 1, 1)) * 86400000</f>
        <v>1726617600000</v>
      </c>
      <c r="G22">
        <f>'GMT Glossary'!$B$10</f>
        <v>5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08:00</v>
      </c>
    </row>
    <row r="23" spans="1:9" x14ac:dyDescent="0.25">
      <c r="A23" s="23">
        <v>45553</v>
      </c>
      <c r="B23" s="20">
        <v>0.20833333333333334</v>
      </c>
      <c r="C23" s="20" t="s">
        <v>8</v>
      </c>
      <c r="D23" s="24" t="s">
        <v>80</v>
      </c>
      <c r="E23" s="32" t="s">
        <v>21</v>
      </c>
      <c r="F23" s="8">
        <f>(INT(Table_Turkmenistan[[#This Row],[Date]]) - DATE(1970, 1, 1)) * 86400000</f>
        <v>1726617600000</v>
      </c>
      <c r="G23" s="10">
        <f>'GMT Glossary'!$B$10</f>
        <v>5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10:00</v>
      </c>
    </row>
    <row r="24" spans="1:9" x14ac:dyDescent="0.25">
      <c r="A24" s="23">
        <v>45553</v>
      </c>
      <c r="B24" s="20">
        <v>0.25</v>
      </c>
      <c r="C24" s="20" t="s">
        <v>402</v>
      </c>
      <c r="D24" s="25" t="s">
        <v>82</v>
      </c>
      <c r="E24" s="32" t="s">
        <v>72</v>
      </c>
      <c r="F24" s="8">
        <f>(INT(Table_Turkmenistan[[#This Row],[Date]]) - DATE(1970, 1, 1)) * 86400000</f>
        <v>1726617600000</v>
      </c>
      <c r="G24" s="10">
        <f>'GMT Glossary'!$B$10</f>
        <v>5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11:00</v>
      </c>
    </row>
    <row r="25" spans="1:9" x14ac:dyDescent="0.25">
      <c r="A25" s="28">
        <v>45553</v>
      </c>
      <c r="B25" s="26">
        <v>0.29166666666666669</v>
      </c>
      <c r="C25" s="27" t="s">
        <v>8</v>
      </c>
      <c r="D25" s="25" t="s">
        <v>199</v>
      </c>
      <c r="E25" s="9" t="s">
        <v>21</v>
      </c>
      <c r="F25" s="8">
        <f>(INT(Table_Turkmenistan[[#This Row],[Date]]) - DATE(1970, 1, 1)) * 86400000</f>
        <v>1726617600000</v>
      </c>
      <c r="G25">
        <f>'GMT Glossary'!$B$10</f>
        <v>5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12:00</v>
      </c>
    </row>
    <row r="26" spans="1:9" x14ac:dyDescent="0.25">
      <c r="A26" s="28">
        <v>45553</v>
      </c>
      <c r="B26" s="26">
        <v>0.375</v>
      </c>
      <c r="C26" s="27" t="s">
        <v>8</v>
      </c>
      <c r="D26" s="30" t="s">
        <v>200</v>
      </c>
      <c r="E26" s="9" t="s">
        <v>21</v>
      </c>
      <c r="F26" s="8">
        <f>(INT(Table_Turkmenistan[[#This Row],[Date]]) - DATE(1970, 1, 1)) * 86400000</f>
        <v>1726617600000</v>
      </c>
      <c r="G26">
        <f>'GMT Glossary'!$B$10</f>
        <v>5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14:00</v>
      </c>
    </row>
    <row r="27" spans="1:9" x14ac:dyDescent="0.25">
      <c r="A27" s="23">
        <v>45553</v>
      </c>
      <c r="B27" s="20">
        <v>0.375</v>
      </c>
      <c r="C27" s="20" t="s">
        <v>8</v>
      </c>
      <c r="D27" s="25" t="s">
        <v>90</v>
      </c>
      <c r="E27" s="32" t="s">
        <v>72</v>
      </c>
      <c r="F27" s="8">
        <f>(INT(Table_Turkmenistan[[#This Row],[Date]]) - DATE(1970, 1, 1)) * 86400000</f>
        <v>1726617600000</v>
      </c>
      <c r="G27" s="10">
        <f>'GMT Glossary'!$B$10</f>
        <v>5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14:00</v>
      </c>
    </row>
    <row r="28" spans="1:9" x14ac:dyDescent="0.25">
      <c r="A28" s="23">
        <v>45553</v>
      </c>
      <c r="B28" s="20">
        <v>0.41666666666666669</v>
      </c>
      <c r="C28" s="20" t="s">
        <v>8</v>
      </c>
      <c r="D28" s="30" t="s">
        <v>99</v>
      </c>
      <c r="E28" s="32" t="s">
        <v>21</v>
      </c>
      <c r="F28" s="8">
        <f>(INT(Table_Turkmenistan[[#This Row],[Date]]) - DATE(1970, 1, 1)) * 86400000</f>
        <v>1726617600000</v>
      </c>
      <c r="G28" s="10">
        <f>'GMT Glossary'!$B$10</f>
        <v>5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15:00</v>
      </c>
    </row>
    <row r="29" spans="1:9" x14ac:dyDescent="0.25">
      <c r="A29" s="28">
        <v>45553</v>
      </c>
      <c r="B29" s="26">
        <v>0.45833333333333331</v>
      </c>
      <c r="C29" s="27" t="s">
        <v>8</v>
      </c>
      <c r="D29" s="30" t="s">
        <v>201</v>
      </c>
      <c r="E29" s="9" t="s">
        <v>21</v>
      </c>
      <c r="F29" s="8">
        <f>(INT(Table_Turkmenistan[[#This Row],[Date]]) - DATE(1970, 1, 1)) * 86400000</f>
        <v>1726617600000</v>
      </c>
      <c r="G29">
        <f>'GMT Glossary'!$B$10</f>
        <v>5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16:00</v>
      </c>
    </row>
    <row r="30" spans="1:9" x14ac:dyDescent="0.25">
      <c r="A30" s="28">
        <v>45553</v>
      </c>
      <c r="B30" s="27">
        <v>0.45833333333333331</v>
      </c>
      <c r="C30" s="27" t="s">
        <v>8</v>
      </c>
      <c r="D30" s="30" t="s">
        <v>108</v>
      </c>
      <c r="E30" s="9" t="s">
        <v>72</v>
      </c>
      <c r="F30" s="8">
        <f>(INT(Table_Turkmenistan[[#This Row],[Date]]) - DATE(1970, 1, 1)) * 86400000</f>
        <v>1726617600000</v>
      </c>
      <c r="G30">
        <f>'GMT Glossary'!$B$10</f>
        <v>5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16:00</v>
      </c>
    </row>
    <row r="31" spans="1:9" x14ac:dyDescent="0.25">
      <c r="A31" s="23">
        <v>45553</v>
      </c>
      <c r="B31" s="20">
        <v>0.5</v>
      </c>
      <c r="C31" s="20" t="s">
        <v>8</v>
      </c>
      <c r="D31" s="29" t="s">
        <v>202</v>
      </c>
      <c r="E31" s="32" t="s">
        <v>21</v>
      </c>
      <c r="F31" s="8">
        <f>(INT(Table_Turkmenistan[[#This Row],[Date]]) - DATE(1970, 1, 1)) * 86400000</f>
        <v>1726617600000</v>
      </c>
      <c r="G31" s="10">
        <f>'GMT Glossary'!$B$10</f>
        <v>5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17:00</v>
      </c>
    </row>
    <row r="32" spans="1:9" x14ac:dyDescent="0.25">
      <c r="A32" s="28">
        <v>45553</v>
      </c>
      <c r="B32" s="26">
        <v>0.54166666666666663</v>
      </c>
      <c r="C32" s="27" t="s">
        <v>8</v>
      </c>
      <c r="D32" s="30" t="s">
        <v>203</v>
      </c>
      <c r="E32" s="9" t="s">
        <v>21</v>
      </c>
      <c r="F32" s="8">
        <f>(INT(Table_Turkmenistan[[#This Row],[Date]]) - DATE(1970, 1, 1)) * 86400000</f>
        <v>1726617600000</v>
      </c>
      <c r="G32">
        <f>'GMT Glossary'!$B$10</f>
        <v>5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18:00</v>
      </c>
    </row>
    <row r="33" spans="1:9" x14ac:dyDescent="0.25">
      <c r="A33" s="23">
        <v>45553</v>
      </c>
      <c r="B33" s="20">
        <v>0.54166666666666663</v>
      </c>
      <c r="C33" s="20" t="s">
        <v>8</v>
      </c>
      <c r="D33" s="29" t="s">
        <v>35</v>
      </c>
      <c r="E33" s="32" t="s">
        <v>72</v>
      </c>
      <c r="F33" s="8">
        <f>(INT(Table_Turkmenistan[[#This Row],[Date]]) - DATE(1970, 1, 1)) * 86400000</f>
        <v>1726617600000</v>
      </c>
      <c r="G33" s="10">
        <f>'GMT Glossary'!$B$10</f>
        <v>5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18:00</v>
      </c>
    </row>
    <row r="34" spans="1:9" x14ac:dyDescent="0.25">
      <c r="A34" s="28">
        <v>45553</v>
      </c>
      <c r="B34" s="26">
        <v>0.625</v>
      </c>
      <c r="C34" s="27" t="s">
        <v>8</v>
      </c>
      <c r="D34" s="30" t="s">
        <v>74</v>
      </c>
      <c r="E34" s="9" t="s">
        <v>21</v>
      </c>
      <c r="F34" s="8">
        <f>(INT(Table_Turkmenistan[[#This Row],[Date]]) - DATE(1970, 1, 1)) * 86400000</f>
        <v>1726617600000</v>
      </c>
      <c r="G34">
        <f>'GMT Glossary'!$B$10</f>
        <v>5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20:00</v>
      </c>
    </row>
    <row r="35" spans="1:9" x14ac:dyDescent="0.25">
      <c r="A35" s="28">
        <v>45553</v>
      </c>
      <c r="B35" s="27">
        <v>0.625</v>
      </c>
      <c r="C35" s="27" t="s">
        <v>8</v>
      </c>
      <c r="D35" s="25" t="s">
        <v>86</v>
      </c>
      <c r="E35" s="9" t="s">
        <v>72</v>
      </c>
      <c r="F35" s="8">
        <f>(INT(Table_Turkmenistan[[#This Row],[Date]]) - DATE(1970, 1, 1)) * 86400000</f>
        <v>1726617600000</v>
      </c>
      <c r="G35">
        <f>'GMT Glossary'!$B$10</f>
        <v>5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20:00</v>
      </c>
    </row>
    <row r="36" spans="1:9" x14ac:dyDescent="0.25">
      <c r="A36" s="23">
        <v>45553</v>
      </c>
      <c r="B36" s="20">
        <v>0.70833333333333337</v>
      </c>
      <c r="C36" s="20" t="s">
        <v>8</v>
      </c>
      <c r="D36" s="30" t="s">
        <v>115</v>
      </c>
      <c r="E36" s="32" t="s">
        <v>21</v>
      </c>
      <c r="F36" s="8">
        <f>(INT(Table_Turkmenistan[[#This Row],[Date]]) - DATE(1970, 1, 1)) * 86400000</f>
        <v>1726617600000</v>
      </c>
      <c r="G36" s="10">
        <f>'GMT Glossary'!$B$10</f>
        <v>5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22:00</v>
      </c>
    </row>
    <row r="37" spans="1:9" x14ac:dyDescent="0.25">
      <c r="A37" s="23">
        <v>45553</v>
      </c>
      <c r="B37" s="20">
        <v>0.70833333333333337</v>
      </c>
      <c r="C37" s="20" t="s">
        <v>8</v>
      </c>
      <c r="D37" s="25" t="s">
        <v>126</v>
      </c>
      <c r="E37" s="32" t="s">
        <v>72</v>
      </c>
      <c r="F37" s="8">
        <f>(INT(Table_Turkmenistan[[#This Row],[Date]]) - DATE(1970, 1, 1)) * 86400000</f>
        <v>1726617600000</v>
      </c>
      <c r="G37" s="10">
        <f>'GMT Glossary'!$B$10</f>
        <v>5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22:00</v>
      </c>
    </row>
    <row r="38" spans="1:9" x14ac:dyDescent="0.25">
      <c r="A38" s="28">
        <v>45553</v>
      </c>
      <c r="B38" s="26">
        <v>0.79166666666666663</v>
      </c>
      <c r="C38" s="27" t="s">
        <v>8</v>
      </c>
      <c r="D38" s="30" t="s">
        <v>204</v>
      </c>
      <c r="E38" s="9" t="s">
        <v>21</v>
      </c>
      <c r="F38" s="8">
        <f>(INT(Table_Turkmenistan[[#This Row],[Date]]) - DATE(1970, 1, 1)) * 86400000</f>
        <v>1726617600000</v>
      </c>
      <c r="G38">
        <f>'GMT Glossary'!$B$10</f>
        <v>5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00:00</v>
      </c>
    </row>
    <row r="39" spans="1:9" x14ac:dyDescent="0.25">
      <c r="A39" s="28">
        <v>45553</v>
      </c>
      <c r="B39" s="27">
        <v>0.79166666666666663</v>
      </c>
      <c r="C39" s="27" t="s">
        <v>8</v>
      </c>
      <c r="D39" s="25" t="s">
        <v>64</v>
      </c>
      <c r="E39" s="9" t="s">
        <v>72</v>
      </c>
      <c r="F39" s="8">
        <f>(INT(Table_Turkmenistan[[#This Row],[Date]]) - DATE(1970, 1, 1)) * 86400000</f>
        <v>1726617600000</v>
      </c>
      <c r="G39">
        <f>'GMT Glossary'!$B$10</f>
        <v>5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00:00</v>
      </c>
    </row>
    <row r="40" spans="1:9" x14ac:dyDescent="0.25">
      <c r="A40" s="23">
        <v>45553</v>
      </c>
      <c r="B40" s="20">
        <v>0.875</v>
      </c>
      <c r="C40" s="20" t="s">
        <v>8</v>
      </c>
      <c r="D40" s="30" t="s">
        <v>205</v>
      </c>
      <c r="E40" s="32" t="s">
        <v>21</v>
      </c>
      <c r="F40" s="8">
        <f>(INT(Table_Turkmenistan[[#This Row],[Date]]) - DATE(1970, 1, 1)) * 86400000</f>
        <v>1726617600000</v>
      </c>
      <c r="G40" s="10">
        <f>'GMT Glossary'!$B$10</f>
        <v>5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02:00</v>
      </c>
    </row>
    <row r="41" spans="1:9" x14ac:dyDescent="0.25">
      <c r="A41" s="23">
        <v>45553</v>
      </c>
      <c r="B41" s="20">
        <v>0.875</v>
      </c>
      <c r="C41" s="20" t="s">
        <v>8</v>
      </c>
      <c r="D41" s="25" t="s">
        <v>88</v>
      </c>
      <c r="E41" s="32" t="s">
        <v>72</v>
      </c>
      <c r="F41" s="8">
        <f>(INT(Table_Turkmenistan[[#This Row],[Date]]) - DATE(1970, 1, 1)) * 86400000</f>
        <v>1726617600000</v>
      </c>
      <c r="G41" s="10">
        <f>'GMT Glossary'!$B$10</f>
        <v>5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02:00</v>
      </c>
    </row>
    <row r="42" spans="1:9" x14ac:dyDescent="0.25">
      <c r="A42" s="28">
        <v>45553</v>
      </c>
      <c r="B42" s="26">
        <v>0.95833333333333337</v>
      </c>
      <c r="C42" s="27" t="s">
        <v>8</v>
      </c>
      <c r="D42" s="30" t="s">
        <v>73</v>
      </c>
      <c r="E42" s="9" t="s">
        <v>21</v>
      </c>
      <c r="F42" s="8">
        <f>(INT(Table_Turkmenistan[[#This Row],[Date]]) - DATE(1970, 1, 1)) * 86400000</f>
        <v>1726617600000</v>
      </c>
      <c r="G42">
        <f>'GMT Glossary'!$B$10</f>
        <v>5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04:00</v>
      </c>
    </row>
    <row r="43" spans="1:9" x14ac:dyDescent="0.25">
      <c r="A43" s="23">
        <v>45553</v>
      </c>
      <c r="B43" s="20">
        <v>0.95833333333333337</v>
      </c>
      <c r="C43" s="20" t="s">
        <v>8</v>
      </c>
      <c r="D43" s="24" t="s">
        <v>40</v>
      </c>
      <c r="E43" s="32" t="s">
        <v>72</v>
      </c>
      <c r="F43" s="8">
        <f>(INT(Table_Turkmenistan[[#This Row],[Date]]) - DATE(1970, 1, 1)) * 86400000</f>
        <v>1726617600000</v>
      </c>
      <c r="G43" s="10">
        <f>'GMT Glossary'!$B$10</f>
        <v>5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04:00</v>
      </c>
    </row>
    <row r="44" spans="1:9" x14ac:dyDescent="0.25">
      <c r="A44" s="28">
        <v>45554</v>
      </c>
      <c r="B44" s="27">
        <v>4.1666666666666664E-2</v>
      </c>
      <c r="C44" s="27" t="s">
        <v>402</v>
      </c>
      <c r="D44" s="25" t="s">
        <v>91</v>
      </c>
      <c r="E44" s="9" t="s">
        <v>72</v>
      </c>
      <c r="F44" s="8">
        <f>(INT(Table_Turkmenistan[[#This Row],[Date]]) - DATE(1970, 1, 1)) * 86400000</f>
        <v>1726704000000</v>
      </c>
      <c r="G44">
        <f>'GMT Glossary'!$B$10</f>
        <v>5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06:00</v>
      </c>
    </row>
    <row r="45" spans="1:9" x14ac:dyDescent="0.25">
      <c r="A45" s="28">
        <v>45554</v>
      </c>
      <c r="B45" s="26">
        <v>0.125</v>
      </c>
      <c r="C45" s="27" t="s">
        <v>8</v>
      </c>
      <c r="D45" s="30" t="s">
        <v>78</v>
      </c>
      <c r="E45" s="9" t="s">
        <v>21</v>
      </c>
      <c r="F45" s="8">
        <f>(INT(Table_Turkmenistan[[#This Row],[Date]]) - DATE(1970, 1, 1)) * 86400000</f>
        <v>1726704000000</v>
      </c>
      <c r="G45">
        <f>'GMT Glossary'!$B$10</f>
        <v>5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08:00</v>
      </c>
    </row>
    <row r="46" spans="1:9" x14ac:dyDescent="0.25">
      <c r="A46" s="28">
        <v>45554</v>
      </c>
      <c r="B46" s="27">
        <v>0.16666666666666666</v>
      </c>
      <c r="C46" s="27" t="s">
        <v>401</v>
      </c>
      <c r="D46" s="25" t="s">
        <v>81</v>
      </c>
      <c r="E46" s="9" t="s">
        <v>72</v>
      </c>
      <c r="F46" s="8">
        <f>(INT(Table_Turkmenistan[[#This Row],[Date]]) - DATE(1970, 1, 1)) * 86400000</f>
        <v>1726704000000</v>
      </c>
      <c r="G46">
        <f>'GMT Glossary'!$B$10</f>
        <v>5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09:00</v>
      </c>
    </row>
    <row r="47" spans="1:9" x14ac:dyDescent="0.25">
      <c r="A47" s="28">
        <v>45554</v>
      </c>
      <c r="B47" s="26">
        <v>0.20833333333333334</v>
      </c>
      <c r="C47" s="27" t="s">
        <v>8</v>
      </c>
      <c r="D47" s="30" t="s">
        <v>195</v>
      </c>
      <c r="E47" s="9" t="s">
        <v>21</v>
      </c>
      <c r="F47" s="8">
        <f>(INT(Table_Turkmenistan[[#This Row],[Date]]) - DATE(1970, 1, 1)) * 86400000</f>
        <v>1726704000000</v>
      </c>
      <c r="G47">
        <f>'GMT Glossary'!$B$10</f>
        <v>5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10:00</v>
      </c>
    </row>
    <row r="48" spans="1:9" x14ac:dyDescent="0.25">
      <c r="A48" s="23">
        <v>45554</v>
      </c>
      <c r="B48" s="20">
        <v>0.29166666666666669</v>
      </c>
      <c r="C48" s="20" t="s">
        <v>8</v>
      </c>
      <c r="D48" s="29" t="s">
        <v>79</v>
      </c>
      <c r="E48" s="32" t="s">
        <v>21</v>
      </c>
      <c r="F48" s="8">
        <f>(INT(Table_Turkmenistan[[#This Row],[Date]]) - DATE(1970, 1, 1)) * 86400000</f>
        <v>1726704000000</v>
      </c>
      <c r="G48" s="10">
        <f>'GMT Glossary'!$B$10</f>
        <v>5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12:00</v>
      </c>
    </row>
    <row r="49" spans="1:9" x14ac:dyDescent="0.25">
      <c r="A49" s="23">
        <v>45554</v>
      </c>
      <c r="B49" s="20">
        <v>0.29166666666666669</v>
      </c>
      <c r="C49" s="20" t="s">
        <v>8</v>
      </c>
      <c r="D49" s="24" t="s">
        <v>233</v>
      </c>
      <c r="E49" s="32" t="s">
        <v>72</v>
      </c>
      <c r="F49" s="8">
        <f>(INT(Table_Turkmenistan[[#This Row],[Date]]) - DATE(1970, 1, 1)) * 86400000</f>
        <v>1726704000000</v>
      </c>
      <c r="G49" s="10">
        <f>'GMT Glossary'!$B$10</f>
        <v>5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12:00</v>
      </c>
    </row>
    <row r="50" spans="1:9" x14ac:dyDescent="0.25">
      <c r="A50" s="28">
        <v>45554</v>
      </c>
      <c r="B50" s="26">
        <v>0.375</v>
      </c>
      <c r="C50" s="27" t="s">
        <v>8</v>
      </c>
      <c r="D50" s="30" t="s">
        <v>200</v>
      </c>
      <c r="E50" s="9" t="s">
        <v>21</v>
      </c>
      <c r="F50" s="8">
        <f>(INT(Table_Turkmenistan[[#This Row],[Date]]) - DATE(1970, 1, 1)) * 86400000</f>
        <v>1726704000000</v>
      </c>
      <c r="G50">
        <f>'GMT Glossary'!$B$10</f>
        <v>5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14:00</v>
      </c>
    </row>
    <row r="51" spans="1:9" x14ac:dyDescent="0.25">
      <c r="A51" s="28">
        <v>45554</v>
      </c>
      <c r="B51" s="27">
        <v>0.375</v>
      </c>
      <c r="C51" s="27" t="s">
        <v>8</v>
      </c>
      <c r="D51" s="30" t="s">
        <v>102</v>
      </c>
      <c r="E51" s="9" t="s">
        <v>72</v>
      </c>
      <c r="F51" s="8">
        <f>(INT(Table_Turkmenistan[[#This Row],[Date]]) - DATE(1970, 1, 1)) * 86400000</f>
        <v>1726704000000</v>
      </c>
      <c r="G51">
        <f>'GMT Glossary'!$B$10</f>
        <v>5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14:00</v>
      </c>
    </row>
    <row r="52" spans="1:9" x14ac:dyDescent="0.25">
      <c r="A52" s="28">
        <v>45554</v>
      </c>
      <c r="B52" s="26">
        <v>0.41666666666666669</v>
      </c>
      <c r="C52" s="27" t="s">
        <v>8</v>
      </c>
      <c r="D52" s="30" t="s">
        <v>99</v>
      </c>
      <c r="E52" s="9" t="s">
        <v>21</v>
      </c>
      <c r="F52" s="8">
        <f>(INT(Table_Turkmenistan[[#This Row],[Date]]) - DATE(1970, 1, 1)) * 86400000</f>
        <v>1726704000000</v>
      </c>
      <c r="G52">
        <f>'GMT Glossary'!$B$10</f>
        <v>5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15:00</v>
      </c>
    </row>
    <row r="53" spans="1:9" x14ac:dyDescent="0.25">
      <c r="A53" s="23">
        <v>45554</v>
      </c>
      <c r="B53" s="20">
        <v>0.45833333333333331</v>
      </c>
      <c r="C53" s="20" t="s">
        <v>8</v>
      </c>
      <c r="D53" s="30" t="s">
        <v>201</v>
      </c>
      <c r="E53" s="32" t="s">
        <v>21</v>
      </c>
      <c r="F53" s="8">
        <f>(INT(Table_Turkmenistan[[#This Row],[Date]]) - DATE(1970, 1, 1)) * 86400000</f>
        <v>1726704000000</v>
      </c>
      <c r="G53" s="10">
        <f>'GMT Glossary'!$B$10</f>
        <v>5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16:00</v>
      </c>
    </row>
    <row r="54" spans="1:9" x14ac:dyDescent="0.25">
      <c r="A54" s="23">
        <v>45554</v>
      </c>
      <c r="B54" s="20">
        <v>0.45833333333333331</v>
      </c>
      <c r="C54" s="20" t="s">
        <v>8</v>
      </c>
      <c r="D54" s="30" t="s">
        <v>84</v>
      </c>
      <c r="E54" s="32" t="s">
        <v>72</v>
      </c>
      <c r="F54" s="8">
        <f>(INT(Table_Turkmenistan[[#This Row],[Date]]) - DATE(1970, 1, 1)) * 86400000</f>
        <v>1726704000000</v>
      </c>
      <c r="G54" s="10">
        <f>'GMT Glossary'!$B$10</f>
        <v>5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16:00</v>
      </c>
    </row>
    <row r="55" spans="1:9" x14ac:dyDescent="0.25">
      <c r="A55" s="28">
        <v>45554</v>
      </c>
      <c r="B55" s="26">
        <v>0.5</v>
      </c>
      <c r="C55" s="27" t="s">
        <v>8</v>
      </c>
      <c r="D55" s="30" t="s">
        <v>202</v>
      </c>
      <c r="E55" s="9" t="s">
        <v>21</v>
      </c>
      <c r="F55" s="8">
        <f>(INT(Table_Turkmenistan[[#This Row],[Date]]) - DATE(1970, 1, 1)) * 86400000</f>
        <v>1726704000000</v>
      </c>
      <c r="G55">
        <f>'GMT Glossary'!$B$10</f>
        <v>5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17:00</v>
      </c>
    </row>
    <row r="56" spans="1:9" x14ac:dyDescent="0.25">
      <c r="A56" s="28">
        <v>45554</v>
      </c>
      <c r="B56" s="26">
        <v>0.54166666666666663</v>
      </c>
      <c r="C56" s="27" t="s">
        <v>8</v>
      </c>
      <c r="D56" s="30" t="s">
        <v>206</v>
      </c>
      <c r="E56" s="9" t="s">
        <v>21</v>
      </c>
      <c r="F56" s="8">
        <f>(INT(Table_Turkmenistan[[#This Row],[Date]]) - DATE(1970, 1, 1)) * 86400000</f>
        <v>1726704000000</v>
      </c>
      <c r="G56">
        <f>'GMT Glossary'!$B$10</f>
        <v>5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18:00</v>
      </c>
    </row>
    <row r="57" spans="1:9" x14ac:dyDescent="0.25">
      <c r="A57" s="28">
        <v>45554</v>
      </c>
      <c r="B57" s="27">
        <v>0.54166666666666663</v>
      </c>
      <c r="C57" s="27" t="s">
        <v>8</v>
      </c>
      <c r="D57" s="30" t="s">
        <v>35</v>
      </c>
      <c r="E57" s="9" t="s">
        <v>72</v>
      </c>
      <c r="F57" s="8">
        <f>(INT(Table_Turkmenistan[[#This Row],[Date]]) - DATE(1970, 1, 1)) * 86400000</f>
        <v>1726704000000</v>
      </c>
      <c r="G57">
        <f>'GMT Glossary'!$B$10</f>
        <v>5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18:00</v>
      </c>
    </row>
    <row r="58" spans="1:9" x14ac:dyDescent="0.25">
      <c r="A58" s="23">
        <v>45554</v>
      </c>
      <c r="B58" s="20">
        <v>0.625</v>
      </c>
      <c r="C58" s="20" t="s">
        <v>8</v>
      </c>
      <c r="D58" s="30" t="s">
        <v>43</v>
      </c>
      <c r="E58" s="32" t="s">
        <v>21</v>
      </c>
      <c r="F58" s="8">
        <f>(INT(Table_Turkmenistan[[#This Row],[Date]]) - DATE(1970, 1, 1)) * 86400000</f>
        <v>1726704000000</v>
      </c>
      <c r="G58" s="10">
        <f>'GMT Glossary'!$B$10</f>
        <v>5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20:00</v>
      </c>
    </row>
    <row r="59" spans="1:9" x14ac:dyDescent="0.25">
      <c r="A59" s="23">
        <v>45554</v>
      </c>
      <c r="B59" s="20">
        <v>0.625</v>
      </c>
      <c r="C59" s="20" t="s">
        <v>8</v>
      </c>
      <c r="D59" s="29" t="s">
        <v>234</v>
      </c>
      <c r="E59" s="32" t="s">
        <v>72</v>
      </c>
      <c r="F59" s="8">
        <f>(INT(Table_Turkmenistan[[#This Row],[Date]]) - DATE(1970, 1, 1)) * 86400000</f>
        <v>1726704000000</v>
      </c>
      <c r="G59" s="10">
        <f>'GMT Glossary'!$B$10</f>
        <v>5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20:00</v>
      </c>
    </row>
    <row r="60" spans="1:9" x14ac:dyDescent="0.25">
      <c r="A60" s="28">
        <v>45554</v>
      </c>
      <c r="B60" s="26">
        <v>0.70833333333333337</v>
      </c>
      <c r="C60" s="27" t="s">
        <v>8</v>
      </c>
      <c r="D60" s="30" t="s">
        <v>207</v>
      </c>
      <c r="E60" s="9" t="s">
        <v>21</v>
      </c>
      <c r="F60" s="8">
        <f>(INT(Table_Turkmenistan[[#This Row],[Date]]) - DATE(1970, 1, 1)) * 86400000</f>
        <v>1726704000000</v>
      </c>
      <c r="G60">
        <f>'GMT Glossary'!$B$10</f>
        <v>5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22:00</v>
      </c>
    </row>
    <row r="61" spans="1:9" x14ac:dyDescent="0.25">
      <c r="A61" s="28">
        <v>45554</v>
      </c>
      <c r="B61" s="27">
        <v>0.70833333333333337</v>
      </c>
      <c r="C61" s="27" t="s">
        <v>8</v>
      </c>
      <c r="D61" s="30" t="s">
        <v>89</v>
      </c>
      <c r="E61" s="9" t="s">
        <v>72</v>
      </c>
      <c r="F61" s="8">
        <f>(INT(Table_Turkmenistan[[#This Row],[Date]]) - DATE(1970, 1, 1)) * 86400000</f>
        <v>1726704000000</v>
      </c>
      <c r="G61">
        <f>'GMT Glossary'!$B$10</f>
        <v>5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22:00</v>
      </c>
    </row>
    <row r="62" spans="1:9" x14ac:dyDescent="0.25">
      <c r="A62" s="23">
        <v>45554</v>
      </c>
      <c r="B62" s="20">
        <v>0.79166666666666663</v>
      </c>
      <c r="C62" s="20" t="s">
        <v>8</v>
      </c>
      <c r="D62" s="29" t="s">
        <v>197</v>
      </c>
      <c r="E62" s="32" t="s">
        <v>21</v>
      </c>
      <c r="F62" s="8">
        <f>(INT(Table_Turkmenistan[[#This Row],[Date]]) - DATE(1970, 1, 1)) * 86400000</f>
        <v>1726704000000</v>
      </c>
      <c r="G62" s="10">
        <f>'GMT Glossary'!$B$10</f>
        <v>5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00:00</v>
      </c>
    </row>
    <row r="63" spans="1:9" x14ac:dyDescent="0.25">
      <c r="A63" s="23">
        <v>45554</v>
      </c>
      <c r="B63" s="20">
        <v>0.79166666666666663</v>
      </c>
      <c r="C63" s="20" t="s">
        <v>8</v>
      </c>
      <c r="D63" s="29" t="s">
        <v>42</v>
      </c>
      <c r="E63" s="32" t="s">
        <v>72</v>
      </c>
      <c r="F63" s="8">
        <f>(INT(Table_Turkmenistan[[#This Row],[Date]]) - DATE(1970, 1, 1)) * 86400000</f>
        <v>1726704000000</v>
      </c>
      <c r="G63" s="10">
        <f>'GMT Glossary'!$B$10</f>
        <v>5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00:00</v>
      </c>
    </row>
    <row r="64" spans="1:9" x14ac:dyDescent="0.25">
      <c r="A64" s="28">
        <v>45554</v>
      </c>
      <c r="B64" s="26">
        <v>0.875</v>
      </c>
      <c r="C64" s="27" t="s">
        <v>8</v>
      </c>
      <c r="D64" s="30" t="s">
        <v>77</v>
      </c>
      <c r="E64" s="9" t="s">
        <v>21</v>
      </c>
      <c r="F64" s="8">
        <f>(INT(Table_Turkmenistan[[#This Row],[Date]]) - DATE(1970, 1, 1)) * 86400000</f>
        <v>1726704000000</v>
      </c>
      <c r="G64">
        <f>'GMT Glossary'!$B$10</f>
        <v>5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02:00</v>
      </c>
    </row>
    <row r="65" spans="1:9" x14ac:dyDescent="0.25">
      <c r="A65" s="28">
        <v>45554</v>
      </c>
      <c r="B65" s="27">
        <v>0.875</v>
      </c>
      <c r="C65" s="27" t="s">
        <v>8</v>
      </c>
      <c r="D65" s="30" t="s">
        <v>88</v>
      </c>
      <c r="E65" s="9" t="s">
        <v>72</v>
      </c>
      <c r="F65" s="8">
        <f>(INT(Table_Turkmenistan[[#This Row],[Date]]) - DATE(1970, 1, 1)) * 86400000</f>
        <v>1726704000000</v>
      </c>
      <c r="G65">
        <f>'GMT Glossary'!$B$10</f>
        <v>5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02:00</v>
      </c>
    </row>
    <row r="66" spans="1:9" x14ac:dyDescent="0.25">
      <c r="A66" s="23">
        <v>45554</v>
      </c>
      <c r="B66" s="20">
        <v>0.95833333333333337</v>
      </c>
      <c r="C66" s="20" t="s">
        <v>8</v>
      </c>
      <c r="D66" s="24" t="s">
        <v>76</v>
      </c>
      <c r="E66" s="32" t="s">
        <v>21</v>
      </c>
      <c r="F66" s="8">
        <f>(INT(Table_Turkmenistan[[#This Row],[Date]]) - DATE(1970, 1, 1)) * 86400000</f>
        <v>1726704000000</v>
      </c>
      <c r="G66" s="10">
        <f>'GMT Glossary'!$B$10</f>
        <v>5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04:00</v>
      </c>
    </row>
    <row r="67" spans="1:9" x14ac:dyDescent="0.25">
      <c r="A67" s="23">
        <v>45554</v>
      </c>
      <c r="B67" s="20">
        <v>0.95833333333333337</v>
      </c>
      <c r="C67" s="20" t="s">
        <v>8</v>
      </c>
      <c r="D67" s="30" t="s">
        <v>93</v>
      </c>
      <c r="E67" s="32" t="s">
        <v>72</v>
      </c>
      <c r="F67" s="8">
        <f>(INT(Table_Turkmenistan[[#This Row],[Date]]) - DATE(1970, 1, 1)) * 86400000</f>
        <v>1726704000000</v>
      </c>
      <c r="G67" s="10">
        <f>'GMT Glossary'!$B$10</f>
        <v>5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04:00</v>
      </c>
    </row>
    <row r="68" spans="1:9" x14ac:dyDescent="0.25">
      <c r="A68" s="28">
        <v>45555</v>
      </c>
      <c r="B68" s="26">
        <v>4.1666666666666664E-2</v>
      </c>
      <c r="C68" s="27" t="s">
        <v>8</v>
      </c>
      <c r="D68" s="25" t="s">
        <v>198</v>
      </c>
      <c r="E68" s="9" t="s">
        <v>21</v>
      </c>
      <c r="F68" s="8">
        <f>(INT(Table_Turkmenistan[[#This Row],[Date]]) - DATE(1970, 1, 1)) * 86400000</f>
        <v>1726790400000</v>
      </c>
      <c r="G68">
        <f>'GMT Glossary'!$B$10</f>
        <v>5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06:00</v>
      </c>
    </row>
    <row r="69" spans="1:9" x14ac:dyDescent="0.25">
      <c r="A69" s="28">
        <v>45555</v>
      </c>
      <c r="B69" s="27">
        <v>4.1666666666666664E-2</v>
      </c>
      <c r="C69" s="27" t="s">
        <v>402</v>
      </c>
      <c r="D69" s="30" t="s">
        <v>83</v>
      </c>
      <c r="E69" s="9" t="s">
        <v>72</v>
      </c>
      <c r="F69" s="8">
        <f>(INT(Table_Turkmenistan[[#This Row],[Date]]) - DATE(1970, 1, 1)) * 86400000</f>
        <v>1726790400000</v>
      </c>
      <c r="G69">
        <f>'GMT Glossary'!$B$10</f>
        <v>5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06:00</v>
      </c>
    </row>
    <row r="70" spans="1:9" x14ac:dyDescent="0.25">
      <c r="A70" s="23">
        <v>45555</v>
      </c>
      <c r="B70" s="20">
        <v>0.125</v>
      </c>
      <c r="C70" s="20" t="s">
        <v>8</v>
      </c>
      <c r="D70" s="29" t="s">
        <v>74</v>
      </c>
      <c r="E70" s="32" t="s">
        <v>21</v>
      </c>
      <c r="F70" s="8">
        <f>(INT(Table_Turkmenistan[[#This Row],[Date]]) - DATE(1970, 1, 1)) * 86400000</f>
        <v>1726790400000</v>
      </c>
      <c r="G70" s="10">
        <f>'GMT Glossary'!$B$10</f>
        <v>5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08:00</v>
      </c>
    </row>
    <row r="71" spans="1:9" x14ac:dyDescent="0.25">
      <c r="A71" s="23">
        <v>45555</v>
      </c>
      <c r="B71" s="20">
        <v>0.125</v>
      </c>
      <c r="C71" s="20" t="s">
        <v>8</v>
      </c>
      <c r="D71" s="29" t="s">
        <v>235</v>
      </c>
      <c r="E71" s="32" t="s">
        <v>72</v>
      </c>
      <c r="F71" s="8">
        <f>(INT(Table_Turkmenistan[[#This Row],[Date]]) - DATE(1970, 1, 1)) * 86400000</f>
        <v>1726790400000</v>
      </c>
      <c r="G71" s="10">
        <f>'GMT Glossary'!$B$10</f>
        <v>5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08:00</v>
      </c>
    </row>
    <row r="72" spans="1:9" x14ac:dyDescent="0.25">
      <c r="A72" s="28">
        <v>45555</v>
      </c>
      <c r="B72" s="26">
        <v>0.20833333333333334</v>
      </c>
      <c r="C72" s="27" t="s">
        <v>8</v>
      </c>
      <c r="D72" s="30" t="s">
        <v>80</v>
      </c>
      <c r="E72" s="9" t="s">
        <v>21</v>
      </c>
      <c r="F72" s="8">
        <f>(INT(Table_Turkmenistan[[#This Row],[Date]]) - DATE(1970, 1, 1)) * 86400000</f>
        <v>1726790400000</v>
      </c>
      <c r="G72">
        <f>'GMT Glossary'!$B$10</f>
        <v>5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10:00</v>
      </c>
    </row>
    <row r="73" spans="1:9" x14ac:dyDescent="0.25">
      <c r="A73" s="28">
        <v>45555</v>
      </c>
      <c r="B73" s="27">
        <v>0.20833333333333334</v>
      </c>
      <c r="C73" s="27" t="s">
        <v>398</v>
      </c>
      <c r="D73" s="30" t="s">
        <v>236</v>
      </c>
      <c r="E73" s="9" t="s">
        <v>72</v>
      </c>
      <c r="F73" s="8">
        <f>(INT(Table_Turkmenistan[[#This Row],[Date]]) - DATE(1970, 1, 1)) * 86400000</f>
        <v>1726790400000</v>
      </c>
      <c r="G73">
        <f>'GMT Glossary'!$B$10</f>
        <v>5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10:00</v>
      </c>
    </row>
    <row r="74" spans="1:9" x14ac:dyDescent="0.25">
      <c r="A74" s="23">
        <v>45555</v>
      </c>
      <c r="B74" s="20">
        <v>0.27083333333333331</v>
      </c>
      <c r="C74" s="20" t="s">
        <v>398</v>
      </c>
      <c r="D74" s="25" t="s">
        <v>237</v>
      </c>
      <c r="E74" s="32" t="s">
        <v>72</v>
      </c>
      <c r="F74" s="8">
        <f>(INT(Table_Turkmenistan[[#This Row],[Date]]) - DATE(1970, 1, 1)) * 86400000</f>
        <v>1726790400000</v>
      </c>
      <c r="G74" s="10">
        <f>'GMT Glossary'!$B$10</f>
        <v>5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11:30</v>
      </c>
    </row>
    <row r="75" spans="1:9" x14ac:dyDescent="0.25">
      <c r="A75" s="23">
        <v>45555</v>
      </c>
      <c r="B75" s="20">
        <v>0.29166666666666669</v>
      </c>
      <c r="C75" s="20" t="s">
        <v>8</v>
      </c>
      <c r="D75" s="30" t="s">
        <v>205</v>
      </c>
      <c r="E75" s="32" t="s">
        <v>21</v>
      </c>
      <c r="F75" s="8">
        <f>(INT(Table_Turkmenistan[[#This Row],[Date]]) - DATE(1970, 1, 1)) * 86400000</f>
        <v>1726790400000</v>
      </c>
      <c r="G75" s="10">
        <f>'GMT Glossary'!$B$10</f>
        <v>5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12:00</v>
      </c>
    </row>
    <row r="76" spans="1:9" x14ac:dyDescent="0.25">
      <c r="A76" s="28">
        <v>45555</v>
      </c>
      <c r="B76" s="27">
        <v>0.33333333333333331</v>
      </c>
      <c r="C76" s="27" t="s">
        <v>398</v>
      </c>
      <c r="D76" s="30" t="s">
        <v>238</v>
      </c>
      <c r="E76" s="9" t="s">
        <v>72</v>
      </c>
      <c r="F76" s="8">
        <f>(INT(Table_Turkmenistan[[#This Row],[Date]]) - DATE(1970, 1, 1)) * 86400000</f>
        <v>1726790400000</v>
      </c>
      <c r="G76">
        <f>'GMT Glossary'!$B$10</f>
        <v>5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13:00</v>
      </c>
    </row>
    <row r="77" spans="1:9" x14ac:dyDescent="0.25">
      <c r="A77" s="28">
        <v>45555</v>
      </c>
      <c r="B77" s="26">
        <v>0.375</v>
      </c>
      <c r="C77" s="27" t="s">
        <v>8</v>
      </c>
      <c r="D77" s="30" t="s">
        <v>203</v>
      </c>
      <c r="E77" s="9" t="s">
        <v>21</v>
      </c>
      <c r="F77" s="8">
        <f>(INT(Table_Turkmenistan[[#This Row],[Date]]) - DATE(1970, 1, 1)) * 86400000</f>
        <v>1726790400000</v>
      </c>
      <c r="G77">
        <f>'GMT Glossary'!$B$10</f>
        <v>5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14:00</v>
      </c>
    </row>
    <row r="78" spans="1:9" x14ac:dyDescent="0.25">
      <c r="A78" s="23">
        <v>45555</v>
      </c>
      <c r="B78" s="20">
        <v>0.41666666666666669</v>
      </c>
      <c r="C78" s="20" t="s">
        <v>398</v>
      </c>
      <c r="D78" s="29" t="s">
        <v>239</v>
      </c>
      <c r="E78" s="32" t="s">
        <v>72</v>
      </c>
      <c r="F78" s="8">
        <f>(INT(Table_Turkmenistan[[#This Row],[Date]]) - DATE(1970, 1, 1)) * 86400000</f>
        <v>1726790400000</v>
      </c>
      <c r="G78" s="10">
        <f>'GMT Glossary'!$B$10</f>
        <v>5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15:00</v>
      </c>
    </row>
    <row r="79" spans="1:9" x14ac:dyDescent="0.25">
      <c r="A79" s="23">
        <v>45555</v>
      </c>
      <c r="B79" s="20">
        <v>0.45833333333333331</v>
      </c>
      <c r="C79" s="20" t="s">
        <v>8</v>
      </c>
      <c r="D79" s="29" t="s">
        <v>73</v>
      </c>
      <c r="E79" s="32" t="s">
        <v>21</v>
      </c>
      <c r="F79" s="8">
        <f>(INT(Table_Turkmenistan[[#This Row],[Date]]) - DATE(1970, 1, 1)) * 86400000</f>
        <v>1726790400000</v>
      </c>
      <c r="G79" s="10">
        <f>'GMT Glossary'!$B$10</f>
        <v>5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16:00</v>
      </c>
    </row>
    <row r="80" spans="1:9" x14ac:dyDescent="0.25">
      <c r="A80" s="23">
        <v>45555</v>
      </c>
      <c r="B80" s="20">
        <v>0.54166666666666663</v>
      </c>
      <c r="C80" s="20" t="s">
        <v>8</v>
      </c>
      <c r="D80" s="29" t="s">
        <v>78</v>
      </c>
      <c r="E80" s="32" t="s">
        <v>21</v>
      </c>
      <c r="F80" s="8">
        <f>(INT(Table_Turkmenistan[[#This Row],[Date]]) - DATE(1970, 1, 1)) * 86400000</f>
        <v>1726790400000</v>
      </c>
      <c r="G80" s="10">
        <f>'GMT Glossary'!$B$10</f>
        <v>5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18:00</v>
      </c>
    </row>
    <row r="81" spans="1:9" x14ac:dyDescent="0.25">
      <c r="A81" s="28">
        <v>45555</v>
      </c>
      <c r="B81" s="27">
        <v>0.54166666666666663</v>
      </c>
      <c r="C81" s="27" t="s">
        <v>8</v>
      </c>
      <c r="D81" s="25" t="s">
        <v>232</v>
      </c>
      <c r="E81" s="9" t="s">
        <v>72</v>
      </c>
      <c r="F81" s="8">
        <f>(INT(Table_Turkmenistan[[#This Row],[Date]]) - DATE(1970, 1, 1)) * 86400000</f>
        <v>1726790400000</v>
      </c>
      <c r="G81">
        <f>'GMT Glossary'!$B$10</f>
        <v>5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18:00</v>
      </c>
    </row>
    <row r="82" spans="1:9" x14ac:dyDescent="0.25">
      <c r="A82" s="28">
        <v>45555</v>
      </c>
      <c r="B82" s="26">
        <v>0.625</v>
      </c>
      <c r="C82" s="27" t="s">
        <v>8</v>
      </c>
      <c r="D82" s="30" t="s">
        <v>59</v>
      </c>
      <c r="E82" s="9" t="s">
        <v>21</v>
      </c>
      <c r="F82" s="8">
        <f>(INT(Table_Turkmenistan[[#This Row],[Date]]) - DATE(1970, 1, 1)) * 86400000</f>
        <v>1726790400000</v>
      </c>
      <c r="G82">
        <f>'GMT Glossary'!$B$10</f>
        <v>5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20:00</v>
      </c>
    </row>
    <row r="83" spans="1:9" x14ac:dyDescent="0.25">
      <c r="A83" s="23">
        <v>45555</v>
      </c>
      <c r="B83" s="20">
        <v>0.64583333333333337</v>
      </c>
      <c r="C83" s="20" t="s">
        <v>399</v>
      </c>
      <c r="D83" s="24" t="s">
        <v>131</v>
      </c>
      <c r="E83" s="32" t="s">
        <v>72</v>
      </c>
      <c r="F83" s="8">
        <f>(INT(Table_Turkmenistan[[#This Row],[Date]]) - DATE(1970, 1, 1)) * 86400000</f>
        <v>1726790400000</v>
      </c>
      <c r="G83" s="10">
        <f>'GMT Glossary'!$B$10</f>
        <v>5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20:30</v>
      </c>
    </row>
    <row r="84" spans="1:9" x14ac:dyDescent="0.25">
      <c r="A84" s="23">
        <v>45555</v>
      </c>
      <c r="B84" s="20">
        <v>0.6875</v>
      </c>
      <c r="C84" s="20" t="s">
        <v>8</v>
      </c>
      <c r="D84" s="30" t="s">
        <v>208</v>
      </c>
      <c r="E84" s="32" t="s">
        <v>21</v>
      </c>
      <c r="F84" s="8">
        <f>(INT(Table_Turkmenistan[[#This Row],[Date]]) - DATE(1970, 1, 1)) * 86400000</f>
        <v>1726790400000</v>
      </c>
      <c r="G84" s="10">
        <f>'GMT Glossary'!$B$10</f>
        <v>5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21:30</v>
      </c>
    </row>
    <row r="85" spans="1:9" x14ac:dyDescent="0.25">
      <c r="A85" s="28">
        <v>45555</v>
      </c>
      <c r="B85" s="26">
        <v>0.78125</v>
      </c>
      <c r="C85" s="27" t="s">
        <v>8</v>
      </c>
      <c r="D85" s="30" t="s">
        <v>209</v>
      </c>
      <c r="E85" s="9" t="s">
        <v>21</v>
      </c>
      <c r="F85" s="8">
        <f>(INT(Table_Turkmenistan[[#This Row],[Date]]) - DATE(1970, 1, 1)) * 86400000</f>
        <v>1726790400000</v>
      </c>
      <c r="G85">
        <f>'GMT Glossary'!$B$10</f>
        <v>5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23:45</v>
      </c>
    </row>
    <row r="86" spans="1:9" x14ac:dyDescent="0.25">
      <c r="A86" s="28">
        <v>45555</v>
      </c>
      <c r="B86" s="27">
        <v>0.79166666666666663</v>
      </c>
      <c r="C86" s="27" t="s">
        <v>8</v>
      </c>
      <c r="D86" s="25" t="s">
        <v>90</v>
      </c>
      <c r="E86" s="9" t="s">
        <v>72</v>
      </c>
      <c r="F86" s="8">
        <f>(INT(Table_Turkmenistan[[#This Row],[Date]]) - DATE(1970, 1, 1)) * 86400000</f>
        <v>1726790400000</v>
      </c>
      <c r="G86">
        <f>'GMT Glossary'!$B$10</f>
        <v>5</v>
      </c>
      <c r="H86" s="2" t="str">
        <f>TEXT(IF(B86&lt;0, A86+1+((B86+(G86/24))-(INT(B86+(G86/24)))), A86+(B86+(G86/24))), "yyyy-mm-dd")</f>
        <v>2024-09-21</v>
      </c>
      <c r="I86" s="2" t="str">
        <f>TEXT(IF(B86&lt;0, A86+1+((B86+(G86/24))-(INT(B86+(G86/24)))), A86+(B86+(G86/24))), "hh:mm")</f>
        <v>00:00</v>
      </c>
    </row>
    <row r="87" spans="1:9" x14ac:dyDescent="0.25">
      <c r="A87" s="28">
        <v>45555</v>
      </c>
      <c r="B87" s="26">
        <v>0.875</v>
      </c>
      <c r="C87" s="27" t="s">
        <v>8</v>
      </c>
      <c r="D87" s="30" t="s">
        <v>79</v>
      </c>
      <c r="E87" s="31" t="s">
        <v>21</v>
      </c>
      <c r="F87" s="8">
        <f>(INT(Table_Turkmenistan[[#This Row],[Date]]) - DATE(1970, 1, 1)) * 86400000</f>
        <v>1726790400000</v>
      </c>
      <c r="G87">
        <f>'GMT Glossary'!$B$10</f>
        <v>5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02:00</v>
      </c>
    </row>
    <row r="88" spans="1:9" x14ac:dyDescent="0.25">
      <c r="A88" s="23">
        <v>45555</v>
      </c>
      <c r="B88" s="20">
        <v>0.875</v>
      </c>
      <c r="C88" s="20" t="s">
        <v>8</v>
      </c>
      <c r="D88" s="24" t="s">
        <v>64</v>
      </c>
      <c r="E88" s="11" t="s">
        <v>72</v>
      </c>
      <c r="F88" s="8">
        <f>(INT(Table_Turkmenistan[[#This Row],[Date]]) - DATE(1970, 1, 1)) * 86400000</f>
        <v>1726790400000</v>
      </c>
      <c r="G88" s="10">
        <f>'GMT Glossary'!$B$10</f>
        <v>5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02:00</v>
      </c>
    </row>
    <row r="89" spans="1:9" x14ac:dyDescent="0.25">
      <c r="A89" s="23">
        <v>45555</v>
      </c>
      <c r="B89" s="20">
        <v>0.95833333333333337</v>
      </c>
      <c r="C89" s="20" t="s">
        <v>8</v>
      </c>
      <c r="D89" s="29" t="s">
        <v>206</v>
      </c>
      <c r="E89" s="11" t="s">
        <v>21</v>
      </c>
      <c r="F89" s="8">
        <f>(INT(Table_Turkmenistan[[#This Row],[Date]]) - DATE(1970, 1, 1)) * 86400000</f>
        <v>1726790400000</v>
      </c>
      <c r="G89" s="10">
        <f>'GMT Glossary'!$B$10</f>
        <v>5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04:00</v>
      </c>
    </row>
    <row r="90" spans="1:9" x14ac:dyDescent="0.25">
      <c r="A90" s="28">
        <v>45555</v>
      </c>
      <c r="B90" s="27">
        <v>0.95833333333333337</v>
      </c>
      <c r="C90" s="27" t="s">
        <v>8</v>
      </c>
      <c r="D90" s="25" t="s">
        <v>88</v>
      </c>
      <c r="E90" s="31" t="s">
        <v>72</v>
      </c>
      <c r="F90" s="8">
        <f>(INT(Table_Turkmenistan[[#This Row],[Date]]) - DATE(1970, 1, 1)) * 86400000</f>
        <v>1726790400000</v>
      </c>
      <c r="G90">
        <f>'GMT Glossary'!$B$10</f>
        <v>5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04:00</v>
      </c>
    </row>
    <row r="91" spans="1:9" x14ac:dyDescent="0.25">
      <c r="A91" s="28">
        <v>45556</v>
      </c>
      <c r="B91" s="27">
        <v>4.1666666666666664E-2</v>
      </c>
      <c r="C91" s="27" t="s">
        <v>8</v>
      </c>
      <c r="D91" s="30" t="s">
        <v>199</v>
      </c>
      <c r="E91" s="31" t="s">
        <v>21</v>
      </c>
      <c r="F91" s="8">
        <f>(INT(Table_Turkmenistan[[#This Row],[Date]]) - DATE(1970, 1, 1)) * 86400000</f>
        <v>1726876800000</v>
      </c>
      <c r="G91">
        <f>'GMT Glossary'!$B$10</f>
        <v>5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06:00</v>
      </c>
    </row>
    <row r="92" spans="1:9" x14ac:dyDescent="0.25">
      <c r="A92" s="23">
        <v>45556</v>
      </c>
      <c r="B92" s="20">
        <v>4.1666666666666664E-2</v>
      </c>
      <c r="C92" s="20" t="s">
        <v>8</v>
      </c>
      <c r="D92" s="24" t="s">
        <v>86</v>
      </c>
      <c r="E92" s="11" t="s">
        <v>72</v>
      </c>
      <c r="F92" s="8">
        <f>(INT(Table_Turkmenistan[[#This Row],[Date]]) - DATE(1970, 1, 1)) * 86400000</f>
        <v>1726876800000</v>
      </c>
      <c r="G92" s="10">
        <f>'GMT Glossary'!$B$10</f>
        <v>5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06:00</v>
      </c>
    </row>
    <row r="93" spans="1:9" x14ac:dyDescent="0.25">
      <c r="A93" s="23">
        <v>45556</v>
      </c>
      <c r="B93" s="20">
        <v>0.125</v>
      </c>
      <c r="C93" s="20" t="s">
        <v>8</v>
      </c>
      <c r="D93" s="30" t="s">
        <v>77</v>
      </c>
      <c r="E93" s="11" t="s">
        <v>21</v>
      </c>
      <c r="F93" s="8">
        <f>(INT(Table_Turkmenistan[[#This Row],[Date]]) - DATE(1970, 1, 1)) * 86400000</f>
        <v>1726876800000</v>
      </c>
      <c r="G93" s="10">
        <f>'GMT Glossary'!$B$10</f>
        <v>5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08:00</v>
      </c>
    </row>
    <row r="94" spans="1:9" x14ac:dyDescent="0.25">
      <c r="A94" s="28">
        <v>45556</v>
      </c>
      <c r="B94" s="27">
        <v>0.125</v>
      </c>
      <c r="C94" s="27" t="s">
        <v>8</v>
      </c>
      <c r="D94" s="25" t="s">
        <v>40</v>
      </c>
      <c r="E94" s="31" t="s">
        <v>72</v>
      </c>
      <c r="F94" s="8">
        <f>(INT(Table_Turkmenistan[[#This Row],[Date]]) - DATE(1970, 1, 1)) * 86400000</f>
        <v>1726876800000</v>
      </c>
      <c r="G94">
        <f>'GMT Glossary'!$B$10</f>
        <v>5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08:00</v>
      </c>
    </row>
    <row r="95" spans="1:9" x14ac:dyDescent="0.25">
      <c r="A95" s="28">
        <v>45556</v>
      </c>
      <c r="B95" s="27">
        <v>0.20833333333333334</v>
      </c>
      <c r="C95" s="27" t="s">
        <v>8</v>
      </c>
      <c r="D95" s="30" t="s">
        <v>75</v>
      </c>
      <c r="E95" s="31" t="s">
        <v>21</v>
      </c>
      <c r="F95" s="8">
        <f>(INT(Table_Turkmenistan[[#This Row],[Date]]) - DATE(1970, 1, 1)) * 86400000</f>
        <v>1726876800000</v>
      </c>
      <c r="G95">
        <f>'GMT Glossary'!$B$10</f>
        <v>5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10:00</v>
      </c>
    </row>
    <row r="96" spans="1:9" x14ac:dyDescent="0.25">
      <c r="A96" s="23">
        <v>45556</v>
      </c>
      <c r="B96" s="20">
        <v>0.20833333333333334</v>
      </c>
      <c r="C96" s="20" t="s">
        <v>402</v>
      </c>
      <c r="D96" s="24" t="s">
        <v>91</v>
      </c>
      <c r="E96" s="11" t="s">
        <v>72</v>
      </c>
      <c r="F96" s="8">
        <f>(INT(Table_Turkmenistan[[#This Row],[Date]]) - DATE(1970, 1, 1)) * 86400000</f>
        <v>1726876800000</v>
      </c>
      <c r="G96" s="10">
        <f>'GMT Glossary'!$B$10</f>
        <v>5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10:00</v>
      </c>
    </row>
    <row r="97" spans="1:9" x14ac:dyDescent="0.25">
      <c r="A97" s="28">
        <v>45556</v>
      </c>
      <c r="B97" s="27">
        <v>0.29166666666666669</v>
      </c>
      <c r="C97" s="27" t="s">
        <v>8</v>
      </c>
      <c r="D97" s="30" t="s">
        <v>76</v>
      </c>
      <c r="E97" s="31" t="s">
        <v>21</v>
      </c>
      <c r="F97" s="8">
        <f>(INT(Table_Turkmenistan[[#This Row],[Date]]) - DATE(1970, 1, 1)) * 86400000</f>
        <v>1726876800000</v>
      </c>
      <c r="G97">
        <f>'GMT Glossary'!$B$10</f>
        <v>5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12:00</v>
      </c>
    </row>
    <row r="98" spans="1:9" x14ac:dyDescent="0.25">
      <c r="A98" s="28">
        <v>45556</v>
      </c>
      <c r="B98" s="27">
        <v>0.29166666666666669</v>
      </c>
      <c r="C98" s="27" t="s">
        <v>398</v>
      </c>
      <c r="D98" s="30" t="s">
        <v>240</v>
      </c>
      <c r="E98" s="31" t="s">
        <v>72</v>
      </c>
      <c r="F98" s="8">
        <f>(INT(Table_Turkmenistan[[#This Row],[Date]]) - DATE(1970, 1, 1)) * 86400000</f>
        <v>1726876800000</v>
      </c>
      <c r="G98">
        <f>'GMT Glossary'!$B$10</f>
        <v>5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12:00</v>
      </c>
    </row>
    <row r="99" spans="1:9" x14ac:dyDescent="0.25">
      <c r="A99" s="23">
        <v>45556</v>
      </c>
      <c r="B99" s="20">
        <v>0.35416666666666669</v>
      </c>
      <c r="C99" s="20" t="s">
        <v>398</v>
      </c>
      <c r="D99" s="29" t="s">
        <v>241</v>
      </c>
      <c r="E99" s="11" t="s">
        <v>72</v>
      </c>
      <c r="F99" s="8">
        <f>(INT(Table_Turkmenistan[[#This Row],[Date]]) - DATE(1970, 1, 1)) * 86400000</f>
        <v>1726876800000</v>
      </c>
      <c r="G99" s="10">
        <f>'GMT Glossary'!$B$10</f>
        <v>5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13:30</v>
      </c>
    </row>
    <row r="100" spans="1:9" x14ac:dyDescent="0.25">
      <c r="A100" s="23">
        <v>45556</v>
      </c>
      <c r="B100" s="20">
        <v>0.375</v>
      </c>
      <c r="C100" s="20" t="s">
        <v>8</v>
      </c>
      <c r="D100" s="29" t="s">
        <v>74</v>
      </c>
      <c r="E100" s="11" t="s">
        <v>21</v>
      </c>
      <c r="F100" s="8">
        <f>(INT(Table_Turkmenistan[[#This Row],[Date]]) - DATE(1970, 1, 1)) * 86400000</f>
        <v>1726876800000</v>
      </c>
      <c r="G100" s="10">
        <f>'GMT Glossary'!$B$10</f>
        <v>5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14:00</v>
      </c>
    </row>
    <row r="101" spans="1:9" x14ac:dyDescent="0.25">
      <c r="A101" s="28">
        <v>45556</v>
      </c>
      <c r="B101" s="27">
        <v>0.45833333333333331</v>
      </c>
      <c r="C101" s="27" t="s">
        <v>8</v>
      </c>
      <c r="D101" s="30" t="s">
        <v>139</v>
      </c>
      <c r="E101" s="31" t="s">
        <v>72</v>
      </c>
      <c r="F101" s="8">
        <f>(INT(Table_Turkmenistan[[#This Row],[Date]]) - DATE(1970, 1, 1)) * 86400000</f>
        <v>1726876800000</v>
      </c>
      <c r="G101">
        <f>'GMT Glossary'!$B$10</f>
        <v>5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16:00</v>
      </c>
    </row>
    <row r="102" spans="1:9" x14ac:dyDescent="0.25">
      <c r="A102" s="28">
        <v>45556</v>
      </c>
      <c r="B102" s="27">
        <v>0.47916666666666669</v>
      </c>
      <c r="C102" s="27" t="s">
        <v>8</v>
      </c>
      <c r="D102" s="30" t="s">
        <v>210</v>
      </c>
      <c r="E102" s="31" t="s">
        <v>21</v>
      </c>
      <c r="F102" s="8">
        <f>(INT(Table_Turkmenistan[[#This Row],[Date]]) - DATE(1970, 1, 1)) * 86400000</f>
        <v>1726876800000</v>
      </c>
      <c r="G102">
        <f>'GMT Glossary'!$B$10</f>
        <v>5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16:30</v>
      </c>
    </row>
    <row r="103" spans="1:9" x14ac:dyDescent="0.25">
      <c r="A103" s="23">
        <v>45556</v>
      </c>
      <c r="B103" s="20">
        <v>0.54166666666666663</v>
      </c>
      <c r="C103" s="20" t="s">
        <v>402</v>
      </c>
      <c r="D103" s="29" t="s">
        <v>242</v>
      </c>
      <c r="E103" s="11" t="s">
        <v>72</v>
      </c>
      <c r="F103" s="8">
        <f>(INT(Table_Turkmenistan[[#This Row],[Date]]) - DATE(1970, 1, 1)) * 86400000</f>
        <v>1726876800000</v>
      </c>
      <c r="G103" s="10">
        <f>'GMT Glossary'!$B$10</f>
        <v>5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18:00</v>
      </c>
    </row>
    <row r="104" spans="1:9" x14ac:dyDescent="0.25">
      <c r="A104" s="28">
        <v>45556</v>
      </c>
      <c r="B104" s="27">
        <v>0.58333333333333337</v>
      </c>
      <c r="C104" s="27" t="s">
        <v>8</v>
      </c>
      <c r="D104" s="30" t="s">
        <v>211</v>
      </c>
      <c r="E104" s="31" t="s">
        <v>21</v>
      </c>
      <c r="F104" s="8">
        <f>(INT(Table_Turkmenistan[[#This Row],[Date]]) - DATE(1970, 1, 1)) * 86400000</f>
        <v>1726876800000</v>
      </c>
      <c r="G104">
        <f>'GMT Glossary'!$B$10</f>
        <v>5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19:00</v>
      </c>
    </row>
    <row r="105" spans="1:9" x14ac:dyDescent="0.25">
      <c r="A105" s="28">
        <v>45556</v>
      </c>
      <c r="B105" s="27">
        <v>0.58333333333333337</v>
      </c>
      <c r="C105" s="27" t="s">
        <v>8</v>
      </c>
      <c r="D105" s="30" t="s">
        <v>243</v>
      </c>
      <c r="E105" s="31" t="s">
        <v>72</v>
      </c>
      <c r="F105" s="8">
        <f>(INT(Table_Turkmenistan[[#This Row],[Date]]) - DATE(1970, 1, 1)) * 86400000</f>
        <v>1726876800000</v>
      </c>
      <c r="G105">
        <f>'GMT Glossary'!$B$10</f>
        <v>5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19:00</v>
      </c>
    </row>
    <row r="106" spans="1:9" x14ac:dyDescent="0.25">
      <c r="A106" s="23">
        <v>45556</v>
      </c>
      <c r="B106" s="20">
        <v>0.66666666666666663</v>
      </c>
      <c r="C106" s="20" t="s">
        <v>8</v>
      </c>
      <c r="D106" s="30" t="s">
        <v>136</v>
      </c>
      <c r="E106" s="11" t="s">
        <v>72</v>
      </c>
      <c r="F106" s="8">
        <f>(INT(Table_Turkmenistan[[#This Row],[Date]]) - DATE(1970, 1, 1)) * 86400000</f>
        <v>1726876800000</v>
      </c>
      <c r="G106" s="10">
        <f>'GMT Glossary'!$B$10</f>
        <v>5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21:00</v>
      </c>
    </row>
    <row r="107" spans="1:9" x14ac:dyDescent="0.25">
      <c r="A107" s="23">
        <v>45556</v>
      </c>
      <c r="B107" s="20">
        <v>0.6875</v>
      </c>
      <c r="C107" s="20" t="s">
        <v>8</v>
      </c>
      <c r="D107" s="30" t="s">
        <v>212</v>
      </c>
      <c r="E107" s="11" t="s">
        <v>21</v>
      </c>
      <c r="F107" s="8">
        <f>(INT(Table_Turkmenistan[[#This Row],[Date]]) - DATE(1970, 1, 1)) * 86400000</f>
        <v>1726876800000</v>
      </c>
      <c r="G107" s="10">
        <f>'GMT Glossary'!$B$10</f>
        <v>5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21:30</v>
      </c>
    </row>
    <row r="108" spans="1:9" x14ac:dyDescent="0.25">
      <c r="A108" s="28">
        <v>45556</v>
      </c>
      <c r="B108" s="27">
        <v>0.79166666666666663</v>
      </c>
      <c r="C108" s="27" t="s">
        <v>8</v>
      </c>
      <c r="D108" s="30" t="s">
        <v>213</v>
      </c>
      <c r="E108" s="31" t="s">
        <v>21</v>
      </c>
      <c r="F108" s="8">
        <f>(INT(Table_Turkmenistan[[#This Row],[Date]]) - DATE(1970, 1, 1)) * 86400000</f>
        <v>1726876800000</v>
      </c>
      <c r="G108">
        <f>'GMT Glossary'!$B$10</f>
        <v>5</v>
      </c>
      <c r="H108" s="2" t="str">
        <f>TEXT(IF(B108&lt;0, A108+1+((B108+(G108/24))-(INT(B108+(G108/24)))), A108+(B108+(G108/24))), "yyyy-mm-dd")</f>
        <v>2024-09-22</v>
      </c>
      <c r="I108" s="2" t="str">
        <f>TEXT(IF(B108&lt;0, A108+1+((B108+(G108/24))-(INT(B108+(G108/24)))), A108+(B108+(G108/24))), "hh:mm")</f>
        <v>00:00</v>
      </c>
    </row>
    <row r="109" spans="1:9" x14ac:dyDescent="0.25">
      <c r="A109" s="28">
        <v>45556</v>
      </c>
      <c r="B109" s="27">
        <v>0.79166666666666663</v>
      </c>
      <c r="C109" s="27" t="s">
        <v>8</v>
      </c>
      <c r="D109" s="30" t="s">
        <v>137</v>
      </c>
      <c r="E109" s="31" t="s">
        <v>72</v>
      </c>
      <c r="F109" s="8">
        <f>(INT(Table_Turkmenistan[[#This Row],[Date]]) - DATE(1970, 1, 1)) * 86400000</f>
        <v>1726876800000</v>
      </c>
      <c r="G109">
        <f>'GMT Glossary'!$B$10</f>
        <v>5</v>
      </c>
      <c r="H109" s="2" t="str">
        <f>TEXT(IF(B109&lt;0, A109+1+((B109+(G109/24))-(INT(B109+(G109/24)))), A109+(B109+(G109/24))), "yyyy-mm-dd")</f>
        <v>2024-09-22</v>
      </c>
      <c r="I109" s="2" t="str">
        <f>TEXT(IF(B109&lt;0, A109+1+((B109+(G109/24))-(INT(B109+(G109/24)))), A109+(B109+(G109/24))), "hh:mm")</f>
        <v>00:00</v>
      </c>
    </row>
    <row r="110" spans="1:9" x14ac:dyDescent="0.25">
      <c r="A110" s="23">
        <v>45556</v>
      </c>
      <c r="B110" s="20">
        <v>0.875</v>
      </c>
      <c r="C110" s="20" t="s">
        <v>8</v>
      </c>
      <c r="D110" s="29" t="s">
        <v>79</v>
      </c>
      <c r="E110" s="11" t="s">
        <v>21</v>
      </c>
      <c r="F110" s="8">
        <f>(INT(Table_Turkmenistan[[#This Row],[Date]]) - DATE(1970, 1, 1)) * 86400000</f>
        <v>1726876800000</v>
      </c>
      <c r="G110" s="10">
        <f>'GMT Glossary'!$B$10</f>
        <v>5</v>
      </c>
      <c r="H110" s="2" t="str">
        <f>TEXT(IF(B110&lt;0, A110+1+((B110+(G110/24))-(INT(B110+(G110/24)))), A110+(B110+(G110/24))), "yyyy-mm-dd")</f>
        <v>2024-09-22</v>
      </c>
      <c r="I110" s="2" t="str">
        <f>TEXT(IF(B110&lt;0, A110+1+((B110+(G110/24))-(INT(B110+(G110/24)))), A110+(B110+(G110/24))), "hh:mm")</f>
        <v>02:00</v>
      </c>
    </row>
    <row r="111" spans="1:9" x14ac:dyDescent="0.25">
      <c r="A111" s="28">
        <v>45556</v>
      </c>
      <c r="B111" s="27">
        <v>0.875</v>
      </c>
      <c r="C111" s="27" t="s">
        <v>8</v>
      </c>
      <c r="D111" s="30" t="s">
        <v>244</v>
      </c>
      <c r="E111" s="31" t="s">
        <v>72</v>
      </c>
      <c r="F111" s="8">
        <f>(INT(Table_Turkmenistan[[#This Row],[Date]]) - DATE(1970, 1, 1)) * 86400000</f>
        <v>1726876800000</v>
      </c>
      <c r="G111">
        <f>'GMT Glossary'!$B$10</f>
        <v>5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02:00</v>
      </c>
    </row>
    <row r="112" spans="1:9" x14ac:dyDescent="0.25">
      <c r="A112" s="28">
        <v>45556</v>
      </c>
      <c r="B112" s="27">
        <v>0.95833333333333337</v>
      </c>
      <c r="C112" s="27" t="s">
        <v>8</v>
      </c>
      <c r="D112" s="25" t="s">
        <v>214</v>
      </c>
      <c r="E112" s="31" t="s">
        <v>21</v>
      </c>
      <c r="F112" s="8">
        <f>(INT(Table_Turkmenistan[[#This Row],[Date]]) - DATE(1970, 1, 1)) * 86400000</f>
        <v>1726876800000</v>
      </c>
      <c r="G112">
        <f>'GMT Glossary'!$B$10</f>
        <v>5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04:00</v>
      </c>
    </row>
    <row r="113" spans="1:9" x14ac:dyDescent="0.25">
      <c r="A113" s="23">
        <v>45556</v>
      </c>
      <c r="B113" s="20">
        <v>0.95833333333333337</v>
      </c>
      <c r="C113" s="20" t="s">
        <v>8</v>
      </c>
      <c r="D113" s="30" t="s">
        <v>64</v>
      </c>
      <c r="E113" s="11" t="s">
        <v>72</v>
      </c>
      <c r="F113" s="8">
        <f>(INT(Table_Turkmenistan[[#This Row],[Date]]) - DATE(1970, 1, 1)) * 86400000</f>
        <v>1726876800000</v>
      </c>
      <c r="G113" s="10">
        <f>'GMT Glossary'!$B$10</f>
        <v>5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04:00</v>
      </c>
    </row>
    <row r="114" spans="1:9" x14ac:dyDescent="0.25">
      <c r="A114" s="23">
        <v>45557</v>
      </c>
      <c r="B114" s="20">
        <v>4.1666666666666664E-2</v>
      </c>
      <c r="C114" s="20" t="s">
        <v>8</v>
      </c>
      <c r="D114" s="30" t="s">
        <v>77</v>
      </c>
      <c r="E114" s="11" t="s">
        <v>21</v>
      </c>
      <c r="F114" s="8">
        <f>(INT(Table_Turkmenistan[[#This Row],[Date]]) - DATE(1970, 1, 1)) * 86400000</f>
        <v>1726963200000</v>
      </c>
      <c r="G114" s="10">
        <f>'GMT Glossary'!$B$10</f>
        <v>5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06:00</v>
      </c>
    </row>
    <row r="115" spans="1:9" x14ac:dyDescent="0.25">
      <c r="A115" s="28">
        <v>45557</v>
      </c>
      <c r="B115" s="27">
        <v>4.1666666666666664E-2</v>
      </c>
      <c r="C115" s="27" t="s">
        <v>8</v>
      </c>
      <c r="D115" s="30" t="s">
        <v>139</v>
      </c>
      <c r="E115" s="31" t="s">
        <v>72</v>
      </c>
      <c r="F115" s="8">
        <f>(INT(Table_Turkmenistan[[#This Row],[Date]]) - DATE(1970, 1, 1)) * 86400000</f>
        <v>1726963200000</v>
      </c>
      <c r="G115">
        <f>'GMT Glossary'!$B$10</f>
        <v>5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06:00</v>
      </c>
    </row>
    <row r="116" spans="1:9" x14ac:dyDescent="0.25">
      <c r="A116" s="28">
        <v>45557</v>
      </c>
      <c r="B116" s="27">
        <v>0.125</v>
      </c>
      <c r="C116" s="27" t="s">
        <v>8</v>
      </c>
      <c r="D116" s="30" t="s">
        <v>195</v>
      </c>
      <c r="E116" s="31" t="s">
        <v>21</v>
      </c>
      <c r="F116" s="8">
        <f>(INT(Table_Turkmenistan[[#This Row],[Date]]) - DATE(1970, 1, 1)) * 86400000</f>
        <v>1726963200000</v>
      </c>
      <c r="G116">
        <f>'GMT Glossary'!$B$10</f>
        <v>5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08:00</v>
      </c>
    </row>
    <row r="117" spans="1:9" x14ac:dyDescent="0.25">
      <c r="A117" s="23">
        <v>45557</v>
      </c>
      <c r="B117" s="20">
        <v>0.125</v>
      </c>
      <c r="C117" s="20" t="s">
        <v>8</v>
      </c>
      <c r="D117" s="30" t="s">
        <v>244</v>
      </c>
      <c r="E117" s="11" t="s">
        <v>72</v>
      </c>
      <c r="F117" s="8">
        <f>(INT(Table_Turkmenistan[[#This Row],[Date]]) - DATE(1970, 1, 1)) * 86400000</f>
        <v>1726963200000</v>
      </c>
      <c r="G117" s="10">
        <f>'GMT Glossary'!$B$10</f>
        <v>5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08:00</v>
      </c>
    </row>
    <row r="118" spans="1:9" x14ac:dyDescent="0.25">
      <c r="A118" s="23">
        <v>45557</v>
      </c>
      <c r="B118" s="20">
        <v>0.20833333333333334</v>
      </c>
      <c r="C118" s="20" t="s">
        <v>8</v>
      </c>
      <c r="D118" s="29" t="s">
        <v>129</v>
      </c>
      <c r="E118" s="11" t="s">
        <v>21</v>
      </c>
      <c r="F118" s="8">
        <f>(INT(Table_Turkmenistan[[#This Row],[Date]]) - DATE(1970, 1, 1)) * 86400000</f>
        <v>1726963200000</v>
      </c>
      <c r="G118" s="10">
        <f>'GMT Glossary'!$B$10</f>
        <v>5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10:00</v>
      </c>
    </row>
    <row r="119" spans="1:9" x14ac:dyDescent="0.25">
      <c r="A119" s="28">
        <v>45557</v>
      </c>
      <c r="B119" s="27">
        <v>0.20833333333333334</v>
      </c>
      <c r="C119" s="27" t="s">
        <v>402</v>
      </c>
      <c r="D119" s="30" t="s">
        <v>85</v>
      </c>
      <c r="E119" s="31" t="s">
        <v>72</v>
      </c>
      <c r="F119" s="8">
        <f>(INT(Table_Turkmenistan[[#This Row],[Date]]) - DATE(1970, 1, 1)) * 86400000</f>
        <v>1726963200000</v>
      </c>
      <c r="G119">
        <f>'GMT Glossary'!$B$10</f>
        <v>5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10:00</v>
      </c>
    </row>
    <row r="120" spans="1:9" x14ac:dyDescent="0.25">
      <c r="A120" s="28">
        <v>45557</v>
      </c>
      <c r="B120" s="27">
        <v>0.29166666666666669</v>
      </c>
      <c r="C120" s="27" t="s">
        <v>8</v>
      </c>
      <c r="D120" s="30" t="s">
        <v>74</v>
      </c>
      <c r="E120" s="31" t="s">
        <v>21</v>
      </c>
      <c r="F120" s="8">
        <f>(INT(Table_Turkmenistan[[#This Row],[Date]]) - DATE(1970, 1, 1)) * 86400000</f>
        <v>1726963200000</v>
      </c>
      <c r="G120">
        <f>'GMT Glossary'!$B$10</f>
        <v>5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12:00</v>
      </c>
    </row>
    <row r="121" spans="1:9" x14ac:dyDescent="0.25">
      <c r="A121" s="23">
        <v>45557</v>
      </c>
      <c r="B121" s="20">
        <v>0.29166666666666669</v>
      </c>
      <c r="C121" s="20" t="s">
        <v>398</v>
      </c>
      <c r="D121" s="29" t="s">
        <v>245</v>
      </c>
      <c r="E121" s="11" t="s">
        <v>72</v>
      </c>
      <c r="F121" s="8">
        <f>(INT(Table_Turkmenistan[[#This Row],[Date]]) - DATE(1970, 1, 1)) * 86400000</f>
        <v>1726963200000</v>
      </c>
      <c r="G121" s="10">
        <f>'GMT Glossary'!$B$10</f>
        <v>5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12:00</v>
      </c>
    </row>
    <row r="122" spans="1:9" x14ac:dyDescent="0.25">
      <c r="A122" s="23">
        <v>45557</v>
      </c>
      <c r="B122" s="20">
        <v>0.375</v>
      </c>
      <c r="C122" s="20" t="s">
        <v>8</v>
      </c>
      <c r="D122" s="30" t="s">
        <v>59</v>
      </c>
      <c r="E122" s="11" t="s">
        <v>21</v>
      </c>
      <c r="F122" s="8">
        <f>(INT(Table_Turkmenistan[[#This Row],[Date]]) - DATE(1970, 1, 1)) * 86400000</f>
        <v>1726963200000</v>
      </c>
      <c r="G122" s="10">
        <f>'GMT Glossary'!$B$10</f>
        <v>5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14:00</v>
      </c>
    </row>
    <row r="123" spans="1:9" x14ac:dyDescent="0.25">
      <c r="A123" s="28">
        <v>45557</v>
      </c>
      <c r="B123" s="27">
        <v>0.375</v>
      </c>
      <c r="C123" s="27" t="s">
        <v>8</v>
      </c>
      <c r="D123" s="30" t="s">
        <v>141</v>
      </c>
      <c r="E123" s="31" t="s">
        <v>72</v>
      </c>
      <c r="F123" s="8">
        <f>(INT(Table_Turkmenistan[[#This Row],[Date]]) - DATE(1970, 1, 1)) * 86400000</f>
        <v>1726963200000</v>
      </c>
      <c r="G123">
        <f>'GMT Glossary'!$B$10</f>
        <v>5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14:00</v>
      </c>
    </row>
    <row r="124" spans="1:9" x14ac:dyDescent="0.25">
      <c r="A124" s="28">
        <v>45557</v>
      </c>
      <c r="B124" s="27">
        <v>0.4375</v>
      </c>
      <c r="C124" s="27" t="s">
        <v>8</v>
      </c>
      <c r="D124" s="30" t="s">
        <v>215</v>
      </c>
      <c r="E124" s="31" t="s">
        <v>21</v>
      </c>
      <c r="F124" s="8">
        <f>(INT(Table_Turkmenistan[[#This Row],[Date]]) - DATE(1970, 1, 1)) * 86400000</f>
        <v>1726963200000</v>
      </c>
      <c r="G124">
        <f>'GMT Glossary'!$B$10</f>
        <v>5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15:30</v>
      </c>
    </row>
    <row r="125" spans="1:9" x14ac:dyDescent="0.25">
      <c r="A125" s="23">
        <v>45557</v>
      </c>
      <c r="B125" s="20">
        <v>0.5</v>
      </c>
      <c r="C125" s="20" t="s">
        <v>402</v>
      </c>
      <c r="D125" s="29" t="s">
        <v>246</v>
      </c>
      <c r="E125" s="11" t="s">
        <v>72</v>
      </c>
      <c r="F125" s="8">
        <f>(INT(Table_Turkmenistan[[#This Row],[Date]]) - DATE(1970, 1, 1)) * 86400000</f>
        <v>1726963200000</v>
      </c>
      <c r="G125" s="10">
        <f>'GMT Glossary'!$B$10</f>
        <v>5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17:00</v>
      </c>
    </row>
    <row r="126" spans="1:9" x14ac:dyDescent="0.25">
      <c r="A126" s="23">
        <v>45557</v>
      </c>
      <c r="B126" s="20">
        <v>0.54166666666666663</v>
      </c>
      <c r="C126" s="20" t="s">
        <v>8</v>
      </c>
      <c r="D126" s="29" t="s">
        <v>216</v>
      </c>
      <c r="E126" s="11" t="s">
        <v>21</v>
      </c>
      <c r="F126" s="8">
        <f>(INT(Table_Turkmenistan[[#This Row],[Date]]) - DATE(1970, 1, 1)) * 86400000</f>
        <v>1726963200000</v>
      </c>
      <c r="G126" s="10">
        <f>'GMT Glossary'!$B$10</f>
        <v>5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18:00</v>
      </c>
    </row>
    <row r="127" spans="1:9" x14ac:dyDescent="0.25">
      <c r="A127" s="28">
        <v>45557</v>
      </c>
      <c r="B127" s="27">
        <v>0.59375</v>
      </c>
      <c r="C127" s="27" t="s">
        <v>8</v>
      </c>
      <c r="D127" s="30" t="s">
        <v>247</v>
      </c>
      <c r="E127" s="31" t="s">
        <v>72</v>
      </c>
      <c r="F127" s="8">
        <f>(INT(Table_Turkmenistan[[#This Row],[Date]]) - DATE(1970, 1, 1)) * 86400000</f>
        <v>1726963200000</v>
      </c>
      <c r="G127">
        <f>'GMT Glossary'!$B$10</f>
        <v>5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19:15</v>
      </c>
    </row>
    <row r="128" spans="1:9" x14ac:dyDescent="0.25">
      <c r="A128" s="28">
        <v>45557</v>
      </c>
      <c r="B128" s="27">
        <v>0.64583333333333337</v>
      </c>
      <c r="C128" s="27" t="s">
        <v>8</v>
      </c>
      <c r="D128" s="30" t="s">
        <v>217</v>
      </c>
      <c r="E128" s="31" t="s">
        <v>21</v>
      </c>
      <c r="F128" s="8">
        <f>(INT(Table_Turkmenistan[[#This Row],[Date]]) - DATE(1970, 1, 1)) * 86400000</f>
        <v>1726963200000</v>
      </c>
      <c r="G128">
        <f>'GMT Glossary'!$B$10</f>
        <v>5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20:30</v>
      </c>
    </row>
    <row r="129" spans="1:9" x14ac:dyDescent="0.25">
      <c r="A129" s="23">
        <v>45557</v>
      </c>
      <c r="B129" s="20">
        <v>0.6875</v>
      </c>
      <c r="C129" s="20" t="s">
        <v>8</v>
      </c>
      <c r="D129" s="30" t="s">
        <v>248</v>
      </c>
      <c r="E129" s="11" t="s">
        <v>72</v>
      </c>
      <c r="F129" s="8">
        <f>(INT(Table_Turkmenistan[[#This Row],[Date]]) - DATE(1970, 1, 1)) * 86400000</f>
        <v>1726963200000</v>
      </c>
      <c r="G129" s="10">
        <f>'GMT Glossary'!$B$10</f>
        <v>5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21:30</v>
      </c>
    </row>
    <row r="130" spans="1:9" x14ac:dyDescent="0.25">
      <c r="A130" s="23">
        <v>45557</v>
      </c>
      <c r="B130" s="20">
        <v>0.78125</v>
      </c>
      <c r="C130" s="20" t="s">
        <v>8</v>
      </c>
      <c r="D130" s="29" t="s">
        <v>218</v>
      </c>
      <c r="E130" s="11" t="s">
        <v>21</v>
      </c>
      <c r="F130" s="8">
        <f>(INT(Table_Turkmenistan[[#This Row],[Date]]) - DATE(1970, 1, 1)) * 86400000</f>
        <v>1726963200000</v>
      </c>
      <c r="G130" s="10">
        <f>'GMT Glossary'!$B$10</f>
        <v>5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23:45</v>
      </c>
    </row>
    <row r="131" spans="1:9" x14ac:dyDescent="0.25">
      <c r="A131" s="28">
        <v>45557</v>
      </c>
      <c r="B131" s="27">
        <v>0.78125</v>
      </c>
      <c r="C131" s="27" t="s">
        <v>8</v>
      </c>
      <c r="D131" s="30" t="s">
        <v>249</v>
      </c>
      <c r="E131" s="31" t="s">
        <v>72</v>
      </c>
      <c r="F131" s="8">
        <f>(INT(Table_Turkmenistan[[#This Row],[Date]]) - DATE(1970, 1, 1)) * 86400000</f>
        <v>1726963200000</v>
      </c>
      <c r="G131">
        <f>'GMT Glossary'!$B$10</f>
        <v>5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23:45</v>
      </c>
    </row>
    <row r="132" spans="1:9" x14ac:dyDescent="0.25">
      <c r="A132" s="28">
        <v>45557</v>
      </c>
      <c r="B132" s="27">
        <v>0.875</v>
      </c>
      <c r="C132" s="27" t="s">
        <v>8</v>
      </c>
      <c r="D132" s="30" t="s">
        <v>219</v>
      </c>
      <c r="E132" s="31" t="s">
        <v>21</v>
      </c>
      <c r="F132" s="8">
        <f>(INT(Table_Turkmenistan[[#This Row],[Date]]) - DATE(1970, 1, 1)) * 86400000</f>
        <v>1726963200000</v>
      </c>
      <c r="G132">
        <f>'GMT Glossary'!$B$10</f>
        <v>5</v>
      </c>
      <c r="H132" s="2" t="str">
        <f>TEXT(IF(B132&lt;0, A132+1+((B132+(G132/24))-(INT(B132+(G132/24)))), A132+(B132+(G132/24))), "yyyy-mm-dd")</f>
        <v>2024-09-23</v>
      </c>
      <c r="I132" s="2" t="str">
        <f>TEXT(IF(B132&lt;0, A132+1+((B132+(G132/24))-(INT(B132+(G132/24)))), A132+(B132+(G132/24))), "hh:mm")</f>
        <v>02:00</v>
      </c>
    </row>
    <row r="133" spans="1:9" x14ac:dyDescent="0.25">
      <c r="A133" s="23">
        <v>45557</v>
      </c>
      <c r="B133" s="20">
        <v>0.875</v>
      </c>
      <c r="C133" s="20" t="s">
        <v>8</v>
      </c>
      <c r="D133" s="29" t="s">
        <v>141</v>
      </c>
      <c r="E133" s="11" t="s">
        <v>72</v>
      </c>
      <c r="F133" s="8">
        <f>(INT(Table_Turkmenistan[[#This Row],[Date]]) - DATE(1970, 1, 1)) * 86400000</f>
        <v>1726963200000</v>
      </c>
      <c r="G133" s="10">
        <f>'GMT Glossary'!$B$10</f>
        <v>5</v>
      </c>
      <c r="H133" s="2" t="str">
        <f>TEXT(IF(B133&lt;0, A133+1+((B133+(G133/24))-(INT(B133+(G133/24)))), A133+(B133+(G133/24))), "yyyy-mm-dd")</f>
        <v>2024-09-23</v>
      </c>
      <c r="I133" s="2" t="str">
        <f>TEXT(IF(B133&lt;0, A133+1+((B133+(G133/24))-(INT(B133+(G133/24)))), A133+(B133+(G133/24))), "hh:mm")</f>
        <v>02:00</v>
      </c>
    </row>
    <row r="134" spans="1:9" x14ac:dyDescent="0.25">
      <c r="A134" s="23">
        <v>45557</v>
      </c>
      <c r="B134" s="20">
        <v>0.95833333333333337</v>
      </c>
      <c r="C134" s="20" t="s">
        <v>8</v>
      </c>
      <c r="D134" s="29" t="s">
        <v>220</v>
      </c>
      <c r="E134" s="11" t="s">
        <v>21</v>
      </c>
      <c r="F134" s="8">
        <f>(INT(Table_Turkmenistan[[#This Row],[Date]]) - DATE(1970, 1, 1)) * 86400000</f>
        <v>1726963200000</v>
      </c>
      <c r="G134" s="10">
        <f>'GMT Glossary'!$B$10</f>
        <v>5</v>
      </c>
      <c r="H134" s="2" t="str">
        <f>TEXT(IF(B134&lt;0, A134+1+((B134+(G134/24))-(INT(B134+(G134/24)))), A134+(B134+(G134/24))), "yyyy-mm-dd")</f>
        <v>2024-09-23</v>
      </c>
      <c r="I134" s="2" t="str">
        <f>TEXT(IF(B134&lt;0, A134+1+((B134+(G134/24))-(INT(B134+(G134/24)))), A134+(B134+(G134/24))), "hh:mm")</f>
        <v>04:00</v>
      </c>
    </row>
    <row r="135" spans="1:9" x14ac:dyDescent="0.25">
      <c r="A135" s="28">
        <v>45557</v>
      </c>
      <c r="B135" s="27">
        <v>0.97916666666666663</v>
      </c>
      <c r="C135" s="27" t="s">
        <v>398</v>
      </c>
      <c r="D135" s="30" t="s">
        <v>92</v>
      </c>
      <c r="E135" s="31" t="s">
        <v>72</v>
      </c>
      <c r="F135" s="8">
        <f>(INT(Table_Turkmenistan[[#This Row],[Date]]) - DATE(1970, 1, 1)) * 86400000</f>
        <v>1726963200000</v>
      </c>
      <c r="G135">
        <f>'GMT Glossary'!$B$10</f>
        <v>5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04:30</v>
      </c>
    </row>
    <row r="136" spans="1:9" x14ac:dyDescent="0.25">
      <c r="A136" s="28">
        <v>45558</v>
      </c>
      <c r="B136" s="27">
        <v>4.1666666666666664E-2</v>
      </c>
      <c r="C136" s="27" t="s">
        <v>8</v>
      </c>
      <c r="D136" s="30" t="s">
        <v>221</v>
      </c>
      <c r="E136" s="31" t="s">
        <v>21</v>
      </c>
      <c r="F136" s="8">
        <f>(INT(Table_Turkmenistan[[#This Row],[Date]]) - DATE(1970, 1, 1)) * 86400000</f>
        <v>1727049600000</v>
      </c>
      <c r="G136">
        <f>'GMT Glossary'!$B$10</f>
        <v>5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06:00</v>
      </c>
    </row>
    <row r="137" spans="1:9" x14ac:dyDescent="0.25">
      <c r="A137" s="23">
        <v>45558</v>
      </c>
      <c r="B137" s="20">
        <v>8.3333333333333329E-2</v>
      </c>
      <c r="C137" s="20" t="s">
        <v>401</v>
      </c>
      <c r="D137" s="29" t="s">
        <v>87</v>
      </c>
      <c r="E137" s="11" t="s">
        <v>72</v>
      </c>
      <c r="F137" s="8">
        <f>(INT(Table_Turkmenistan[[#This Row],[Date]]) - DATE(1970, 1, 1)) * 86400000</f>
        <v>1727049600000</v>
      </c>
      <c r="G137" s="10">
        <f>'GMT Glossary'!$B$10</f>
        <v>5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07:00</v>
      </c>
    </row>
    <row r="138" spans="1:9" x14ac:dyDescent="0.25">
      <c r="A138" s="23">
        <v>45558</v>
      </c>
      <c r="B138" s="20">
        <v>0.125</v>
      </c>
      <c r="C138" s="20" t="s">
        <v>8</v>
      </c>
      <c r="D138" s="25" t="s">
        <v>222</v>
      </c>
      <c r="E138" s="11" t="s">
        <v>21</v>
      </c>
      <c r="F138" s="8">
        <f>(INT(Table_Turkmenistan[[#This Row],[Date]]) - DATE(1970, 1, 1)) * 86400000</f>
        <v>1727049600000</v>
      </c>
      <c r="G138" s="10">
        <f>'GMT Glossary'!$B$10</f>
        <v>5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08:00</v>
      </c>
    </row>
    <row r="139" spans="1:9" x14ac:dyDescent="0.25">
      <c r="A139" s="23">
        <v>45558</v>
      </c>
      <c r="B139" s="20">
        <v>0.20833333333333334</v>
      </c>
      <c r="C139" s="20" t="s">
        <v>8</v>
      </c>
      <c r="D139" s="25" t="s">
        <v>223</v>
      </c>
      <c r="E139" s="11" t="s">
        <v>21</v>
      </c>
      <c r="F139" s="8">
        <f>(INT(Table_Turkmenistan[[#This Row],[Date]]) - DATE(1970, 1, 1)) * 86400000</f>
        <v>1727049600000</v>
      </c>
      <c r="G139" s="10">
        <f>'GMT Glossary'!$B$10</f>
        <v>5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10:00</v>
      </c>
    </row>
    <row r="140" spans="1:9" x14ac:dyDescent="0.25">
      <c r="A140" s="28">
        <v>45558</v>
      </c>
      <c r="B140" s="27">
        <v>0.20833333333333334</v>
      </c>
      <c r="C140" s="27" t="s">
        <v>8</v>
      </c>
      <c r="D140" s="25" t="s">
        <v>250</v>
      </c>
      <c r="E140" s="31" t="s">
        <v>72</v>
      </c>
      <c r="F140" s="8">
        <f>(INT(Table_Turkmenistan[[#This Row],[Date]]) - DATE(1970, 1, 1)) * 86400000</f>
        <v>1727049600000</v>
      </c>
      <c r="G140">
        <f>'GMT Glossary'!$B$10</f>
        <v>5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10:00</v>
      </c>
    </row>
    <row r="141" spans="1:9" x14ac:dyDescent="0.25">
      <c r="A141" s="28">
        <v>45558</v>
      </c>
      <c r="B141" s="27">
        <v>0.29166666666666669</v>
      </c>
      <c r="C141" s="27" t="s">
        <v>8</v>
      </c>
      <c r="D141" s="30" t="s">
        <v>219</v>
      </c>
      <c r="E141" s="31" t="s">
        <v>21</v>
      </c>
      <c r="F141" s="8">
        <f>(INT(Table_Turkmenistan[[#This Row],[Date]]) - DATE(1970, 1, 1)) * 86400000</f>
        <v>1727049600000</v>
      </c>
      <c r="G141">
        <f>'GMT Glossary'!$B$10</f>
        <v>5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12:00</v>
      </c>
    </row>
    <row r="142" spans="1:9" x14ac:dyDescent="0.25">
      <c r="A142" s="23">
        <v>45558</v>
      </c>
      <c r="B142" s="20">
        <v>0.29166666666666669</v>
      </c>
      <c r="C142" s="20" t="s">
        <v>8</v>
      </c>
      <c r="D142" s="29" t="s">
        <v>251</v>
      </c>
      <c r="E142" s="11" t="s">
        <v>72</v>
      </c>
      <c r="F142" s="8">
        <f>(INT(Table_Turkmenistan[[#This Row],[Date]]) - DATE(1970, 1, 1)) * 86400000</f>
        <v>1727049600000</v>
      </c>
      <c r="G142" s="10">
        <f>'GMT Glossary'!$B$10</f>
        <v>5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12:00</v>
      </c>
    </row>
    <row r="143" spans="1:9" x14ac:dyDescent="0.25">
      <c r="A143" s="23">
        <v>45558</v>
      </c>
      <c r="B143" s="20">
        <v>0.375</v>
      </c>
      <c r="C143" s="20" t="s">
        <v>8</v>
      </c>
      <c r="D143" s="25" t="s">
        <v>224</v>
      </c>
      <c r="E143" s="11" t="s">
        <v>21</v>
      </c>
      <c r="F143" s="8">
        <f>(INT(Table_Turkmenistan[[#This Row],[Date]]) - DATE(1970, 1, 1)) * 86400000</f>
        <v>1727049600000</v>
      </c>
      <c r="G143" s="10">
        <f>'GMT Glossary'!$B$10</f>
        <v>5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14:00</v>
      </c>
    </row>
    <row r="144" spans="1:9" x14ac:dyDescent="0.25">
      <c r="A144" s="28">
        <v>45558</v>
      </c>
      <c r="B144" s="27">
        <v>0.375</v>
      </c>
      <c r="C144" s="27" t="s">
        <v>8</v>
      </c>
      <c r="D144" s="30" t="s">
        <v>252</v>
      </c>
      <c r="E144" s="31" t="s">
        <v>72</v>
      </c>
      <c r="F144" s="8">
        <f>(INT(Table_Turkmenistan[[#This Row],[Date]]) - DATE(1970, 1, 1)) * 86400000</f>
        <v>1727049600000</v>
      </c>
      <c r="G144">
        <f>'GMT Glossary'!$B$10</f>
        <v>5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14:00</v>
      </c>
    </row>
    <row r="145" spans="1:9" x14ac:dyDescent="0.25">
      <c r="A145" s="28">
        <v>45558</v>
      </c>
      <c r="B145" s="27">
        <v>0.45833333333333331</v>
      </c>
      <c r="C145" s="27" t="s">
        <v>8</v>
      </c>
      <c r="D145" s="30" t="s">
        <v>225</v>
      </c>
      <c r="E145" s="31" t="s">
        <v>21</v>
      </c>
      <c r="F145" s="8">
        <f>(INT(Table_Turkmenistan[[#This Row],[Date]]) - DATE(1970, 1, 1)) * 86400000</f>
        <v>1727049600000</v>
      </c>
      <c r="G145">
        <f>'GMT Glossary'!$B$10</f>
        <v>5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16:00</v>
      </c>
    </row>
    <row r="146" spans="1:9" x14ac:dyDescent="0.25">
      <c r="A146" s="23">
        <v>45558</v>
      </c>
      <c r="B146" s="20">
        <v>0.45833333333333331</v>
      </c>
      <c r="C146" s="20" t="s">
        <v>402</v>
      </c>
      <c r="D146" s="29" t="s">
        <v>91</v>
      </c>
      <c r="E146" s="11" t="s">
        <v>72</v>
      </c>
      <c r="F146" s="8">
        <f>(INT(Table_Turkmenistan[[#This Row],[Date]]) - DATE(1970, 1, 1)) * 86400000</f>
        <v>1727049600000</v>
      </c>
      <c r="G146" s="10">
        <f>'GMT Glossary'!$B$10</f>
        <v>5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16:00</v>
      </c>
    </row>
    <row r="147" spans="1:9" x14ac:dyDescent="0.25">
      <c r="A147" s="23">
        <v>45558</v>
      </c>
      <c r="B147" s="20">
        <v>0.54166666666666663</v>
      </c>
      <c r="C147" s="20" t="s">
        <v>8</v>
      </c>
      <c r="D147" s="25" t="s">
        <v>226</v>
      </c>
      <c r="E147" s="11" t="s">
        <v>21</v>
      </c>
      <c r="F147" s="8">
        <f>(INT(Table_Turkmenistan[[#This Row],[Date]]) - DATE(1970, 1, 1)) * 86400000</f>
        <v>1727049600000</v>
      </c>
      <c r="G147" s="10">
        <f>'GMT Glossary'!$B$10</f>
        <v>5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18:00</v>
      </c>
    </row>
    <row r="148" spans="1:9" x14ac:dyDescent="0.25">
      <c r="A148" s="28">
        <v>45558</v>
      </c>
      <c r="B148" s="27">
        <v>0.54166666666666663</v>
      </c>
      <c r="C148" s="27" t="s">
        <v>398</v>
      </c>
      <c r="D148" s="30" t="s">
        <v>92</v>
      </c>
      <c r="E148" s="31" t="s">
        <v>72</v>
      </c>
      <c r="F148" s="8">
        <f>(INT(Table_Turkmenistan[[#This Row],[Date]]) - DATE(1970, 1, 1)) * 86400000</f>
        <v>1727049600000</v>
      </c>
      <c r="G148">
        <f>'GMT Glossary'!$B$10</f>
        <v>5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18:00</v>
      </c>
    </row>
    <row r="149" spans="1:9" x14ac:dyDescent="0.25">
      <c r="A149" s="28">
        <v>45558</v>
      </c>
      <c r="B149" s="27">
        <v>0.625</v>
      </c>
      <c r="C149" s="27" t="s">
        <v>8</v>
      </c>
      <c r="D149" s="30" t="s">
        <v>223</v>
      </c>
      <c r="E149" s="31" t="s">
        <v>21</v>
      </c>
      <c r="F149" s="8">
        <f>(INT(Table_Turkmenistan[[#This Row],[Date]]) - DATE(1970, 1, 1)) * 86400000</f>
        <v>1727049600000</v>
      </c>
      <c r="G149">
        <f>'GMT Glossary'!$B$10</f>
        <v>5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20:00</v>
      </c>
    </row>
    <row r="150" spans="1:9" x14ac:dyDescent="0.25">
      <c r="A150" s="23">
        <v>45558</v>
      </c>
      <c r="B150" s="20">
        <v>0.625</v>
      </c>
      <c r="C150" s="20" t="s">
        <v>8</v>
      </c>
      <c r="D150" s="30" t="s">
        <v>253</v>
      </c>
      <c r="E150" s="11" t="s">
        <v>72</v>
      </c>
      <c r="F150" s="8">
        <f>(INT(Table_Turkmenistan[[#This Row],[Date]]) - DATE(1970, 1, 1)) * 86400000</f>
        <v>1727049600000</v>
      </c>
      <c r="G150" s="10">
        <f>'GMT Glossary'!$B$10</f>
        <v>5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20:00</v>
      </c>
    </row>
    <row r="151" spans="1:9" x14ac:dyDescent="0.25">
      <c r="A151" s="28">
        <v>45558</v>
      </c>
      <c r="B151" s="27">
        <v>0.70833333333333337</v>
      </c>
      <c r="C151" s="27" t="s">
        <v>8</v>
      </c>
      <c r="D151" s="30" t="s">
        <v>221</v>
      </c>
      <c r="E151" s="31" t="s">
        <v>21</v>
      </c>
      <c r="F151" s="8">
        <f>(INT(Table_Turkmenistan[[#This Row],[Date]]) - DATE(1970, 1, 1)) * 86400000</f>
        <v>1727049600000</v>
      </c>
      <c r="G151">
        <f>'GMT Glossary'!$B$10</f>
        <v>5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22:00</v>
      </c>
    </row>
    <row r="152" spans="1:9" x14ac:dyDescent="0.25">
      <c r="A152" s="28">
        <v>45558</v>
      </c>
      <c r="B152" s="27">
        <v>0.70833333333333337</v>
      </c>
      <c r="C152" s="27" t="s">
        <v>8</v>
      </c>
      <c r="D152" s="30" t="s">
        <v>254</v>
      </c>
      <c r="E152" s="31" t="s">
        <v>72</v>
      </c>
      <c r="F152" s="8">
        <f>(INT(Table_Turkmenistan[[#This Row],[Date]]) - DATE(1970, 1, 1)) * 86400000</f>
        <v>1727049600000</v>
      </c>
      <c r="G152">
        <f>'GMT Glossary'!$B$10</f>
        <v>5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22:00</v>
      </c>
    </row>
    <row r="153" spans="1:9" x14ac:dyDescent="0.25">
      <c r="A153" s="23">
        <v>45558</v>
      </c>
      <c r="B153" s="20">
        <v>0.78125</v>
      </c>
      <c r="C153" s="20" t="s">
        <v>8</v>
      </c>
      <c r="D153" s="29" t="s">
        <v>227</v>
      </c>
      <c r="E153" s="11" t="s">
        <v>21</v>
      </c>
      <c r="F153" s="8">
        <f>(INT(Table_Turkmenistan[[#This Row],[Date]]) - DATE(1970, 1, 1)) * 86400000</f>
        <v>1727049600000</v>
      </c>
      <c r="G153" s="10">
        <f>'GMT Glossary'!$B$10</f>
        <v>5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23:45</v>
      </c>
    </row>
    <row r="154" spans="1:9" x14ac:dyDescent="0.25">
      <c r="A154" s="23">
        <v>45558</v>
      </c>
      <c r="B154" s="20">
        <v>0.79166666666666663</v>
      </c>
      <c r="C154" s="20" t="s">
        <v>8</v>
      </c>
      <c r="D154" s="29" t="s">
        <v>141</v>
      </c>
      <c r="E154" s="11" t="s">
        <v>72</v>
      </c>
      <c r="F154" s="8">
        <f>(INT(Table_Turkmenistan[[#This Row],[Date]]) - DATE(1970, 1, 1)) * 86400000</f>
        <v>1727049600000</v>
      </c>
      <c r="G154" s="10">
        <f>'GMT Glossary'!$B$10</f>
        <v>5</v>
      </c>
      <c r="H154" s="2" t="str">
        <f>TEXT(IF(B154&lt;0, A154+1+((B154+(G154/24))-(INT(B154+(G154/24)))), A154+(B154+(G154/24))), "yyyy-mm-dd")</f>
        <v>2024-09-24</v>
      </c>
      <c r="I154" s="2" t="str">
        <f>TEXT(IF(B154&lt;0, A154+1+((B154+(G154/24))-(INT(B154+(G154/24)))), A154+(B154+(G154/24))), "hh:mm")</f>
        <v>00:00</v>
      </c>
    </row>
    <row r="155" spans="1:9" x14ac:dyDescent="0.25">
      <c r="A155" s="28">
        <v>45558</v>
      </c>
      <c r="B155" s="27">
        <v>0.875</v>
      </c>
      <c r="C155" s="27" t="s">
        <v>8</v>
      </c>
      <c r="D155" s="30" t="s">
        <v>225</v>
      </c>
      <c r="E155" s="31" t="s">
        <v>21</v>
      </c>
      <c r="F155" s="8">
        <f>(INT(Table_Turkmenistan[[#This Row],[Date]]) - DATE(1970, 1, 1)) * 86400000</f>
        <v>1727049600000</v>
      </c>
      <c r="G155">
        <f>'GMT Glossary'!$B$10</f>
        <v>5</v>
      </c>
      <c r="H155" s="2" t="str">
        <f>TEXT(IF(B155&lt;0, A155+1+((B155+(G155/24))-(INT(B155+(G155/24)))), A155+(B155+(G155/24))), "yyyy-mm-dd")</f>
        <v>2024-09-24</v>
      </c>
      <c r="I155" s="2" t="str">
        <f>TEXT(IF(B155&lt;0, A155+1+((B155+(G155/24))-(INT(B155+(G155/24)))), A155+(B155+(G155/24))), "hh:mm")</f>
        <v>02:00</v>
      </c>
    </row>
    <row r="156" spans="1:9" x14ac:dyDescent="0.25">
      <c r="A156" s="28">
        <v>45558</v>
      </c>
      <c r="B156" s="27">
        <v>0.875</v>
      </c>
      <c r="C156" s="27" t="s">
        <v>8</v>
      </c>
      <c r="D156" s="30" t="s">
        <v>139</v>
      </c>
      <c r="E156" s="31" t="s">
        <v>72</v>
      </c>
      <c r="F156" s="8">
        <f>(INT(Table_Turkmenistan[[#This Row],[Date]]) - DATE(1970, 1, 1)) * 86400000</f>
        <v>1727049600000</v>
      </c>
      <c r="G156">
        <f>'GMT Glossary'!$B$10</f>
        <v>5</v>
      </c>
      <c r="H156" s="2" t="str">
        <f>TEXT(IF(B156&lt;0, A156+1+((B156+(G156/24))-(INT(B156+(G156/24)))), A156+(B156+(G156/24))), "yyyy-mm-dd")</f>
        <v>2024-09-24</v>
      </c>
      <c r="I156" s="2" t="str">
        <f>TEXT(IF(B156&lt;0, A156+1+((B156+(G156/24))-(INT(B156+(G156/24)))), A156+(B156+(G156/24))), "hh:mm")</f>
        <v>02:00</v>
      </c>
    </row>
    <row r="157" spans="1:9" x14ac:dyDescent="0.25">
      <c r="A157" s="23">
        <v>45558</v>
      </c>
      <c r="B157" s="20">
        <v>0.95833333333333337</v>
      </c>
      <c r="C157" s="20" t="s">
        <v>8</v>
      </c>
      <c r="D157" s="25" t="s">
        <v>228</v>
      </c>
      <c r="E157" s="11" t="s">
        <v>21</v>
      </c>
      <c r="F157" s="8">
        <f>(INT(Table_Turkmenistan[[#This Row],[Date]]) - DATE(1970, 1, 1)) * 86400000</f>
        <v>1727049600000</v>
      </c>
      <c r="G157" s="10">
        <f>'GMT Glossary'!$B$10</f>
        <v>5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04:00</v>
      </c>
    </row>
    <row r="158" spans="1:9" x14ac:dyDescent="0.25">
      <c r="A158" s="28">
        <v>45558</v>
      </c>
      <c r="B158" s="27">
        <v>0.95833333333333337</v>
      </c>
      <c r="C158" s="27" t="s">
        <v>401</v>
      </c>
      <c r="D158" s="30" t="s">
        <v>87</v>
      </c>
      <c r="E158" s="31" t="s">
        <v>72</v>
      </c>
      <c r="F158" s="8">
        <f>(INT(Table_Turkmenistan[[#This Row],[Date]]) - DATE(1970, 1, 1)) * 86400000</f>
        <v>1727049600000</v>
      </c>
      <c r="G158">
        <f>'GMT Glossary'!$B$10</f>
        <v>5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04:00</v>
      </c>
    </row>
    <row r="159" spans="1:9" x14ac:dyDescent="0.25">
      <c r="A159" s="28">
        <v>45559</v>
      </c>
      <c r="B159" s="27">
        <v>4.1666666666666664E-2</v>
      </c>
      <c r="C159" s="27" t="s">
        <v>8</v>
      </c>
      <c r="D159" s="25" t="s">
        <v>224</v>
      </c>
      <c r="E159" s="31" t="s">
        <v>21</v>
      </c>
      <c r="F159" s="8">
        <f>(INT(Table_Turkmenistan[[#This Row],[Date]]) - DATE(1970, 1, 1)) * 86400000</f>
        <v>1727136000000</v>
      </c>
      <c r="G159">
        <f>'GMT Glossary'!$B$10</f>
        <v>5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06:00</v>
      </c>
    </row>
    <row r="160" spans="1:9" x14ac:dyDescent="0.25">
      <c r="A160" s="23">
        <v>45559</v>
      </c>
      <c r="B160" s="20">
        <v>8.3333333333333329E-2</v>
      </c>
      <c r="C160" s="20" t="s">
        <v>402</v>
      </c>
      <c r="D160" s="30" t="s">
        <v>91</v>
      </c>
      <c r="E160" s="11" t="s">
        <v>72</v>
      </c>
      <c r="F160" s="8">
        <f>(INT(Table_Turkmenistan[[#This Row],[Date]]) - DATE(1970, 1, 1)) * 86400000</f>
        <v>1727136000000</v>
      </c>
      <c r="G160" s="10">
        <f>'GMT Glossary'!$B$10</f>
        <v>5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07:00</v>
      </c>
    </row>
    <row r="161" spans="1:9" x14ac:dyDescent="0.25">
      <c r="A161" s="28">
        <v>45559</v>
      </c>
      <c r="B161" s="27">
        <v>0.125</v>
      </c>
      <c r="C161" s="27" t="s">
        <v>8</v>
      </c>
      <c r="D161" s="25" t="s">
        <v>220</v>
      </c>
      <c r="E161" s="31" t="s">
        <v>21</v>
      </c>
      <c r="F161" s="8">
        <f>(INT(Table_Turkmenistan[[#This Row],[Date]]) - DATE(1970, 1, 1)) * 86400000</f>
        <v>1727136000000</v>
      </c>
      <c r="G161">
        <f>'GMT Glossary'!$B$10</f>
        <v>5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08:00</v>
      </c>
    </row>
    <row r="162" spans="1:9" x14ac:dyDescent="0.25">
      <c r="A162" s="23">
        <v>45559</v>
      </c>
      <c r="B162" s="20">
        <v>0.20833333333333334</v>
      </c>
      <c r="C162" s="20" t="s">
        <v>8</v>
      </c>
      <c r="D162" s="29" t="s">
        <v>222</v>
      </c>
      <c r="E162" s="11" t="s">
        <v>21</v>
      </c>
      <c r="F162" s="8">
        <f>(INT(Table_Turkmenistan[[#This Row],[Date]]) - DATE(1970, 1, 1)) * 86400000</f>
        <v>1727136000000</v>
      </c>
      <c r="G162" s="10">
        <f>'GMT Glossary'!$B$10</f>
        <v>5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10:00</v>
      </c>
    </row>
    <row r="163" spans="1:9" x14ac:dyDescent="0.25">
      <c r="A163" s="28">
        <v>45559</v>
      </c>
      <c r="B163" s="27">
        <v>0.20833333333333334</v>
      </c>
      <c r="C163" s="27" t="s">
        <v>398</v>
      </c>
      <c r="D163" s="30" t="s">
        <v>92</v>
      </c>
      <c r="E163" s="11" t="s">
        <v>72</v>
      </c>
      <c r="F163" s="8">
        <f>(INT(Table_Turkmenistan[[#This Row],[Date]]) - DATE(1970, 1, 1)) * 86400000</f>
        <v>1727136000000</v>
      </c>
      <c r="G163" s="10">
        <f>'GMT Glossary'!$B$10</f>
        <v>5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10:00</v>
      </c>
    </row>
    <row r="164" spans="1:9" x14ac:dyDescent="0.25">
      <c r="A164" s="28">
        <v>45559</v>
      </c>
      <c r="B164" s="27">
        <v>0.29166666666666669</v>
      </c>
      <c r="C164" s="27" t="s">
        <v>8</v>
      </c>
      <c r="D164" s="30" t="s">
        <v>219</v>
      </c>
      <c r="E164" s="31" t="s">
        <v>21</v>
      </c>
      <c r="F164" s="8">
        <f>(INT(Table_Turkmenistan[[#This Row],[Date]]) - DATE(1970, 1, 1)) * 86400000</f>
        <v>1727136000000</v>
      </c>
      <c r="G164">
        <f>'GMT Glossary'!$B$10</f>
        <v>5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12:00</v>
      </c>
    </row>
    <row r="165" spans="1:9" x14ac:dyDescent="0.25">
      <c r="A165" s="22">
        <v>45559</v>
      </c>
      <c r="B165" s="15">
        <v>0.29166666666666669</v>
      </c>
      <c r="C165" s="15" t="s">
        <v>8</v>
      </c>
      <c r="D165" s="17" t="s">
        <v>252</v>
      </c>
      <c r="E165" s="11" t="s">
        <v>72</v>
      </c>
      <c r="F165" s="21">
        <f>(INT(Table_Turkmenistan[[#This Row],[Date]]) - DATE(1970, 1, 1)) * 86400000</f>
        <v>1727136000000</v>
      </c>
      <c r="G165" s="12">
        <f>'GMT Glossary'!$B$10</f>
        <v>5</v>
      </c>
      <c r="H165" s="18" t="str">
        <f>TEXT(IF(B165&lt;0, A165+1+((B165+(G165/24))-(INT(B165+(G165/24)))), A165+(B165+(G165/24))), "yyyy-mm-dd")</f>
        <v>2024-09-24</v>
      </c>
      <c r="I165" s="18" t="str">
        <f>TEXT(IF(B165&lt;0, A165+1+((B165+(G165/24))-(INT(B165+(G165/24)))), A165+(B165+(G165/24))), "hh:mm")</f>
        <v>12:00</v>
      </c>
    </row>
  </sheetData>
  <sortState ref="A2:I165">
    <sortCondition ref="A2:A165"/>
    <sortCondition ref="B2:B16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7982-298F-442A-89BC-FBE26DD7F210}">
  <sheetPr codeName="Sheet13"/>
  <dimension ref="A1:I165"/>
  <sheetViews>
    <sheetView topLeftCell="A21" workbookViewId="0">
      <selection activeCell="E19" sqref="E19"/>
    </sheetView>
  </sheetViews>
  <sheetFormatPr defaultRowHeight="15" x14ac:dyDescent="0.25"/>
  <cols>
    <col min="1" max="1" width="27.28515625" style="1" customWidth="1"/>
    <col min="2" max="3" width="25.5703125" customWidth="1"/>
    <col min="4" max="4" width="50.5703125" customWidth="1"/>
    <col min="5" max="5" width="32.7109375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20</v>
      </c>
      <c r="I1" t="s">
        <v>7</v>
      </c>
    </row>
    <row r="2" spans="1:9" x14ac:dyDescent="0.25">
      <c r="A2" s="28">
        <v>45552</v>
      </c>
      <c r="B2" s="27">
        <v>0.375</v>
      </c>
      <c r="C2" s="27" t="s">
        <v>8</v>
      </c>
      <c r="D2" s="30" t="s">
        <v>78</v>
      </c>
      <c r="E2" s="9" t="s">
        <v>21</v>
      </c>
      <c r="F2" s="8">
        <f>(INT(Table_Tajikistan[[#This Row],[Date]]) - DATE(1970, 1, 1)) * 86400000</f>
        <v>1726531200000</v>
      </c>
      <c r="G2">
        <f>'GMT Glossary'!$B$11</f>
        <v>5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14:00</v>
      </c>
    </row>
    <row r="3" spans="1:9" x14ac:dyDescent="0.25">
      <c r="A3" s="23">
        <v>45552</v>
      </c>
      <c r="B3" s="20">
        <v>0.375</v>
      </c>
      <c r="C3" s="20" t="s">
        <v>8</v>
      </c>
      <c r="D3" s="29" t="s">
        <v>108</v>
      </c>
      <c r="E3" s="32" t="s">
        <v>72</v>
      </c>
      <c r="F3" s="8">
        <f>(INT(Table_Tajikistan[[#This Row],[Date]]) - DATE(1970, 1, 1)) * 86400000</f>
        <v>1726531200000</v>
      </c>
      <c r="G3" s="10">
        <f>'GMT Glossary'!$B$11</f>
        <v>5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14:00</v>
      </c>
    </row>
    <row r="4" spans="1:9" x14ac:dyDescent="0.25">
      <c r="A4" s="23">
        <v>45552</v>
      </c>
      <c r="B4" s="20">
        <v>0.45833333333333331</v>
      </c>
      <c r="C4" s="20" t="s">
        <v>8</v>
      </c>
      <c r="D4" s="30" t="s">
        <v>195</v>
      </c>
      <c r="E4" s="32" t="s">
        <v>21</v>
      </c>
      <c r="F4" s="8">
        <f>(INT(Table_Tajikistan[[#This Row],[Date]]) - DATE(1970, 1, 1)) * 86400000</f>
        <v>1726531200000</v>
      </c>
      <c r="G4" s="10">
        <f>'GMT Glossary'!$B$11</f>
        <v>5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16:00</v>
      </c>
    </row>
    <row r="5" spans="1:9" x14ac:dyDescent="0.25">
      <c r="A5" s="28">
        <v>45552</v>
      </c>
      <c r="B5" s="27">
        <v>0.45833333333333331</v>
      </c>
      <c r="C5" s="27" t="s">
        <v>8</v>
      </c>
      <c r="D5" s="30" t="s">
        <v>229</v>
      </c>
      <c r="E5" s="9" t="s">
        <v>72</v>
      </c>
      <c r="F5" s="8">
        <f>(INT(Table_Tajikistan[[#This Row],[Date]]) - DATE(1970, 1, 1)) * 86400000</f>
        <v>1726531200000</v>
      </c>
      <c r="G5">
        <f>'GMT Glossary'!$B$11</f>
        <v>5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16:00</v>
      </c>
    </row>
    <row r="6" spans="1:9" x14ac:dyDescent="0.25">
      <c r="A6" s="28">
        <v>45552</v>
      </c>
      <c r="B6" s="27">
        <v>0.54166666666666663</v>
      </c>
      <c r="C6" s="27" t="s">
        <v>8</v>
      </c>
      <c r="D6" s="30" t="s">
        <v>129</v>
      </c>
      <c r="E6" s="9" t="s">
        <v>21</v>
      </c>
      <c r="F6" s="8">
        <f>(INT(Table_Tajikistan[[#This Row],[Date]]) - DATE(1970, 1, 1)) * 86400000</f>
        <v>1726531200000</v>
      </c>
      <c r="G6">
        <f>'GMT Glossary'!$B$11</f>
        <v>5</v>
      </c>
      <c r="H6" s="2" t="str">
        <f>TEXT(IF(B6&lt;0, A6+1+((B6+(G6/24))-(INT(B6+(G6/24)))), A6+(B6+(G6/24))), "yyyy-mm-dd")</f>
        <v>2024-09-17</v>
      </c>
      <c r="I6" s="2" t="str">
        <f>TEXT(IF(B6&lt;0, A6+1+((B6+(G6/24))-(INT(B6+(G6/24)))), A6+(B6+(G6/24))), "hh:mm")</f>
        <v>18:00</v>
      </c>
    </row>
    <row r="7" spans="1:9" x14ac:dyDescent="0.25">
      <c r="A7" s="23">
        <v>45552</v>
      </c>
      <c r="B7" s="20">
        <v>0.54166666666666663</v>
      </c>
      <c r="C7" s="20" t="s">
        <v>8</v>
      </c>
      <c r="D7" s="30" t="s">
        <v>230</v>
      </c>
      <c r="E7" s="32" t="s">
        <v>72</v>
      </c>
      <c r="F7" s="8">
        <f>(INT(Table_Tajikistan[[#This Row],[Date]]) - DATE(1970, 1, 1)) * 86400000</f>
        <v>1726531200000</v>
      </c>
      <c r="G7" s="10">
        <f>'GMT Glossary'!$B$11</f>
        <v>5</v>
      </c>
      <c r="H7" s="2" t="str">
        <f>TEXT(IF(B7&lt;0, A7+1+((B7+(G7/24))-(INT(B7+(G7/24)))), A7+(B7+(G7/24))), "yyyy-mm-dd")</f>
        <v>2024-09-17</v>
      </c>
      <c r="I7" s="2" t="str">
        <f>TEXT(IF(B7&lt;0, A7+1+((B7+(G7/24))-(INT(B7+(G7/24)))), A7+(B7+(G7/24))), "hh:mm")</f>
        <v>18:00</v>
      </c>
    </row>
    <row r="8" spans="1:9" x14ac:dyDescent="0.25">
      <c r="A8" s="23">
        <v>45552</v>
      </c>
      <c r="B8" s="20">
        <v>0.625</v>
      </c>
      <c r="C8" s="20" t="s">
        <v>8</v>
      </c>
      <c r="D8" s="29" t="s">
        <v>79</v>
      </c>
      <c r="E8" s="32" t="s">
        <v>21</v>
      </c>
      <c r="F8" s="8">
        <f>(INT(Table_Tajikistan[[#This Row],[Date]]) - DATE(1970, 1, 1)) * 86400000</f>
        <v>1726531200000</v>
      </c>
      <c r="G8" s="10">
        <f>'GMT Glossary'!$B$11</f>
        <v>5</v>
      </c>
      <c r="H8" s="2" t="str">
        <f>TEXT(IF(B8&lt;0, A8+1+((B8+(G8/24))-(INT(B8+(G8/24)))), A8+(B8+(G8/24))), "yyyy-mm-dd")</f>
        <v>2024-09-17</v>
      </c>
      <c r="I8" s="2" t="str">
        <f>TEXT(IF(B8&lt;0, A8+1+((B8+(G8/24))-(INT(B8+(G8/24)))), A8+(B8+(G8/24))), "hh:mm")</f>
        <v>20:00</v>
      </c>
    </row>
    <row r="9" spans="1:9" x14ac:dyDescent="0.25">
      <c r="A9" s="28">
        <v>45552</v>
      </c>
      <c r="B9" s="27">
        <v>0.625</v>
      </c>
      <c r="C9" s="27" t="s">
        <v>8</v>
      </c>
      <c r="D9" s="30" t="s">
        <v>88</v>
      </c>
      <c r="E9" s="9" t="s">
        <v>72</v>
      </c>
      <c r="F9" s="8">
        <f>(INT(Table_Tajikistan[[#This Row],[Date]]) - DATE(1970, 1, 1)) * 86400000</f>
        <v>1726531200000</v>
      </c>
      <c r="G9">
        <f>'GMT Glossary'!$B$11</f>
        <v>5</v>
      </c>
      <c r="H9" s="2" t="str">
        <f>TEXT(IF(B9&lt;0, A9+1+((B9+(G9/24))-(INT(B9+(G9/24)))), A9+(B9+(G9/24))), "yyyy-mm-dd")</f>
        <v>2024-09-17</v>
      </c>
      <c r="I9" s="2" t="str">
        <f>TEXT(IF(B9&lt;0, A9+1+((B9+(G9/24))-(INT(B9+(G9/24)))), A9+(B9+(G9/24))), "hh:mm")</f>
        <v>20:00</v>
      </c>
    </row>
    <row r="10" spans="1:9" x14ac:dyDescent="0.25">
      <c r="A10" s="28">
        <v>45552</v>
      </c>
      <c r="B10" s="27">
        <v>0.70833333333333337</v>
      </c>
      <c r="C10" s="27" t="s">
        <v>8</v>
      </c>
      <c r="D10" s="30" t="s">
        <v>43</v>
      </c>
      <c r="E10" s="9" t="s">
        <v>21</v>
      </c>
      <c r="F10" s="8">
        <f>(INT(Table_Tajikistan[[#This Row],[Date]]) - DATE(1970, 1, 1)) * 86400000</f>
        <v>1726531200000</v>
      </c>
      <c r="G10">
        <f>'GMT Glossary'!$B$11</f>
        <v>5</v>
      </c>
      <c r="H10" s="2" t="str">
        <f>TEXT(IF(B10&lt;0, A10+1+((B10+(G10/24))-(INT(B10+(G10/24)))), A10+(B10+(G10/24))), "yyyy-mm-dd")</f>
        <v>2024-09-17</v>
      </c>
      <c r="I10" s="2" t="str">
        <f>TEXT(IF(B10&lt;0, A10+1+((B10+(G10/24))-(INT(B10+(G10/24)))), A10+(B10+(G10/24))), "hh:mm")</f>
        <v>22:00</v>
      </c>
    </row>
    <row r="11" spans="1:9" x14ac:dyDescent="0.25">
      <c r="A11" s="23">
        <v>45552</v>
      </c>
      <c r="B11" s="20">
        <v>0.70833333333333337</v>
      </c>
      <c r="C11" s="20" t="s">
        <v>8</v>
      </c>
      <c r="D11" s="29" t="s">
        <v>93</v>
      </c>
      <c r="E11" s="32" t="s">
        <v>72</v>
      </c>
      <c r="F11" s="8">
        <f>(INT(Table_Tajikistan[[#This Row],[Date]]) - DATE(1970, 1, 1)) * 86400000</f>
        <v>1726531200000</v>
      </c>
      <c r="G11" s="10">
        <f>'GMT Glossary'!$B$11</f>
        <v>5</v>
      </c>
      <c r="H11" s="2" t="str">
        <f>TEXT(IF(B11&lt;0, A11+1+((B11+(G11/24))-(INT(B11+(G11/24)))), A11+(B11+(G11/24))), "yyyy-mm-dd")</f>
        <v>2024-09-17</v>
      </c>
      <c r="I11" s="2" t="str">
        <f>TEXT(IF(B11&lt;0, A11+1+((B11+(G11/24))-(INT(B11+(G11/24)))), A11+(B11+(G11/24))), "hh:mm")</f>
        <v>22:00</v>
      </c>
    </row>
    <row r="12" spans="1:9" x14ac:dyDescent="0.25">
      <c r="A12" s="28">
        <v>45552</v>
      </c>
      <c r="B12" s="27">
        <v>0.78125</v>
      </c>
      <c r="C12" s="27" t="s">
        <v>8</v>
      </c>
      <c r="D12" s="30" t="s">
        <v>231</v>
      </c>
      <c r="E12" s="9" t="s">
        <v>72</v>
      </c>
      <c r="F12" s="8">
        <f>(INT(Table_Tajikistan[[#This Row],[Date]]) - DATE(1970, 1, 1)) * 86400000</f>
        <v>1726531200000</v>
      </c>
      <c r="G12">
        <f>'GMT Glossary'!$B$11</f>
        <v>5</v>
      </c>
      <c r="H12" s="2" t="str">
        <f>TEXT(IF(B12&lt;0, A12+1+((B12+(G12/24))-(INT(B12+(G12/24)))), A12+(B12+(G12/24))), "yyyy-mm-dd")</f>
        <v>2024-09-17</v>
      </c>
      <c r="I12" s="2" t="str">
        <f>TEXT(IF(B12&lt;0, A12+1+((B12+(G12/24))-(INT(B12+(G12/24)))), A12+(B12+(G12/24))), "hh:mm")</f>
        <v>23:45</v>
      </c>
    </row>
    <row r="13" spans="1:9" x14ac:dyDescent="0.25">
      <c r="A13" s="23">
        <v>45552</v>
      </c>
      <c r="B13" s="20">
        <v>0.79166666666666663</v>
      </c>
      <c r="C13" s="20" t="s">
        <v>8</v>
      </c>
      <c r="D13" s="29" t="s">
        <v>196</v>
      </c>
      <c r="E13" s="32" t="s">
        <v>21</v>
      </c>
      <c r="F13" s="8">
        <f>(INT(Table_Tajikistan[[#This Row],[Date]]) - DATE(1970, 1, 1)) * 86400000</f>
        <v>1726531200000</v>
      </c>
      <c r="G13" s="10">
        <f>'GMT Glossary'!$B$11</f>
        <v>5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00:00</v>
      </c>
    </row>
    <row r="14" spans="1:9" x14ac:dyDescent="0.25">
      <c r="A14" s="28">
        <v>45552</v>
      </c>
      <c r="B14" s="27">
        <v>0.875</v>
      </c>
      <c r="C14" s="27" t="s">
        <v>8</v>
      </c>
      <c r="D14" s="30" t="s">
        <v>197</v>
      </c>
      <c r="E14" s="9" t="s">
        <v>21</v>
      </c>
      <c r="F14" s="8">
        <f>(INT(Table_Tajikistan[[#This Row],[Date]]) - DATE(1970, 1, 1)) * 86400000</f>
        <v>1726531200000</v>
      </c>
      <c r="G14">
        <f>'GMT Glossary'!$B$11</f>
        <v>5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02:00</v>
      </c>
    </row>
    <row r="15" spans="1:9" x14ac:dyDescent="0.25">
      <c r="A15" s="23">
        <v>45552</v>
      </c>
      <c r="B15" s="20">
        <v>0.875</v>
      </c>
      <c r="C15" s="20" t="s">
        <v>8</v>
      </c>
      <c r="D15" s="29" t="s">
        <v>89</v>
      </c>
      <c r="E15" s="32" t="s">
        <v>72</v>
      </c>
      <c r="F15" s="8">
        <f>(INT(Table_Tajikistan[[#This Row],[Date]]) - DATE(1970, 1, 1)) * 86400000</f>
        <v>1726531200000</v>
      </c>
      <c r="G15" s="10">
        <f>'GMT Glossary'!$B$11</f>
        <v>5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02:00</v>
      </c>
    </row>
    <row r="16" spans="1:9" x14ac:dyDescent="0.25">
      <c r="A16" s="23">
        <v>45552</v>
      </c>
      <c r="B16" s="20">
        <v>0.95833333333333337</v>
      </c>
      <c r="C16" s="20" t="s">
        <v>8</v>
      </c>
      <c r="D16" s="30" t="s">
        <v>198</v>
      </c>
      <c r="E16" s="32" t="s">
        <v>21</v>
      </c>
      <c r="F16" s="8">
        <f>(INT(Table_Tajikistan[[#This Row],[Date]]) - DATE(1970, 1, 1)) * 86400000</f>
        <v>1726531200000</v>
      </c>
      <c r="G16" s="10">
        <f>'GMT Glossary'!$B$11</f>
        <v>5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04:00</v>
      </c>
    </row>
    <row r="17" spans="1:9" x14ac:dyDescent="0.25">
      <c r="A17" s="28">
        <v>45552</v>
      </c>
      <c r="B17" s="27">
        <v>0.95833333333333337</v>
      </c>
      <c r="C17" s="27" t="s">
        <v>8</v>
      </c>
      <c r="D17" s="30" t="s">
        <v>232</v>
      </c>
      <c r="E17" s="9" t="s">
        <v>72</v>
      </c>
      <c r="F17" s="8">
        <f>(INT(Table_Tajikistan[[#This Row],[Date]]) - DATE(1970, 1, 1)) * 86400000</f>
        <v>1726531200000</v>
      </c>
      <c r="G17">
        <f>'GMT Glossary'!$B$11</f>
        <v>5</v>
      </c>
      <c r="H17" s="2" t="str">
        <f>TEXT(IF(B17&lt;0, A17+1+((B17+(G17/24))-(INT(B17+(G17/24)))), A17+(B17+(G17/24))), "yyyy-mm-dd")</f>
        <v>2024-09-18</v>
      </c>
      <c r="I17" s="2" t="str">
        <f>TEXT(IF(B17&lt;0, A17+1+((B17+(G17/24))-(INT(B17+(G17/24)))), A17+(B17+(G17/24))), "hh:mm")</f>
        <v>04:00</v>
      </c>
    </row>
    <row r="18" spans="1:9" x14ac:dyDescent="0.25">
      <c r="A18" s="28">
        <v>45553</v>
      </c>
      <c r="B18" s="27">
        <v>4.1666666666666664E-2</v>
      </c>
      <c r="C18" s="27" t="s">
        <v>8</v>
      </c>
      <c r="D18" s="30" t="s">
        <v>74</v>
      </c>
      <c r="E18" s="9" t="s">
        <v>21</v>
      </c>
      <c r="F18" s="8">
        <f>(INT(Table_Tajikistan[[#This Row],[Date]]) - DATE(1970, 1, 1)) * 86400000</f>
        <v>1726617600000</v>
      </c>
      <c r="G18">
        <f>'GMT Glossary'!$B$11</f>
        <v>5</v>
      </c>
      <c r="H18" s="2" t="str">
        <f>TEXT(IF(B18&lt;0, A18+1+((B18+(G18/24))-(INT(B18+(G18/24)))), A18+(B18+(G18/24))), "yyyy-mm-dd")</f>
        <v>2024-09-18</v>
      </c>
      <c r="I18" s="2" t="str">
        <f>TEXT(IF(B18&lt;0, A18+1+((B18+(G18/24))-(INT(B18+(G18/24)))), A18+(B18+(G18/24))), "hh:mm")</f>
        <v>06:00</v>
      </c>
    </row>
    <row r="19" spans="1:9" x14ac:dyDescent="0.25">
      <c r="A19" s="23">
        <v>45553</v>
      </c>
      <c r="B19" s="20">
        <v>4.1666666666666664E-2</v>
      </c>
      <c r="C19" s="20" t="s">
        <v>8</v>
      </c>
      <c r="D19" s="29" t="s">
        <v>75</v>
      </c>
      <c r="E19" s="32" t="s">
        <v>21</v>
      </c>
      <c r="F19" s="8">
        <f>(INT(Table_Tajikistan[[#This Row],[Date]]) - DATE(1970, 1, 1)) * 86400000</f>
        <v>1726617600000</v>
      </c>
      <c r="G19" s="10">
        <f>'GMT Glossary'!$B$11</f>
        <v>5</v>
      </c>
      <c r="H19" s="2" t="str">
        <f>TEXT(IF(B19&lt;0, A19+1+((B19+(G19/24))-(INT(B19+(G19/24)))), A19+(B19+(G19/24))), "yyyy-mm-dd")</f>
        <v>2024-09-18</v>
      </c>
      <c r="I19" s="2" t="str">
        <f>TEXT(IF(B19&lt;0, A19+1+((B19+(G19/24))-(INT(B19+(G19/24)))), A19+(B19+(G19/24))), "hh:mm")</f>
        <v>06:00</v>
      </c>
    </row>
    <row r="20" spans="1:9" x14ac:dyDescent="0.25">
      <c r="A20" s="23">
        <v>45553</v>
      </c>
      <c r="B20" s="20">
        <v>4.1666666666666664E-2</v>
      </c>
      <c r="C20" s="20" t="s">
        <v>8</v>
      </c>
      <c r="D20" s="29" t="s">
        <v>102</v>
      </c>
      <c r="E20" s="32" t="s">
        <v>72</v>
      </c>
      <c r="F20" s="8">
        <f>(INT(Table_Tajikistan[[#This Row],[Date]]) - DATE(1970, 1, 1)) * 86400000</f>
        <v>1726617600000</v>
      </c>
      <c r="G20" s="10">
        <f>'GMT Glossary'!$B$11</f>
        <v>5</v>
      </c>
      <c r="H20" s="2" t="str">
        <f>TEXT(IF(B20&lt;0, A20+1+((B20+(G20/24))-(INT(B20+(G20/24)))), A20+(B20+(G20/24))), "yyyy-mm-dd")</f>
        <v>2024-09-18</v>
      </c>
      <c r="I20" s="2" t="str">
        <f>TEXT(IF(B20&lt;0, A20+1+((B20+(G20/24))-(INT(B20+(G20/24)))), A20+(B20+(G20/24))), "hh:mm")</f>
        <v>06:00</v>
      </c>
    </row>
    <row r="21" spans="1:9" x14ac:dyDescent="0.25">
      <c r="A21" s="23">
        <v>45553</v>
      </c>
      <c r="B21" s="20">
        <v>0.125</v>
      </c>
      <c r="C21" s="20" t="s">
        <v>8</v>
      </c>
      <c r="D21" s="29" t="s">
        <v>77</v>
      </c>
      <c r="E21" s="32" t="s">
        <v>21</v>
      </c>
      <c r="F21" s="8">
        <f>(INT(Table_Tajikistan[[#This Row],[Date]]) - DATE(1970, 1, 1)) * 86400000</f>
        <v>1726617600000</v>
      </c>
      <c r="G21" s="10">
        <f>'GMT Glossary'!$B$11</f>
        <v>5</v>
      </c>
      <c r="H21" s="2" t="str">
        <f>TEXT(IF(B21&lt;0, A21+1+((B21+(G21/24))-(INT(B21+(G21/24)))), A21+(B21+(G21/24))), "yyyy-mm-dd")</f>
        <v>2024-09-18</v>
      </c>
      <c r="I21" s="2" t="str">
        <f>TEXT(IF(B21&lt;0, A21+1+((B21+(G21/24))-(INT(B21+(G21/24)))), A21+(B21+(G21/24))), "hh:mm")</f>
        <v>08:00</v>
      </c>
    </row>
    <row r="22" spans="1:9" x14ac:dyDescent="0.25">
      <c r="A22" s="28">
        <v>45553</v>
      </c>
      <c r="B22" s="27">
        <v>0.125</v>
      </c>
      <c r="C22" s="27" t="s">
        <v>401</v>
      </c>
      <c r="D22" s="30" t="s">
        <v>81</v>
      </c>
      <c r="E22" s="9" t="s">
        <v>72</v>
      </c>
      <c r="F22" s="8">
        <f>(INT(Table_Tajikistan[[#This Row],[Date]]) - DATE(1970, 1, 1)) * 86400000</f>
        <v>1726617600000</v>
      </c>
      <c r="G22">
        <f>'GMT Glossary'!$B$11</f>
        <v>5</v>
      </c>
      <c r="H22" s="2" t="str">
        <f>TEXT(IF(B22&lt;0, A22+1+((B22+(G22/24))-(INT(B22+(G22/24)))), A22+(B22+(G22/24))), "yyyy-mm-dd")</f>
        <v>2024-09-18</v>
      </c>
      <c r="I22" s="2" t="str">
        <f>TEXT(IF(B22&lt;0, A22+1+((B22+(G22/24))-(INT(B22+(G22/24)))), A22+(B22+(G22/24))), "hh:mm")</f>
        <v>08:00</v>
      </c>
    </row>
    <row r="23" spans="1:9" x14ac:dyDescent="0.25">
      <c r="A23" s="23">
        <v>45553</v>
      </c>
      <c r="B23" s="20">
        <v>0.20833333333333334</v>
      </c>
      <c r="C23" s="20" t="s">
        <v>8</v>
      </c>
      <c r="D23" s="24" t="s">
        <v>80</v>
      </c>
      <c r="E23" s="32" t="s">
        <v>21</v>
      </c>
      <c r="F23" s="8">
        <f>(INT(Table_Tajikistan[[#This Row],[Date]]) - DATE(1970, 1, 1)) * 86400000</f>
        <v>1726617600000</v>
      </c>
      <c r="G23" s="10">
        <f>'GMT Glossary'!$B$11</f>
        <v>5</v>
      </c>
      <c r="H23" s="2" t="str">
        <f>TEXT(IF(B23&lt;0, A23+1+((B23+(G23/24))-(INT(B23+(G23/24)))), A23+(B23+(G23/24))), "yyyy-mm-dd")</f>
        <v>2024-09-18</v>
      </c>
      <c r="I23" s="2" t="str">
        <f>TEXT(IF(B23&lt;0, A23+1+((B23+(G23/24))-(INT(B23+(G23/24)))), A23+(B23+(G23/24))), "hh:mm")</f>
        <v>10:00</v>
      </c>
    </row>
    <row r="24" spans="1:9" x14ac:dyDescent="0.25">
      <c r="A24" s="23">
        <v>45553</v>
      </c>
      <c r="B24" s="20">
        <v>0.25</v>
      </c>
      <c r="C24" s="20" t="s">
        <v>402</v>
      </c>
      <c r="D24" s="25" t="s">
        <v>82</v>
      </c>
      <c r="E24" s="32" t="s">
        <v>72</v>
      </c>
      <c r="F24" s="8">
        <f>(INT(Table_Tajikistan[[#This Row],[Date]]) - DATE(1970, 1, 1)) * 86400000</f>
        <v>1726617600000</v>
      </c>
      <c r="G24" s="10">
        <f>'GMT Glossary'!$B$11</f>
        <v>5</v>
      </c>
      <c r="H24" s="2" t="str">
        <f>TEXT(IF(B24&lt;0, A24+1+((B24+(G24/24))-(INT(B24+(G24/24)))), A24+(B24+(G24/24))), "yyyy-mm-dd")</f>
        <v>2024-09-18</v>
      </c>
      <c r="I24" s="2" t="str">
        <f>TEXT(IF(B24&lt;0, A24+1+((B24+(G24/24))-(INT(B24+(G24/24)))), A24+(B24+(G24/24))), "hh:mm")</f>
        <v>11:00</v>
      </c>
    </row>
    <row r="25" spans="1:9" x14ac:dyDescent="0.25">
      <c r="A25" s="28">
        <v>45553</v>
      </c>
      <c r="B25" s="27">
        <v>0.29166666666666669</v>
      </c>
      <c r="C25" s="27" t="s">
        <v>8</v>
      </c>
      <c r="D25" s="25" t="s">
        <v>199</v>
      </c>
      <c r="E25" s="9" t="s">
        <v>21</v>
      </c>
      <c r="F25" s="8">
        <f>(INT(Table_Tajikistan[[#This Row],[Date]]) - DATE(1970, 1, 1)) * 86400000</f>
        <v>1726617600000</v>
      </c>
      <c r="G25">
        <f>'GMT Glossary'!$B$11</f>
        <v>5</v>
      </c>
      <c r="H25" s="2" t="str">
        <f>TEXT(IF(B25&lt;0, A25+1+((B25+(G25/24))-(INT(B25+(G25/24)))), A25+(B25+(G25/24))), "yyyy-mm-dd")</f>
        <v>2024-09-18</v>
      </c>
      <c r="I25" s="2" t="str">
        <f>TEXT(IF(B25&lt;0, A25+1+((B25+(G25/24))-(INT(B25+(G25/24)))), A25+(B25+(G25/24))), "hh:mm")</f>
        <v>12:00</v>
      </c>
    </row>
    <row r="26" spans="1:9" x14ac:dyDescent="0.25">
      <c r="A26" s="28">
        <v>45553</v>
      </c>
      <c r="B26" s="27">
        <v>0.375</v>
      </c>
      <c r="C26" s="27" t="s">
        <v>8</v>
      </c>
      <c r="D26" s="30" t="s">
        <v>200</v>
      </c>
      <c r="E26" s="9" t="s">
        <v>21</v>
      </c>
      <c r="F26" s="8">
        <f>(INT(Table_Tajikistan[[#This Row],[Date]]) - DATE(1970, 1, 1)) * 86400000</f>
        <v>1726617600000</v>
      </c>
      <c r="G26">
        <f>'GMT Glossary'!$B$11</f>
        <v>5</v>
      </c>
      <c r="H26" s="2" t="str">
        <f>TEXT(IF(B26&lt;0, A26+1+((B26+(G26/24))-(INT(B26+(G26/24)))), A26+(B26+(G26/24))), "yyyy-mm-dd")</f>
        <v>2024-09-18</v>
      </c>
      <c r="I26" s="2" t="str">
        <f>TEXT(IF(B26&lt;0, A26+1+((B26+(G26/24))-(INT(B26+(G26/24)))), A26+(B26+(G26/24))), "hh:mm")</f>
        <v>14:00</v>
      </c>
    </row>
    <row r="27" spans="1:9" x14ac:dyDescent="0.25">
      <c r="A27" s="23">
        <v>45553</v>
      </c>
      <c r="B27" s="20">
        <v>0.375</v>
      </c>
      <c r="C27" s="20" t="s">
        <v>8</v>
      </c>
      <c r="D27" s="25" t="s">
        <v>90</v>
      </c>
      <c r="E27" s="32" t="s">
        <v>72</v>
      </c>
      <c r="F27" s="8">
        <f>(INT(Table_Tajikistan[[#This Row],[Date]]) - DATE(1970, 1, 1)) * 86400000</f>
        <v>1726617600000</v>
      </c>
      <c r="G27" s="10">
        <f>'GMT Glossary'!$B$11</f>
        <v>5</v>
      </c>
      <c r="H27" s="2" t="str">
        <f>TEXT(IF(B27&lt;0, A27+1+((B27+(G27/24))-(INT(B27+(G27/24)))), A27+(B27+(G27/24))), "yyyy-mm-dd")</f>
        <v>2024-09-18</v>
      </c>
      <c r="I27" s="2" t="str">
        <f>TEXT(IF(B27&lt;0, A27+1+((B27+(G27/24))-(INT(B27+(G27/24)))), A27+(B27+(G27/24))), "hh:mm")</f>
        <v>14:00</v>
      </c>
    </row>
    <row r="28" spans="1:9" x14ac:dyDescent="0.25">
      <c r="A28" s="23">
        <v>45553</v>
      </c>
      <c r="B28" s="20">
        <v>0.41666666666666669</v>
      </c>
      <c r="C28" s="20" t="s">
        <v>8</v>
      </c>
      <c r="D28" s="30" t="s">
        <v>99</v>
      </c>
      <c r="E28" s="32" t="s">
        <v>21</v>
      </c>
      <c r="F28" s="8">
        <f>(INT(Table_Tajikistan[[#This Row],[Date]]) - DATE(1970, 1, 1)) * 86400000</f>
        <v>1726617600000</v>
      </c>
      <c r="G28" s="10">
        <f>'GMT Glossary'!$B$11</f>
        <v>5</v>
      </c>
      <c r="H28" s="2" t="str">
        <f>TEXT(IF(B28&lt;0, A28+1+((B28+(G28/24))-(INT(B28+(G28/24)))), A28+(B28+(G28/24))), "yyyy-mm-dd")</f>
        <v>2024-09-18</v>
      </c>
      <c r="I28" s="2" t="str">
        <f>TEXT(IF(B28&lt;0, A28+1+((B28+(G28/24))-(INT(B28+(G28/24)))), A28+(B28+(G28/24))), "hh:mm")</f>
        <v>15:00</v>
      </c>
    </row>
    <row r="29" spans="1:9" x14ac:dyDescent="0.25">
      <c r="A29" s="28">
        <v>45553</v>
      </c>
      <c r="B29" s="27">
        <v>0.45833333333333331</v>
      </c>
      <c r="C29" s="27" t="s">
        <v>8</v>
      </c>
      <c r="D29" s="30" t="s">
        <v>201</v>
      </c>
      <c r="E29" s="9" t="s">
        <v>21</v>
      </c>
      <c r="F29" s="8">
        <f>(INT(Table_Tajikistan[[#This Row],[Date]]) - DATE(1970, 1, 1)) * 86400000</f>
        <v>1726617600000</v>
      </c>
      <c r="G29">
        <f>'GMT Glossary'!$B$11</f>
        <v>5</v>
      </c>
      <c r="H29" s="2" t="str">
        <f>TEXT(IF(B29&lt;0, A29+1+((B29+(G29/24))-(INT(B29+(G29/24)))), A29+(B29+(G29/24))), "yyyy-mm-dd")</f>
        <v>2024-09-18</v>
      </c>
      <c r="I29" s="2" t="str">
        <f>TEXT(IF(B29&lt;0, A29+1+((B29+(G29/24))-(INT(B29+(G29/24)))), A29+(B29+(G29/24))), "hh:mm")</f>
        <v>16:00</v>
      </c>
    </row>
    <row r="30" spans="1:9" x14ac:dyDescent="0.25">
      <c r="A30" s="28">
        <v>45553</v>
      </c>
      <c r="B30" s="27">
        <v>0.45833333333333331</v>
      </c>
      <c r="C30" s="27" t="s">
        <v>8</v>
      </c>
      <c r="D30" s="30" t="s">
        <v>108</v>
      </c>
      <c r="E30" s="9" t="s">
        <v>72</v>
      </c>
      <c r="F30" s="8">
        <f>(INT(Table_Tajikistan[[#This Row],[Date]]) - DATE(1970, 1, 1)) * 86400000</f>
        <v>1726617600000</v>
      </c>
      <c r="G30">
        <f>'GMT Glossary'!$B$11</f>
        <v>5</v>
      </c>
      <c r="H30" s="2" t="str">
        <f>TEXT(IF(B30&lt;0, A30+1+((B30+(G30/24))-(INT(B30+(G30/24)))), A30+(B30+(G30/24))), "yyyy-mm-dd")</f>
        <v>2024-09-18</v>
      </c>
      <c r="I30" s="2" t="str">
        <f>TEXT(IF(B30&lt;0, A30+1+((B30+(G30/24))-(INT(B30+(G30/24)))), A30+(B30+(G30/24))), "hh:mm")</f>
        <v>16:00</v>
      </c>
    </row>
    <row r="31" spans="1:9" x14ac:dyDescent="0.25">
      <c r="A31" s="23">
        <v>45553</v>
      </c>
      <c r="B31" s="20">
        <v>0.5</v>
      </c>
      <c r="C31" s="20" t="s">
        <v>8</v>
      </c>
      <c r="D31" s="29" t="s">
        <v>202</v>
      </c>
      <c r="E31" s="32" t="s">
        <v>21</v>
      </c>
      <c r="F31" s="8">
        <f>(INT(Table_Tajikistan[[#This Row],[Date]]) - DATE(1970, 1, 1)) * 86400000</f>
        <v>1726617600000</v>
      </c>
      <c r="G31" s="10">
        <f>'GMT Glossary'!$B$11</f>
        <v>5</v>
      </c>
      <c r="H31" s="2" t="str">
        <f>TEXT(IF(B31&lt;0, A31+1+((B31+(G31/24))-(INT(B31+(G31/24)))), A31+(B31+(G31/24))), "yyyy-mm-dd")</f>
        <v>2024-09-18</v>
      </c>
      <c r="I31" s="2" t="str">
        <f>TEXT(IF(B31&lt;0, A31+1+((B31+(G31/24))-(INT(B31+(G31/24)))), A31+(B31+(G31/24))), "hh:mm")</f>
        <v>17:00</v>
      </c>
    </row>
    <row r="32" spans="1:9" x14ac:dyDescent="0.25">
      <c r="A32" s="28">
        <v>45553</v>
      </c>
      <c r="B32" s="27">
        <v>0.54166666666666663</v>
      </c>
      <c r="C32" s="27" t="s">
        <v>8</v>
      </c>
      <c r="D32" s="30" t="s">
        <v>203</v>
      </c>
      <c r="E32" s="9" t="s">
        <v>21</v>
      </c>
      <c r="F32" s="8">
        <f>(INT(Table_Tajikistan[[#This Row],[Date]]) - DATE(1970, 1, 1)) * 86400000</f>
        <v>1726617600000</v>
      </c>
      <c r="G32">
        <f>'GMT Glossary'!$B$11</f>
        <v>5</v>
      </c>
      <c r="H32" s="2" t="str">
        <f>TEXT(IF(B32&lt;0, A32+1+((B32+(G32/24))-(INT(B32+(G32/24)))), A32+(B32+(G32/24))), "yyyy-mm-dd")</f>
        <v>2024-09-18</v>
      </c>
      <c r="I32" s="2" t="str">
        <f>TEXT(IF(B32&lt;0, A32+1+((B32+(G32/24))-(INT(B32+(G32/24)))), A32+(B32+(G32/24))), "hh:mm")</f>
        <v>18:00</v>
      </c>
    </row>
    <row r="33" spans="1:9" x14ac:dyDescent="0.25">
      <c r="A33" s="23">
        <v>45553</v>
      </c>
      <c r="B33" s="20">
        <v>0.54166666666666663</v>
      </c>
      <c r="C33" s="20" t="s">
        <v>8</v>
      </c>
      <c r="D33" s="29" t="s">
        <v>35</v>
      </c>
      <c r="E33" s="32" t="s">
        <v>72</v>
      </c>
      <c r="F33" s="8">
        <f>(INT(Table_Tajikistan[[#This Row],[Date]]) - DATE(1970, 1, 1)) * 86400000</f>
        <v>1726617600000</v>
      </c>
      <c r="G33" s="10">
        <f>'GMT Glossary'!$B$11</f>
        <v>5</v>
      </c>
      <c r="H33" s="2" t="str">
        <f>TEXT(IF(B33&lt;0, A33+1+((B33+(G33/24))-(INT(B33+(G33/24)))), A33+(B33+(G33/24))), "yyyy-mm-dd")</f>
        <v>2024-09-18</v>
      </c>
      <c r="I33" s="2" t="str">
        <f>TEXT(IF(B33&lt;0, A33+1+((B33+(G33/24))-(INT(B33+(G33/24)))), A33+(B33+(G33/24))), "hh:mm")</f>
        <v>18:00</v>
      </c>
    </row>
    <row r="34" spans="1:9" x14ac:dyDescent="0.25">
      <c r="A34" s="28">
        <v>45553</v>
      </c>
      <c r="B34" s="27">
        <v>0.625</v>
      </c>
      <c r="C34" s="27" t="s">
        <v>8</v>
      </c>
      <c r="D34" s="30" t="s">
        <v>74</v>
      </c>
      <c r="E34" s="9" t="s">
        <v>21</v>
      </c>
      <c r="F34" s="8">
        <f>(INT(Table_Tajikistan[[#This Row],[Date]]) - DATE(1970, 1, 1)) * 86400000</f>
        <v>1726617600000</v>
      </c>
      <c r="G34">
        <f>'GMT Glossary'!$B$11</f>
        <v>5</v>
      </c>
      <c r="H34" s="2" t="str">
        <f>TEXT(IF(B34&lt;0, A34+1+((B34+(G34/24))-(INT(B34+(G34/24)))), A34+(B34+(G34/24))), "yyyy-mm-dd")</f>
        <v>2024-09-18</v>
      </c>
      <c r="I34" s="2" t="str">
        <f>TEXT(IF(B34&lt;0, A34+1+((B34+(G34/24))-(INT(B34+(G34/24)))), A34+(B34+(G34/24))), "hh:mm")</f>
        <v>20:00</v>
      </c>
    </row>
    <row r="35" spans="1:9" x14ac:dyDescent="0.25">
      <c r="A35" s="28">
        <v>45553</v>
      </c>
      <c r="B35" s="27">
        <v>0.625</v>
      </c>
      <c r="C35" s="27" t="s">
        <v>8</v>
      </c>
      <c r="D35" s="25" t="s">
        <v>86</v>
      </c>
      <c r="E35" s="9" t="s">
        <v>72</v>
      </c>
      <c r="F35" s="8">
        <f>(INT(Table_Tajikistan[[#This Row],[Date]]) - DATE(1970, 1, 1)) * 86400000</f>
        <v>1726617600000</v>
      </c>
      <c r="G35">
        <f>'GMT Glossary'!$B$11</f>
        <v>5</v>
      </c>
      <c r="H35" s="2" t="str">
        <f>TEXT(IF(B35&lt;0, A35+1+((B35+(G35/24))-(INT(B35+(G35/24)))), A35+(B35+(G35/24))), "yyyy-mm-dd")</f>
        <v>2024-09-18</v>
      </c>
      <c r="I35" s="2" t="str">
        <f>TEXT(IF(B35&lt;0, A35+1+((B35+(G35/24))-(INT(B35+(G35/24)))), A35+(B35+(G35/24))), "hh:mm")</f>
        <v>20:00</v>
      </c>
    </row>
    <row r="36" spans="1:9" x14ac:dyDescent="0.25">
      <c r="A36" s="23">
        <v>45553</v>
      </c>
      <c r="B36" s="20">
        <v>0.70833333333333337</v>
      </c>
      <c r="C36" s="20" t="s">
        <v>8</v>
      </c>
      <c r="D36" s="30" t="s">
        <v>115</v>
      </c>
      <c r="E36" s="32" t="s">
        <v>21</v>
      </c>
      <c r="F36" s="8">
        <f>(INT(Table_Tajikistan[[#This Row],[Date]]) - DATE(1970, 1, 1)) * 86400000</f>
        <v>1726617600000</v>
      </c>
      <c r="G36" s="10">
        <f>'GMT Glossary'!$B$11</f>
        <v>5</v>
      </c>
      <c r="H36" s="2" t="str">
        <f>TEXT(IF(B36&lt;0, A36+1+((B36+(G36/24))-(INT(B36+(G36/24)))), A36+(B36+(G36/24))), "yyyy-mm-dd")</f>
        <v>2024-09-18</v>
      </c>
      <c r="I36" s="2" t="str">
        <f>TEXT(IF(B36&lt;0, A36+1+((B36+(G36/24))-(INT(B36+(G36/24)))), A36+(B36+(G36/24))), "hh:mm")</f>
        <v>22:00</v>
      </c>
    </row>
    <row r="37" spans="1:9" x14ac:dyDescent="0.25">
      <c r="A37" s="23">
        <v>45553</v>
      </c>
      <c r="B37" s="20">
        <v>0.70833333333333337</v>
      </c>
      <c r="C37" s="20" t="s">
        <v>8</v>
      </c>
      <c r="D37" s="25" t="s">
        <v>126</v>
      </c>
      <c r="E37" s="32" t="s">
        <v>72</v>
      </c>
      <c r="F37" s="8">
        <f>(INT(Table_Tajikistan[[#This Row],[Date]]) - DATE(1970, 1, 1)) * 86400000</f>
        <v>1726617600000</v>
      </c>
      <c r="G37" s="10">
        <f>'GMT Glossary'!$B$11</f>
        <v>5</v>
      </c>
      <c r="H37" s="2" t="str">
        <f>TEXT(IF(B37&lt;0, A37+1+((B37+(G37/24))-(INT(B37+(G37/24)))), A37+(B37+(G37/24))), "yyyy-mm-dd")</f>
        <v>2024-09-18</v>
      </c>
      <c r="I37" s="2" t="str">
        <f>TEXT(IF(B37&lt;0, A37+1+((B37+(G37/24))-(INT(B37+(G37/24)))), A37+(B37+(G37/24))), "hh:mm")</f>
        <v>22:00</v>
      </c>
    </row>
    <row r="38" spans="1:9" x14ac:dyDescent="0.25">
      <c r="A38" s="28">
        <v>45553</v>
      </c>
      <c r="B38" s="27">
        <v>0.79166666666666663</v>
      </c>
      <c r="C38" s="27" t="s">
        <v>8</v>
      </c>
      <c r="D38" s="30" t="s">
        <v>204</v>
      </c>
      <c r="E38" s="9" t="s">
        <v>21</v>
      </c>
      <c r="F38" s="8">
        <f>(INT(Table_Tajikistan[[#This Row],[Date]]) - DATE(1970, 1, 1)) * 86400000</f>
        <v>1726617600000</v>
      </c>
      <c r="G38">
        <f>'GMT Glossary'!$B$11</f>
        <v>5</v>
      </c>
      <c r="H38" s="2" t="str">
        <f>TEXT(IF(B38&lt;0, A38+1+((B38+(G38/24))-(INT(B38+(G38/24)))), A38+(B38+(G38/24))), "yyyy-mm-dd")</f>
        <v>2024-09-19</v>
      </c>
      <c r="I38" s="2" t="str">
        <f>TEXT(IF(B38&lt;0, A38+1+((B38+(G38/24))-(INT(B38+(G38/24)))), A38+(B38+(G38/24))), "hh:mm")</f>
        <v>00:00</v>
      </c>
    </row>
    <row r="39" spans="1:9" x14ac:dyDescent="0.25">
      <c r="A39" s="28">
        <v>45553</v>
      </c>
      <c r="B39" s="27">
        <v>0.79166666666666663</v>
      </c>
      <c r="C39" s="27" t="s">
        <v>8</v>
      </c>
      <c r="D39" s="25" t="s">
        <v>64</v>
      </c>
      <c r="E39" s="9" t="s">
        <v>72</v>
      </c>
      <c r="F39" s="8">
        <f>(INT(Table_Tajikistan[[#This Row],[Date]]) - DATE(1970, 1, 1)) * 86400000</f>
        <v>1726617600000</v>
      </c>
      <c r="G39">
        <f>'GMT Glossary'!$B$11</f>
        <v>5</v>
      </c>
      <c r="H39" s="2" t="str">
        <f>TEXT(IF(B39&lt;0, A39+1+((B39+(G39/24))-(INT(B39+(G39/24)))), A39+(B39+(G39/24))), "yyyy-mm-dd")</f>
        <v>2024-09-19</v>
      </c>
      <c r="I39" s="2" t="str">
        <f>TEXT(IF(B39&lt;0, A39+1+((B39+(G39/24))-(INT(B39+(G39/24)))), A39+(B39+(G39/24))), "hh:mm")</f>
        <v>00:00</v>
      </c>
    </row>
    <row r="40" spans="1:9" x14ac:dyDescent="0.25">
      <c r="A40" s="23">
        <v>45553</v>
      </c>
      <c r="B40" s="20">
        <v>0.875</v>
      </c>
      <c r="C40" s="20" t="s">
        <v>8</v>
      </c>
      <c r="D40" s="30" t="s">
        <v>205</v>
      </c>
      <c r="E40" s="32" t="s">
        <v>21</v>
      </c>
      <c r="F40" s="8">
        <f>(INT(Table_Tajikistan[[#This Row],[Date]]) - DATE(1970, 1, 1)) * 86400000</f>
        <v>1726617600000</v>
      </c>
      <c r="G40" s="10">
        <f>'GMT Glossary'!$B$11</f>
        <v>5</v>
      </c>
      <c r="H40" s="2" t="str">
        <f>TEXT(IF(B40&lt;0, A40+1+((B40+(G40/24))-(INT(B40+(G40/24)))), A40+(B40+(G40/24))), "yyyy-mm-dd")</f>
        <v>2024-09-19</v>
      </c>
      <c r="I40" s="2" t="str">
        <f>TEXT(IF(B40&lt;0, A40+1+((B40+(G40/24))-(INT(B40+(G40/24)))), A40+(B40+(G40/24))), "hh:mm")</f>
        <v>02:00</v>
      </c>
    </row>
    <row r="41" spans="1:9" x14ac:dyDescent="0.25">
      <c r="A41" s="23">
        <v>45553</v>
      </c>
      <c r="B41" s="20">
        <v>0.875</v>
      </c>
      <c r="C41" s="20" t="s">
        <v>8</v>
      </c>
      <c r="D41" s="25" t="s">
        <v>88</v>
      </c>
      <c r="E41" s="32" t="s">
        <v>72</v>
      </c>
      <c r="F41" s="8">
        <f>(INT(Table_Tajikistan[[#This Row],[Date]]) - DATE(1970, 1, 1)) * 86400000</f>
        <v>1726617600000</v>
      </c>
      <c r="G41" s="10">
        <f>'GMT Glossary'!$B$11</f>
        <v>5</v>
      </c>
      <c r="H41" s="2" t="str">
        <f>TEXT(IF(B41&lt;0, A41+1+((B41+(G41/24))-(INT(B41+(G41/24)))), A41+(B41+(G41/24))), "yyyy-mm-dd")</f>
        <v>2024-09-19</v>
      </c>
      <c r="I41" s="2" t="str">
        <f>TEXT(IF(B41&lt;0, A41+1+((B41+(G41/24))-(INT(B41+(G41/24)))), A41+(B41+(G41/24))), "hh:mm")</f>
        <v>02:00</v>
      </c>
    </row>
    <row r="42" spans="1:9" x14ac:dyDescent="0.25">
      <c r="A42" s="28">
        <v>45553</v>
      </c>
      <c r="B42" s="27">
        <v>0.95833333333333337</v>
      </c>
      <c r="C42" s="27" t="s">
        <v>8</v>
      </c>
      <c r="D42" s="30" t="s">
        <v>73</v>
      </c>
      <c r="E42" s="9" t="s">
        <v>21</v>
      </c>
      <c r="F42" s="8">
        <f>(INT(Table_Tajikistan[[#This Row],[Date]]) - DATE(1970, 1, 1)) * 86400000</f>
        <v>1726617600000</v>
      </c>
      <c r="G42">
        <f>'GMT Glossary'!$B$11</f>
        <v>5</v>
      </c>
      <c r="H42" s="2" t="str">
        <f>TEXT(IF(B42&lt;0, A42+1+((B42+(G42/24))-(INT(B42+(G42/24)))), A42+(B42+(G42/24))), "yyyy-mm-dd")</f>
        <v>2024-09-19</v>
      </c>
      <c r="I42" s="2" t="str">
        <f>TEXT(IF(B42&lt;0, A42+1+((B42+(G42/24))-(INT(B42+(G42/24)))), A42+(B42+(G42/24))), "hh:mm")</f>
        <v>04:00</v>
      </c>
    </row>
    <row r="43" spans="1:9" x14ac:dyDescent="0.25">
      <c r="A43" s="23">
        <v>45553</v>
      </c>
      <c r="B43" s="20">
        <v>0.95833333333333337</v>
      </c>
      <c r="C43" s="20" t="s">
        <v>8</v>
      </c>
      <c r="D43" s="24" t="s">
        <v>40</v>
      </c>
      <c r="E43" s="32" t="s">
        <v>72</v>
      </c>
      <c r="F43" s="8">
        <f>(INT(Table_Tajikistan[[#This Row],[Date]]) - DATE(1970, 1, 1)) * 86400000</f>
        <v>1726617600000</v>
      </c>
      <c r="G43" s="10">
        <f>'GMT Glossary'!$B$11</f>
        <v>5</v>
      </c>
      <c r="H43" s="2" t="str">
        <f>TEXT(IF(B43&lt;0, A43+1+((B43+(G43/24))-(INT(B43+(G43/24)))), A43+(B43+(G43/24))), "yyyy-mm-dd")</f>
        <v>2024-09-19</v>
      </c>
      <c r="I43" s="2" t="str">
        <f>TEXT(IF(B43&lt;0, A43+1+((B43+(G43/24))-(INT(B43+(G43/24)))), A43+(B43+(G43/24))), "hh:mm")</f>
        <v>04:00</v>
      </c>
    </row>
    <row r="44" spans="1:9" x14ac:dyDescent="0.25">
      <c r="A44" s="28">
        <v>45554</v>
      </c>
      <c r="B44" s="27">
        <v>4.1666666666666664E-2</v>
      </c>
      <c r="C44" s="27" t="s">
        <v>402</v>
      </c>
      <c r="D44" s="25" t="s">
        <v>91</v>
      </c>
      <c r="E44" s="9" t="s">
        <v>72</v>
      </c>
      <c r="F44" s="8">
        <f>(INT(Table_Tajikistan[[#This Row],[Date]]) - DATE(1970, 1, 1)) * 86400000</f>
        <v>1726704000000</v>
      </c>
      <c r="G44">
        <f>'GMT Glossary'!$B$11</f>
        <v>5</v>
      </c>
      <c r="H44" s="2" t="str">
        <f>TEXT(IF(B44&lt;0, A44+1+((B44+(G44/24))-(INT(B44+(G44/24)))), A44+(B44+(G44/24))), "yyyy-mm-dd")</f>
        <v>2024-09-19</v>
      </c>
      <c r="I44" s="2" t="str">
        <f>TEXT(IF(B44&lt;0, A44+1+((B44+(G44/24))-(INT(B44+(G44/24)))), A44+(B44+(G44/24))), "hh:mm")</f>
        <v>06:00</v>
      </c>
    </row>
    <row r="45" spans="1:9" x14ac:dyDescent="0.25">
      <c r="A45" s="28">
        <v>45554</v>
      </c>
      <c r="B45" s="27">
        <v>0.125</v>
      </c>
      <c r="C45" s="27" t="s">
        <v>8</v>
      </c>
      <c r="D45" s="30" t="s">
        <v>78</v>
      </c>
      <c r="E45" s="9" t="s">
        <v>21</v>
      </c>
      <c r="F45" s="8">
        <f>(INT(Table_Tajikistan[[#This Row],[Date]]) - DATE(1970, 1, 1)) * 86400000</f>
        <v>1726704000000</v>
      </c>
      <c r="G45">
        <f>'GMT Glossary'!$B$11</f>
        <v>5</v>
      </c>
      <c r="H45" s="2" t="str">
        <f>TEXT(IF(B45&lt;0, A45+1+((B45+(G45/24))-(INT(B45+(G45/24)))), A45+(B45+(G45/24))), "yyyy-mm-dd")</f>
        <v>2024-09-19</v>
      </c>
      <c r="I45" s="2" t="str">
        <f>TEXT(IF(B45&lt;0, A45+1+((B45+(G45/24))-(INT(B45+(G45/24)))), A45+(B45+(G45/24))), "hh:mm")</f>
        <v>08:00</v>
      </c>
    </row>
    <row r="46" spans="1:9" x14ac:dyDescent="0.25">
      <c r="A46" s="28">
        <v>45554</v>
      </c>
      <c r="B46" s="27">
        <v>0.16666666666666666</v>
      </c>
      <c r="C46" s="27" t="s">
        <v>401</v>
      </c>
      <c r="D46" s="25" t="s">
        <v>81</v>
      </c>
      <c r="E46" s="9" t="s">
        <v>72</v>
      </c>
      <c r="F46" s="8">
        <f>(INT(Table_Tajikistan[[#This Row],[Date]]) - DATE(1970, 1, 1)) * 86400000</f>
        <v>1726704000000</v>
      </c>
      <c r="G46">
        <f>'GMT Glossary'!$B$11</f>
        <v>5</v>
      </c>
      <c r="H46" s="2" t="str">
        <f>TEXT(IF(B46&lt;0, A46+1+((B46+(G46/24))-(INT(B46+(G46/24)))), A46+(B46+(G46/24))), "yyyy-mm-dd")</f>
        <v>2024-09-19</v>
      </c>
      <c r="I46" s="2" t="str">
        <f>TEXT(IF(B46&lt;0, A46+1+((B46+(G46/24))-(INT(B46+(G46/24)))), A46+(B46+(G46/24))), "hh:mm")</f>
        <v>09:00</v>
      </c>
    </row>
    <row r="47" spans="1:9" x14ac:dyDescent="0.25">
      <c r="A47" s="28">
        <v>45554</v>
      </c>
      <c r="B47" s="27">
        <v>0.20833333333333334</v>
      </c>
      <c r="C47" s="27" t="s">
        <v>8</v>
      </c>
      <c r="D47" s="30" t="s">
        <v>195</v>
      </c>
      <c r="E47" s="9" t="s">
        <v>21</v>
      </c>
      <c r="F47" s="8">
        <f>(INT(Table_Tajikistan[[#This Row],[Date]]) - DATE(1970, 1, 1)) * 86400000</f>
        <v>1726704000000</v>
      </c>
      <c r="G47">
        <f>'GMT Glossary'!$B$11</f>
        <v>5</v>
      </c>
      <c r="H47" s="2" t="str">
        <f>TEXT(IF(B47&lt;0, A47+1+((B47+(G47/24))-(INT(B47+(G47/24)))), A47+(B47+(G47/24))), "yyyy-mm-dd")</f>
        <v>2024-09-19</v>
      </c>
      <c r="I47" s="2" t="str">
        <f>TEXT(IF(B47&lt;0, A47+1+((B47+(G47/24))-(INT(B47+(G47/24)))), A47+(B47+(G47/24))), "hh:mm")</f>
        <v>10:00</v>
      </c>
    </row>
    <row r="48" spans="1:9" x14ac:dyDescent="0.25">
      <c r="A48" s="23">
        <v>45554</v>
      </c>
      <c r="B48" s="20">
        <v>0.29166666666666669</v>
      </c>
      <c r="C48" s="20" t="s">
        <v>8</v>
      </c>
      <c r="D48" s="29" t="s">
        <v>79</v>
      </c>
      <c r="E48" s="32" t="s">
        <v>21</v>
      </c>
      <c r="F48" s="8">
        <f>(INT(Table_Tajikistan[[#This Row],[Date]]) - DATE(1970, 1, 1)) * 86400000</f>
        <v>1726704000000</v>
      </c>
      <c r="G48" s="10">
        <f>'GMT Glossary'!$B$11</f>
        <v>5</v>
      </c>
      <c r="H48" s="2" t="str">
        <f>TEXT(IF(B48&lt;0, A48+1+((B48+(G48/24))-(INT(B48+(G48/24)))), A48+(B48+(G48/24))), "yyyy-mm-dd")</f>
        <v>2024-09-19</v>
      </c>
      <c r="I48" s="2" t="str">
        <f>TEXT(IF(B48&lt;0, A48+1+((B48+(G48/24))-(INT(B48+(G48/24)))), A48+(B48+(G48/24))), "hh:mm")</f>
        <v>12:00</v>
      </c>
    </row>
    <row r="49" spans="1:9" x14ac:dyDescent="0.25">
      <c r="A49" s="23">
        <v>45554</v>
      </c>
      <c r="B49" s="20">
        <v>0.29166666666666669</v>
      </c>
      <c r="C49" s="20" t="s">
        <v>8</v>
      </c>
      <c r="D49" s="24" t="s">
        <v>233</v>
      </c>
      <c r="E49" s="32" t="s">
        <v>72</v>
      </c>
      <c r="F49" s="8">
        <f>(INT(Table_Tajikistan[[#This Row],[Date]]) - DATE(1970, 1, 1)) * 86400000</f>
        <v>1726704000000</v>
      </c>
      <c r="G49" s="10">
        <f>'GMT Glossary'!$B$11</f>
        <v>5</v>
      </c>
      <c r="H49" s="2" t="str">
        <f>TEXT(IF(B49&lt;0, A49+1+((B49+(G49/24))-(INT(B49+(G49/24)))), A49+(B49+(G49/24))), "yyyy-mm-dd")</f>
        <v>2024-09-19</v>
      </c>
      <c r="I49" s="2" t="str">
        <f>TEXT(IF(B49&lt;0, A49+1+((B49+(G49/24))-(INT(B49+(G49/24)))), A49+(B49+(G49/24))), "hh:mm")</f>
        <v>12:00</v>
      </c>
    </row>
    <row r="50" spans="1:9" x14ac:dyDescent="0.25">
      <c r="A50" s="28">
        <v>45554</v>
      </c>
      <c r="B50" s="27">
        <v>0.375</v>
      </c>
      <c r="C50" s="27" t="s">
        <v>8</v>
      </c>
      <c r="D50" s="30" t="s">
        <v>200</v>
      </c>
      <c r="E50" s="9" t="s">
        <v>21</v>
      </c>
      <c r="F50" s="8">
        <f>(INT(Table_Tajikistan[[#This Row],[Date]]) - DATE(1970, 1, 1)) * 86400000</f>
        <v>1726704000000</v>
      </c>
      <c r="G50">
        <f>'GMT Glossary'!$B$11</f>
        <v>5</v>
      </c>
      <c r="H50" s="2" t="str">
        <f>TEXT(IF(B50&lt;0, A50+1+((B50+(G50/24))-(INT(B50+(G50/24)))), A50+(B50+(G50/24))), "yyyy-mm-dd")</f>
        <v>2024-09-19</v>
      </c>
      <c r="I50" s="2" t="str">
        <f>TEXT(IF(B50&lt;0, A50+1+((B50+(G50/24))-(INT(B50+(G50/24)))), A50+(B50+(G50/24))), "hh:mm")</f>
        <v>14:00</v>
      </c>
    </row>
    <row r="51" spans="1:9" x14ac:dyDescent="0.25">
      <c r="A51" s="28">
        <v>45554</v>
      </c>
      <c r="B51" s="27">
        <v>0.375</v>
      </c>
      <c r="C51" s="27" t="s">
        <v>8</v>
      </c>
      <c r="D51" s="30" t="s">
        <v>102</v>
      </c>
      <c r="E51" s="9" t="s">
        <v>72</v>
      </c>
      <c r="F51" s="8">
        <f>(INT(Table_Tajikistan[[#This Row],[Date]]) - DATE(1970, 1, 1)) * 86400000</f>
        <v>1726704000000</v>
      </c>
      <c r="G51">
        <f>'GMT Glossary'!$B$11</f>
        <v>5</v>
      </c>
      <c r="H51" s="2" t="str">
        <f>TEXT(IF(B51&lt;0, A51+1+((B51+(G51/24))-(INT(B51+(G51/24)))), A51+(B51+(G51/24))), "yyyy-mm-dd")</f>
        <v>2024-09-19</v>
      </c>
      <c r="I51" s="2" t="str">
        <f>TEXT(IF(B51&lt;0, A51+1+((B51+(G51/24))-(INT(B51+(G51/24)))), A51+(B51+(G51/24))), "hh:mm")</f>
        <v>14:00</v>
      </c>
    </row>
    <row r="52" spans="1:9" x14ac:dyDescent="0.25">
      <c r="A52" s="28">
        <v>45554</v>
      </c>
      <c r="B52" s="27">
        <v>0.41666666666666669</v>
      </c>
      <c r="C52" s="27" t="s">
        <v>8</v>
      </c>
      <c r="D52" s="30" t="s">
        <v>99</v>
      </c>
      <c r="E52" s="9" t="s">
        <v>21</v>
      </c>
      <c r="F52" s="8">
        <f>(INT(Table_Tajikistan[[#This Row],[Date]]) - DATE(1970, 1, 1)) * 86400000</f>
        <v>1726704000000</v>
      </c>
      <c r="G52">
        <f>'GMT Glossary'!$B$11</f>
        <v>5</v>
      </c>
      <c r="H52" s="2" t="str">
        <f>TEXT(IF(B52&lt;0, A52+1+((B52+(G52/24))-(INT(B52+(G52/24)))), A52+(B52+(G52/24))), "yyyy-mm-dd")</f>
        <v>2024-09-19</v>
      </c>
      <c r="I52" s="2" t="str">
        <f>TEXT(IF(B52&lt;0, A52+1+((B52+(G52/24))-(INT(B52+(G52/24)))), A52+(B52+(G52/24))), "hh:mm")</f>
        <v>15:00</v>
      </c>
    </row>
    <row r="53" spans="1:9" x14ac:dyDescent="0.25">
      <c r="A53" s="23">
        <v>45554</v>
      </c>
      <c r="B53" s="20">
        <v>0.45833333333333331</v>
      </c>
      <c r="C53" s="20" t="s">
        <v>8</v>
      </c>
      <c r="D53" s="30" t="s">
        <v>201</v>
      </c>
      <c r="E53" s="32" t="s">
        <v>21</v>
      </c>
      <c r="F53" s="8">
        <f>(INT(Table_Tajikistan[[#This Row],[Date]]) - DATE(1970, 1, 1)) * 86400000</f>
        <v>1726704000000</v>
      </c>
      <c r="G53" s="10">
        <f>'GMT Glossary'!$B$11</f>
        <v>5</v>
      </c>
      <c r="H53" s="2" t="str">
        <f>TEXT(IF(B53&lt;0, A53+1+((B53+(G53/24))-(INT(B53+(G53/24)))), A53+(B53+(G53/24))), "yyyy-mm-dd")</f>
        <v>2024-09-19</v>
      </c>
      <c r="I53" s="2" t="str">
        <f>TEXT(IF(B53&lt;0, A53+1+((B53+(G53/24))-(INT(B53+(G53/24)))), A53+(B53+(G53/24))), "hh:mm")</f>
        <v>16:00</v>
      </c>
    </row>
    <row r="54" spans="1:9" x14ac:dyDescent="0.25">
      <c r="A54" s="23">
        <v>45554</v>
      </c>
      <c r="B54" s="20">
        <v>0.45833333333333331</v>
      </c>
      <c r="C54" s="20" t="s">
        <v>8</v>
      </c>
      <c r="D54" s="30" t="s">
        <v>84</v>
      </c>
      <c r="E54" s="32" t="s">
        <v>72</v>
      </c>
      <c r="F54" s="8">
        <f>(INT(Table_Tajikistan[[#This Row],[Date]]) - DATE(1970, 1, 1)) * 86400000</f>
        <v>1726704000000</v>
      </c>
      <c r="G54" s="10">
        <f>'GMT Glossary'!$B$11</f>
        <v>5</v>
      </c>
      <c r="H54" s="2" t="str">
        <f>TEXT(IF(B54&lt;0, A54+1+((B54+(G54/24))-(INT(B54+(G54/24)))), A54+(B54+(G54/24))), "yyyy-mm-dd")</f>
        <v>2024-09-19</v>
      </c>
      <c r="I54" s="2" t="str">
        <f>TEXT(IF(B54&lt;0, A54+1+((B54+(G54/24))-(INT(B54+(G54/24)))), A54+(B54+(G54/24))), "hh:mm")</f>
        <v>16:00</v>
      </c>
    </row>
    <row r="55" spans="1:9" x14ac:dyDescent="0.25">
      <c r="A55" s="28">
        <v>45554</v>
      </c>
      <c r="B55" s="27">
        <v>0.5</v>
      </c>
      <c r="C55" s="27" t="s">
        <v>8</v>
      </c>
      <c r="D55" s="30" t="s">
        <v>202</v>
      </c>
      <c r="E55" s="9" t="s">
        <v>21</v>
      </c>
      <c r="F55" s="8">
        <f>(INT(Table_Tajikistan[[#This Row],[Date]]) - DATE(1970, 1, 1)) * 86400000</f>
        <v>1726704000000</v>
      </c>
      <c r="G55">
        <f>'GMT Glossary'!$B$11</f>
        <v>5</v>
      </c>
      <c r="H55" s="2" t="str">
        <f>TEXT(IF(B55&lt;0, A55+1+((B55+(G55/24))-(INT(B55+(G55/24)))), A55+(B55+(G55/24))), "yyyy-mm-dd")</f>
        <v>2024-09-19</v>
      </c>
      <c r="I55" s="2" t="str">
        <f>TEXT(IF(B55&lt;0, A55+1+((B55+(G55/24))-(INT(B55+(G55/24)))), A55+(B55+(G55/24))), "hh:mm")</f>
        <v>17:00</v>
      </c>
    </row>
    <row r="56" spans="1:9" x14ac:dyDescent="0.25">
      <c r="A56" s="28">
        <v>45554</v>
      </c>
      <c r="B56" s="27">
        <v>0.54166666666666663</v>
      </c>
      <c r="C56" s="27" t="s">
        <v>8</v>
      </c>
      <c r="D56" s="30" t="s">
        <v>206</v>
      </c>
      <c r="E56" s="9" t="s">
        <v>21</v>
      </c>
      <c r="F56" s="8">
        <f>(INT(Table_Tajikistan[[#This Row],[Date]]) - DATE(1970, 1, 1)) * 86400000</f>
        <v>1726704000000</v>
      </c>
      <c r="G56">
        <f>'GMT Glossary'!$B$11</f>
        <v>5</v>
      </c>
      <c r="H56" s="2" t="str">
        <f>TEXT(IF(B56&lt;0, A56+1+((B56+(G56/24))-(INT(B56+(G56/24)))), A56+(B56+(G56/24))), "yyyy-mm-dd")</f>
        <v>2024-09-19</v>
      </c>
      <c r="I56" s="2" t="str">
        <f>TEXT(IF(B56&lt;0, A56+1+((B56+(G56/24))-(INT(B56+(G56/24)))), A56+(B56+(G56/24))), "hh:mm")</f>
        <v>18:00</v>
      </c>
    </row>
    <row r="57" spans="1:9" x14ac:dyDescent="0.25">
      <c r="A57" s="28">
        <v>45554</v>
      </c>
      <c r="B57" s="27">
        <v>0.54166666666666663</v>
      </c>
      <c r="C57" s="27" t="s">
        <v>8</v>
      </c>
      <c r="D57" s="30" t="s">
        <v>35</v>
      </c>
      <c r="E57" s="9" t="s">
        <v>72</v>
      </c>
      <c r="F57" s="8">
        <f>(INT(Table_Tajikistan[[#This Row],[Date]]) - DATE(1970, 1, 1)) * 86400000</f>
        <v>1726704000000</v>
      </c>
      <c r="G57">
        <f>'GMT Glossary'!$B$11</f>
        <v>5</v>
      </c>
      <c r="H57" s="2" t="str">
        <f>TEXT(IF(B57&lt;0, A57+1+((B57+(G57/24))-(INT(B57+(G57/24)))), A57+(B57+(G57/24))), "yyyy-mm-dd")</f>
        <v>2024-09-19</v>
      </c>
      <c r="I57" s="2" t="str">
        <f>TEXT(IF(B57&lt;0, A57+1+((B57+(G57/24))-(INT(B57+(G57/24)))), A57+(B57+(G57/24))), "hh:mm")</f>
        <v>18:00</v>
      </c>
    </row>
    <row r="58" spans="1:9" x14ac:dyDescent="0.25">
      <c r="A58" s="23">
        <v>45554</v>
      </c>
      <c r="B58" s="20">
        <v>0.625</v>
      </c>
      <c r="C58" s="20" t="s">
        <v>8</v>
      </c>
      <c r="D58" s="30" t="s">
        <v>43</v>
      </c>
      <c r="E58" s="32" t="s">
        <v>21</v>
      </c>
      <c r="F58" s="8">
        <f>(INT(Table_Tajikistan[[#This Row],[Date]]) - DATE(1970, 1, 1)) * 86400000</f>
        <v>1726704000000</v>
      </c>
      <c r="G58" s="10">
        <f>'GMT Glossary'!$B$11</f>
        <v>5</v>
      </c>
      <c r="H58" s="2" t="str">
        <f>TEXT(IF(B58&lt;0, A58+1+((B58+(G58/24))-(INT(B58+(G58/24)))), A58+(B58+(G58/24))), "yyyy-mm-dd")</f>
        <v>2024-09-19</v>
      </c>
      <c r="I58" s="2" t="str">
        <f>TEXT(IF(B58&lt;0, A58+1+((B58+(G58/24))-(INT(B58+(G58/24)))), A58+(B58+(G58/24))), "hh:mm")</f>
        <v>20:00</v>
      </c>
    </row>
    <row r="59" spans="1:9" x14ac:dyDescent="0.25">
      <c r="A59" s="23">
        <v>45554</v>
      </c>
      <c r="B59" s="20">
        <v>0.625</v>
      </c>
      <c r="C59" s="20" t="s">
        <v>8</v>
      </c>
      <c r="D59" s="29" t="s">
        <v>234</v>
      </c>
      <c r="E59" s="32" t="s">
        <v>72</v>
      </c>
      <c r="F59" s="8">
        <f>(INT(Table_Tajikistan[[#This Row],[Date]]) - DATE(1970, 1, 1)) * 86400000</f>
        <v>1726704000000</v>
      </c>
      <c r="G59" s="10">
        <f>'GMT Glossary'!$B$11</f>
        <v>5</v>
      </c>
      <c r="H59" s="2" t="str">
        <f>TEXT(IF(B59&lt;0, A59+1+((B59+(G59/24))-(INT(B59+(G59/24)))), A59+(B59+(G59/24))), "yyyy-mm-dd")</f>
        <v>2024-09-19</v>
      </c>
      <c r="I59" s="2" t="str">
        <f>TEXT(IF(B59&lt;0, A59+1+((B59+(G59/24))-(INT(B59+(G59/24)))), A59+(B59+(G59/24))), "hh:mm")</f>
        <v>20:00</v>
      </c>
    </row>
    <row r="60" spans="1:9" x14ac:dyDescent="0.25">
      <c r="A60" s="28">
        <v>45554</v>
      </c>
      <c r="B60" s="27">
        <v>0.70833333333333337</v>
      </c>
      <c r="C60" s="27" t="s">
        <v>8</v>
      </c>
      <c r="D60" s="30" t="s">
        <v>207</v>
      </c>
      <c r="E60" s="9" t="s">
        <v>21</v>
      </c>
      <c r="F60" s="8">
        <f>(INT(Table_Tajikistan[[#This Row],[Date]]) - DATE(1970, 1, 1)) * 86400000</f>
        <v>1726704000000</v>
      </c>
      <c r="G60">
        <f>'GMT Glossary'!$B$11</f>
        <v>5</v>
      </c>
      <c r="H60" s="2" t="str">
        <f>TEXT(IF(B60&lt;0, A60+1+((B60+(G60/24))-(INT(B60+(G60/24)))), A60+(B60+(G60/24))), "yyyy-mm-dd")</f>
        <v>2024-09-19</v>
      </c>
      <c r="I60" s="2" t="str">
        <f>TEXT(IF(B60&lt;0, A60+1+((B60+(G60/24))-(INT(B60+(G60/24)))), A60+(B60+(G60/24))), "hh:mm")</f>
        <v>22:00</v>
      </c>
    </row>
    <row r="61" spans="1:9" x14ac:dyDescent="0.25">
      <c r="A61" s="28">
        <v>45554</v>
      </c>
      <c r="B61" s="27">
        <v>0.70833333333333337</v>
      </c>
      <c r="C61" s="27" t="s">
        <v>8</v>
      </c>
      <c r="D61" s="30" t="s">
        <v>89</v>
      </c>
      <c r="E61" s="9" t="s">
        <v>72</v>
      </c>
      <c r="F61" s="8">
        <f>(INT(Table_Tajikistan[[#This Row],[Date]]) - DATE(1970, 1, 1)) * 86400000</f>
        <v>1726704000000</v>
      </c>
      <c r="G61">
        <f>'GMT Glossary'!$B$11</f>
        <v>5</v>
      </c>
      <c r="H61" s="2" t="str">
        <f>TEXT(IF(B61&lt;0, A61+1+((B61+(G61/24))-(INT(B61+(G61/24)))), A61+(B61+(G61/24))), "yyyy-mm-dd")</f>
        <v>2024-09-19</v>
      </c>
      <c r="I61" s="2" t="str">
        <f>TEXT(IF(B61&lt;0, A61+1+((B61+(G61/24))-(INT(B61+(G61/24)))), A61+(B61+(G61/24))), "hh:mm")</f>
        <v>22:00</v>
      </c>
    </row>
    <row r="62" spans="1:9" x14ac:dyDescent="0.25">
      <c r="A62" s="23">
        <v>45554</v>
      </c>
      <c r="B62" s="20">
        <v>0.79166666666666663</v>
      </c>
      <c r="C62" s="20" t="s">
        <v>8</v>
      </c>
      <c r="D62" s="29" t="s">
        <v>197</v>
      </c>
      <c r="E62" s="32" t="s">
        <v>21</v>
      </c>
      <c r="F62" s="8">
        <f>(INT(Table_Tajikistan[[#This Row],[Date]]) - DATE(1970, 1, 1)) * 86400000</f>
        <v>1726704000000</v>
      </c>
      <c r="G62" s="10">
        <f>'GMT Glossary'!$B$11</f>
        <v>5</v>
      </c>
      <c r="H62" s="2" t="str">
        <f>TEXT(IF(B62&lt;0, A62+1+((B62+(G62/24))-(INT(B62+(G62/24)))), A62+(B62+(G62/24))), "yyyy-mm-dd")</f>
        <v>2024-09-20</v>
      </c>
      <c r="I62" s="2" t="str">
        <f>TEXT(IF(B62&lt;0, A62+1+((B62+(G62/24))-(INT(B62+(G62/24)))), A62+(B62+(G62/24))), "hh:mm")</f>
        <v>00:00</v>
      </c>
    </row>
    <row r="63" spans="1:9" x14ac:dyDescent="0.25">
      <c r="A63" s="23">
        <v>45554</v>
      </c>
      <c r="B63" s="20">
        <v>0.79166666666666663</v>
      </c>
      <c r="C63" s="20" t="s">
        <v>8</v>
      </c>
      <c r="D63" s="29" t="s">
        <v>42</v>
      </c>
      <c r="E63" s="32" t="s">
        <v>72</v>
      </c>
      <c r="F63" s="8">
        <f>(INT(Table_Tajikistan[[#This Row],[Date]]) - DATE(1970, 1, 1)) * 86400000</f>
        <v>1726704000000</v>
      </c>
      <c r="G63" s="10">
        <f>'GMT Glossary'!$B$11</f>
        <v>5</v>
      </c>
      <c r="H63" s="2" t="str">
        <f>TEXT(IF(B63&lt;0, A63+1+((B63+(G63/24))-(INT(B63+(G63/24)))), A63+(B63+(G63/24))), "yyyy-mm-dd")</f>
        <v>2024-09-20</v>
      </c>
      <c r="I63" s="2" t="str">
        <f>TEXT(IF(B63&lt;0, A63+1+((B63+(G63/24))-(INT(B63+(G63/24)))), A63+(B63+(G63/24))), "hh:mm")</f>
        <v>00:00</v>
      </c>
    </row>
    <row r="64" spans="1:9" x14ac:dyDescent="0.25">
      <c r="A64" s="28">
        <v>45554</v>
      </c>
      <c r="B64" s="27">
        <v>0.875</v>
      </c>
      <c r="C64" s="27" t="s">
        <v>8</v>
      </c>
      <c r="D64" s="30" t="s">
        <v>77</v>
      </c>
      <c r="E64" s="9" t="s">
        <v>21</v>
      </c>
      <c r="F64" s="8">
        <f>(INT(Table_Tajikistan[[#This Row],[Date]]) - DATE(1970, 1, 1)) * 86400000</f>
        <v>1726704000000</v>
      </c>
      <c r="G64">
        <f>'GMT Glossary'!$B$11</f>
        <v>5</v>
      </c>
      <c r="H64" s="2" t="str">
        <f>TEXT(IF(B64&lt;0, A64+1+((B64+(G64/24))-(INT(B64+(G64/24)))), A64+(B64+(G64/24))), "yyyy-mm-dd")</f>
        <v>2024-09-20</v>
      </c>
      <c r="I64" s="2" t="str">
        <f>TEXT(IF(B64&lt;0, A64+1+((B64+(G64/24))-(INT(B64+(G64/24)))), A64+(B64+(G64/24))), "hh:mm")</f>
        <v>02:00</v>
      </c>
    </row>
    <row r="65" spans="1:9" x14ac:dyDescent="0.25">
      <c r="A65" s="28">
        <v>45554</v>
      </c>
      <c r="B65" s="27">
        <v>0.875</v>
      </c>
      <c r="C65" s="27" t="s">
        <v>8</v>
      </c>
      <c r="D65" s="30" t="s">
        <v>88</v>
      </c>
      <c r="E65" s="9" t="s">
        <v>72</v>
      </c>
      <c r="F65" s="8">
        <f>(INT(Table_Tajikistan[[#This Row],[Date]]) - DATE(1970, 1, 1)) * 86400000</f>
        <v>1726704000000</v>
      </c>
      <c r="G65">
        <f>'GMT Glossary'!$B$11</f>
        <v>5</v>
      </c>
      <c r="H65" s="2" t="str">
        <f>TEXT(IF(B65&lt;0, A65+1+((B65+(G65/24))-(INT(B65+(G65/24)))), A65+(B65+(G65/24))), "yyyy-mm-dd")</f>
        <v>2024-09-20</v>
      </c>
      <c r="I65" s="2" t="str">
        <f>TEXT(IF(B65&lt;0, A65+1+((B65+(G65/24))-(INT(B65+(G65/24)))), A65+(B65+(G65/24))), "hh:mm")</f>
        <v>02:00</v>
      </c>
    </row>
    <row r="66" spans="1:9" x14ac:dyDescent="0.25">
      <c r="A66" s="23">
        <v>45554</v>
      </c>
      <c r="B66" s="20">
        <v>0.95833333333333337</v>
      </c>
      <c r="C66" s="20" t="s">
        <v>8</v>
      </c>
      <c r="D66" s="24" t="s">
        <v>76</v>
      </c>
      <c r="E66" s="32" t="s">
        <v>21</v>
      </c>
      <c r="F66" s="8">
        <f>(INT(Table_Tajikistan[[#This Row],[Date]]) - DATE(1970, 1, 1)) * 86400000</f>
        <v>1726704000000</v>
      </c>
      <c r="G66" s="10">
        <f>'GMT Glossary'!$B$11</f>
        <v>5</v>
      </c>
      <c r="H66" s="2" t="str">
        <f>TEXT(IF(B66&lt;0, A66+1+((B66+(G66/24))-(INT(B66+(G66/24)))), A66+(B66+(G66/24))), "yyyy-mm-dd")</f>
        <v>2024-09-20</v>
      </c>
      <c r="I66" s="2" t="str">
        <f>TEXT(IF(B66&lt;0, A66+1+((B66+(G66/24))-(INT(B66+(G66/24)))), A66+(B66+(G66/24))), "hh:mm")</f>
        <v>04:00</v>
      </c>
    </row>
    <row r="67" spans="1:9" x14ac:dyDescent="0.25">
      <c r="A67" s="23">
        <v>45554</v>
      </c>
      <c r="B67" s="20">
        <v>0.95833333333333337</v>
      </c>
      <c r="C67" s="20" t="s">
        <v>8</v>
      </c>
      <c r="D67" s="30" t="s">
        <v>93</v>
      </c>
      <c r="E67" s="32" t="s">
        <v>72</v>
      </c>
      <c r="F67" s="8">
        <f>(INT(Table_Tajikistan[[#This Row],[Date]]) - DATE(1970, 1, 1)) * 86400000</f>
        <v>1726704000000</v>
      </c>
      <c r="G67" s="10">
        <f>'GMT Glossary'!$B$11</f>
        <v>5</v>
      </c>
      <c r="H67" s="2" t="str">
        <f>TEXT(IF(B67&lt;0, A67+1+((B67+(G67/24))-(INT(B67+(G67/24)))), A67+(B67+(G67/24))), "yyyy-mm-dd")</f>
        <v>2024-09-20</v>
      </c>
      <c r="I67" s="2" t="str">
        <f>TEXT(IF(B67&lt;0, A67+1+((B67+(G67/24))-(INT(B67+(G67/24)))), A67+(B67+(G67/24))), "hh:mm")</f>
        <v>04:00</v>
      </c>
    </row>
    <row r="68" spans="1:9" x14ac:dyDescent="0.25">
      <c r="A68" s="28">
        <v>45555</v>
      </c>
      <c r="B68" s="27">
        <v>4.1666666666666664E-2</v>
      </c>
      <c r="C68" s="27" t="s">
        <v>8</v>
      </c>
      <c r="D68" s="25" t="s">
        <v>198</v>
      </c>
      <c r="E68" s="9" t="s">
        <v>21</v>
      </c>
      <c r="F68" s="8">
        <f>(INT(Table_Tajikistan[[#This Row],[Date]]) - DATE(1970, 1, 1)) * 86400000</f>
        <v>1726790400000</v>
      </c>
      <c r="G68">
        <f>'GMT Glossary'!$B$11</f>
        <v>5</v>
      </c>
      <c r="H68" s="2" t="str">
        <f>TEXT(IF(B68&lt;0, A68+1+((B68+(G68/24))-(INT(B68+(G68/24)))), A68+(B68+(G68/24))), "yyyy-mm-dd")</f>
        <v>2024-09-20</v>
      </c>
      <c r="I68" s="2" t="str">
        <f>TEXT(IF(B68&lt;0, A68+1+((B68+(G68/24))-(INT(B68+(G68/24)))), A68+(B68+(G68/24))), "hh:mm")</f>
        <v>06:00</v>
      </c>
    </row>
    <row r="69" spans="1:9" x14ac:dyDescent="0.25">
      <c r="A69" s="28">
        <v>45555</v>
      </c>
      <c r="B69" s="27">
        <v>4.1666666666666664E-2</v>
      </c>
      <c r="C69" s="27" t="s">
        <v>402</v>
      </c>
      <c r="D69" s="30" t="s">
        <v>83</v>
      </c>
      <c r="E69" s="9" t="s">
        <v>72</v>
      </c>
      <c r="F69" s="8">
        <f>(INT(Table_Tajikistan[[#This Row],[Date]]) - DATE(1970, 1, 1)) * 86400000</f>
        <v>1726790400000</v>
      </c>
      <c r="G69">
        <f>'GMT Glossary'!$B$11</f>
        <v>5</v>
      </c>
      <c r="H69" s="2" t="str">
        <f>TEXT(IF(B69&lt;0, A69+1+((B69+(G69/24))-(INT(B69+(G69/24)))), A69+(B69+(G69/24))), "yyyy-mm-dd")</f>
        <v>2024-09-20</v>
      </c>
      <c r="I69" s="2" t="str">
        <f>TEXT(IF(B69&lt;0, A69+1+((B69+(G69/24))-(INT(B69+(G69/24)))), A69+(B69+(G69/24))), "hh:mm")</f>
        <v>06:00</v>
      </c>
    </row>
    <row r="70" spans="1:9" x14ac:dyDescent="0.25">
      <c r="A70" s="23">
        <v>45555</v>
      </c>
      <c r="B70" s="20">
        <v>0.125</v>
      </c>
      <c r="C70" s="20" t="s">
        <v>8</v>
      </c>
      <c r="D70" s="29" t="s">
        <v>74</v>
      </c>
      <c r="E70" s="32" t="s">
        <v>21</v>
      </c>
      <c r="F70" s="8">
        <f>(INT(Table_Tajikistan[[#This Row],[Date]]) - DATE(1970, 1, 1)) * 86400000</f>
        <v>1726790400000</v>
      </c>
      <c r="G70" s="10">
        <f>'GMT Glossary'!$B$11</f>
        <v>5</v>
      </c>
      <c r="H70" s="2" t="str">
        <f>TEXT(IF(B70&lt;0, A70+1+((B70+(G70/24))-(INT(B70+(G70/24)))), A70+(B70+(G70/24))), "yyyy-mm-dd")</f>
        <v>2024-09-20</v>
      </c>
      <c r="I70" s="2" t="str">
        <f>TEXT(IF(B70&lt;0, A70+1+((B70+(G70/24))-(INT(B70+(G70/24)))), A70+(B70+(G70/24))), "hh:mm")</f>
        <v>08:00</v>
      </c>
    </row>
    <row r="71" spans="1:9" x14ac:dyDescent="0.25">
      <c r="A71" s="23">
        <v>45555</v>
      </c>
      <c r="B71" s="20">
        <v>0.125</v>
      </c>
      <c r="C71" s="20" t="s">
        <v>8</v>
      </c>
      <c r="D71" s="29" t="s">
        <v>235</v>
      </c>
      <c r="E71" s="32" t="s">
        <v>72</v>
      </c>
      <c r="F71" s="8">
        <f>(INT(Table_Tajikistan[[#This Row],[Date]]) - DATE(1970, 1, 1)) * 86400000</f>
        <v>1726790400000</v>
      </c>
      <c r="G71" s="10">
        <f>'GMT Glossary'!$B$11</f>
        <v>5</v>
      </c>
      <c r="H71" s="2" t="str">
        <f>TEXT(IF(B71&lt;0, A71+1+((B71+(G71/24))-(INT(B71+(G71/24)))), A71+(B71+(G71/24))), "yyyy-mm-dd")</f>
        <v>2024-09-20</v>
      </c>
      <c r="I71" s="2" t="str">
        <f>TEXT(IF(B71&lt;0, A71+1+((B71+(G71/24))-(INT(B71+(G71/24)))), A71+(B71+(G71/24))), "hh:mm")</f>
        <v>08:00</v>
      </c>
    </row>
    <row r="72" spans="1:9" x14ac:dyDescent="0.25">
      <c r="A72" s="28">
        <v>45555</v>
      </c>
      <c r="B72" s="27">
        <v>0.20833333333333334</v>
      </c>
      <c r="C72" s="27" t="s">
        <v>8</v>
      </c>
      <c r="D72" s="30" t="s">
        <v>80</v>
      </c>
      <c r="E72" s="9" t="s">
        <v>21</v>
      </c>
      <c r="F72" s="8">
        <f>(INT(Table_Tajikistan[[#This Row],[Date]]) - DATE(1970, 1, 1)) * 86400000</f>
        <v>1726790400000</v>
      </c>
      <c r="G72">
        <f>'GMT Glossary'!$B$11</f>
        <v>5</v>
      </c>
      <c r="H72" s="2" t="str">
        <f>TEXT(IF(B72&lt;0, A72+1+((B72+(G72/24))-(INT(B72+(G72/24)))), A72+(B72+(G72/24))), "yyyy-mm-dd")</f>
        <v>2024-09-20</v>
      </c>
      <c r="I72" s="2" t="str">
        <f>TEXT(IF(B72&lt;0, A72+1+((B72+(G72/24))-(INT(B72+(G72/24)))), A72+(B72+(G72/24))), "hh:mm")</f>
        <v>10:00</v>
      </c>
    </row>
    <row r="73" spans="1:9" x14ac:dyDescent="0.25">
      <c r="A73" s="28">
        <v>45555</v>
      </c>
      <c r="B73" s="27">
        <v>0.20833333333333334</v>
      </c>
      <c r="C73" s="27" t="s">
        <v>398</v>
      </c>
      <c r="D73" s="30" t="s">
        <v>236</v>
      </c>
      <c r="E73" s="9" t="s">
        <v>72</v>
      </c>
      <c r="F73" s="8">
        <f>(INT(Table_Tajikistan[[#This Row],[Date]]) - DATE(1970, 1, 1)) * 86400000</f>
        <v>1726790400000</v>
      </c>
      <c r="G73">
        <f>'GMT Glossary'!$B$11</f>
        <v>5</v>
      </c>
      <c r="H73" s="2" t="str">
        <f>TEXT(IF(B73&lt;0, A73+1+((B73+(G73/24))-(INT(B73+(G73/24)))), A73+(B73+(G73/24))), "yyyy-mm-dd")</f>
        <v>2024-09-20</v>
      </c>
      <c r="I73" s="2" t="str">
        <f>TEXT(IF(B73&lt;0, A73+1+((B73+(G73/24))-(INT(B73+(G73/24)))), A73+(B73+(G73/24))), "hh:mm")</f>
        <v>10:00</v>
      </c>
    </row>
    <row r="74" spans="1:9" x14ac:dyDescent="0.25">
      <c r="A74" s="23">
        <v>45555</v>
      </c>
      <c r="B74" s="20">
        <v>0.27083333333333331</v>
      </c>
      <c r="C74" s="20" t="s">
        <v>398</v>
      </c>
      <c r="D74" s="25" t="s">
        <v>237</v>
      </c>
      <c r="E74" s="32" t="s">
        <v>72</v>
      </c>
      <c r="F74" s="8">
        <f>(INT(Table_Tajikistan[[#This Row],[Date]]) - DATE(1970, 1, 1)) * 86400000</f>
        <v>1726790400000</v>
      </c>
      <c r="G74" s="10">
        <f>'GMT Glossary'!$B$11</f>
        <v>5</v>
      </c>
      <c r="H74" s="2" t="str">
        <f>TEXT(IF(B74&lt;0, A74+1+((B74+(G74/24))-(INT(B74+(G74/24)))), A74+(B74+(G74/24))), "yyyy-mm-dd")</f>
        <v>2024-09-20</v>
      </c>
      <c r="I74" s="2" t="str">
        <f>TEXT(IF(B74&lt;0, A74+1+((B74+(G74/24))-(INT(B74+(G74/24)))), A74+(B74+(G74/24))), "hh:mm")</f>
        <v>11:30</v>
      </c>
    </row>
    <row r="75" spans="1:9" x14ac:dyDescent="0.25">
      <c r="A75" s="23">
        <v>45555</v>
      </c>
      <c r="B75" s="20">
        <v>0.29166666666666669</v>
      </c>
      <c r="C75" s="20" t="s">
        <v>8</v>
      </c>
      <c r="D75" s="30" t="s">
        <v>205</v>
      </c>
      <c r="E75" s="32" t="s">
        <v>21</v>
      </c>
      <c r="F75" s="8">
        <f>(INT(Table_Tajikistan[[#This Row],[Date]]) - DATE(1970, 1, 1)) * 86400000</f>
        <v>1726790400000</v>
      </c>
      <c r="G75" s="10">
        <f>'GMT Glossary'!$B$11</f>
        <v>5</v>
      </c>
      <c r="H75" s="2" t="str">
        <f>TEXT(IF(B75&lt;0, A75+1+((B75+(G75/24))-(INT(B75+(G75/24)))), A75+(B75+(G75/24))), "yyyy-mm-dd")</f>
        <v>2024-09-20</v>
      </c>
      <c r="I75" s="2" t="str">
        <f>TEXT(IF(B75&lt;0, A75+1+((B75+(G75/24))-(INT(B75+(G75/24)))), A75+(B75+(G75/24))), "hh:mm")</f>
        <v>12:00</v>
      </c>
    </row>
    <row r="76" spans="1:9" x14ac:dyDescent="0.25">
      <c r="A76" s="28">
        <v>45555</v>
      </c>
      <c r="B76" s="27">
        <v>0.33333333333333331</v>
      </c>
      <c r="C76" s="27" t="s">
        <v>398</v>
      </c>
      <c r="D76" s="30" t="s">
        <v>238</v>
      </c>
      <c r="E76" s="9" t="s">
        <v>72</v>
      </c>
      <c r="F76" s="8">
        <f>(INT(Table_Tajikistan[[#This Row],[Date]]) - DATE(1970, 1, 1)) * 86400000</f>
        <v>1726790400000</v>
      </c>
      <c r="G76">
        <f>'GMT Glossary'!$B$11</f>
        <v>5</v>
      </c>
      <c r="H76" s="2" t="str">
        <f>TEXT(IF(B76&lt;0, A76+1+((B76+(G76/24))-(INT(B76+(G76/24)))), A76+(B76+(G76/24))), "yyyy-mm-dd")</f>
        <v>2024-09-20</v>
      </c>
      <c r="I76" s="2" t="str">
        <f>TEXT(IF(B76&lt;0, A76+1+((B76+(G76/24))-(INT(B76+(G76/24)))), A76+(B76+(G76/24))), "hh:mm")</f>
        <v>13:00</v>
      </c>
    </row>
    <row r="77" spans="1:9" x14ac:dyDescent="0.25">
      <c r="A77" s="28">
        <v>45555</v>
      </c>
      <c r="B77" s="27">
        <v>0.375</v>
      </c>
      <c r="C77" s="27" t="s">
        <v>8</v>
      </c>
      <c r="D77" s="30" t="s">
        <v>203</v>
      </c>
      <c r="E77" s="9" t="s">
        <v>21</v>
      </c>
      <c r="F77" s="8">
        <f>(INT(Table_Tajikistan[[#This Row],[Date]]) - DATE(1970, 1, 1)) * 86400000</f>
        <v>1726790400000</v>
      </c>
      <c r="G77">
        <f>'GMT Glossary'!$B$11</f>
        <v>5</v>
      </c>
      <c r="H77" s="2" t="str">
        <f>TEXT(IF(B77&lt;0, A77+1+((B77+(G77/24))-(INT(B77+(G77/24)))), A77+(B77+(G77/24))), "yyyy-mm-dd")</f>
        <v>2024-09-20</v>
      </c>
      <c r="I77" s="2" t="str">
        <f>TEXT(IF(B77&lt;0, A77+1+((B77+(G77/24))-(INT(B77+(G77/24)))), A77+(B77+(G77/24))), "hh:mm")</f>
        <v>14:00</v>
      </c>
    </row>
    <row r="78" spans="1:9" x14ac:dyDescent="0.25">
      <c r="A78" s="23">
        <v>45555</v>
      </c>
      <c r="B78" s="20">
        <v>0.41666666666666669</v>
      </c>
      <c r="C78" s="20" t="s">
        <v>398</v>
      </c>
      <c r="D78" s="29" t="s">
        <v>239</v>
      </c>
      <c r="E78" s="32" t="s">
        <v>72</v>
      </c>
      <c r="F78" s="8">
        <f>(INT(Table_Tajikistan[[#This Row],[Date]]) - DATE(1970, 1, 1)) * 86400000</f>
        <v>1726790400000</v>
      </c>
      <c r="G78" s="10">
        <f>'GMT Glossary'!$B$11</f>
        <v>5</v>
      </c>
      <c r="H78" s="2" t="str">
        <f>TEXT(IF(B78&lt;0, A78+1+((B78+(G78/24))-(INT(B78+(G78/24)))), A78+(B78+(G78/24))), "yyyy-mm-dd")</f>
        <v>2024-09-20</v>
      </c>
      <c r="I78" s="2" t="str">
        <f>TEXT(IF(B78&lt;0, A78+1+((B78+(G78/24))-(INT(B78+(G78/24)))), A78+(B78+(G78/24))), "hh:mm")</f>
        <v>15:00</v>
      </c>
    </row>
    <row r="79" spans="1:9" x14ac:dyDescent="0.25">
      <c r="A79" s="23">
        <v>45555</v>
      </c>
      <c r="B79" s="20">
        <v>0.45833333333333331</v>
      </c>
      <c r="C79" s="20" t="s">
        <v>8</v>
      </c>
      <c r="D79" s="29" t="s">
        <v>73</v>
      </c>
      <c r="E79" s="32" t="s">
        <v>21</v>
      </c>
      <c r="F79" s="8">
        <f>(INT(Table_Tajikistan[[#This Row],[Date]]) - DATE(1970, 1, 1)) * 86400000</f>
        <v>1726790400000</v>
      </c>
      <c r="G79" s="10">
        <f>'GMT Glossary'!$B$11</f>
        <v>5</v>
      </c>
      <c r="H79" s="2" t="str">
        <f>TEXT(IF(B79&lt;0, A79+1+((B79+(G79/24))-(INT(B79+(G79/24)))), A79+(B79+(G79/24))), "yyyy-mm-dd")</f>
        <v>2024-09-20</v>
      </c>
      <c r="I79" s="2" t="str">
        <f>TEXT(IF(B79&lt;0, A79+1+((B79+(G79/24))-(INT(B79+(G79/24)))), A79+(B79+(G79/24))), "hh:mm")</f>
        <v>16:00</v>
      </c>
    </row>
    <row r="80" spans="1:9" x14ac:dyDescent="0.25">
      <c r="A80" s="23">
        <v>45555</v>
      </c>
      <c r="B80" s="20">
        <v>0.54166666666666663</v>
      </c>
      <c r="C80" s="20" t="s">
        <v>8</v>
      </c>
      <c r="D80" s="29" t="s">
        <v>78</v>
      </c>
      <c r="E80" s="32" t="s">
        <v>21</v>
      </c>
      <c r="F80" s="8">
        <f>(INT(Table_Tajikistan[[#This Row],[Date]]) - DATE(1970, 1, 1)) * 86400000</f>
        <v>1726790400000</v>
      </c>
      <c r="G80" s="10">
        <f>'GMT Glossary'!$B$11</f>
        <v>5</v>
      </c>
      <c r="H80" s="2" t="str">
        <f>TEXT(IF(B80&lt;0, A80+1+((B80+(G80/24))-(INT(B80+(G80/24)))), A80+(B80+(G80/24))), "yyyy-mm-dd")</f>
        <v>2024-09-20</v>
      </c>
      <c r="I80" s="2" t="str">
        <f>TEXT(IF(B80&lt;0, A80+1+((B80+(G80/24))-(INT(B80+(G80/24)))), A80+(B80+(G80/24))), "hh:mm")</f>
        <v>18:00</v>
      </c>
    </row>
    <row r="81" spans="1:9" x14ac:dyDescent="0.25">
      <c r="A81" s="28">
        <v>45555</v>
      </c>
      <c r="B81" s="27">
        <v>0.54166666666666663</v>
      </c>
      <c r="C81" s="27" t="s">
        <v>8</v>
      </c>
      <c r="D81" s="25" t="s">
        <v>232</v>
      </c>
      <c r="E81" s="9" t="s">
        <v>72</v>
      </c>
      <c r="F81" s="8">
        <f>(INT(Table_Tajikistan[[#This Row],[Date]]) - DATE(1970, 1, 1)) * 86400000</f>
        <v>1726790400000</v>
      </c>
      <c r="G81">
        <f>'GMT Glossary'!$B$11</f>
        <v>5</v>
      </c>
      <c r="H81" s="2" t="str">
        <f>TEXT(IF(B81&lt;0, A81+1+((B81+(G81/24))-(INT(B81+(G81/24)))), A81+(B81+(G81/24))), "yyyy-mm-dd")</f>
        <v>2024-09-20</v>
      </c>
      <c r="I81" s="2" t="str">
        <f>TEXT(IF(B81&lt;0, A81+1+((B81+(G81/24))-(INT(B81+(G81/24)))), A81+(B81+(G81/24))), "hh:mm")</f>
        <v>18:00</v>
      </c>
    </row>
    <row r="82" spans="1:9" x14ac:dyDescent="0.25">
      <c r="A82" s="28">
        <v>45555</v>
      </c>
      <c r="B82" s="27">
        <v>0.625</v>
      </c>
      <c r="C82" s="27" t="s">
        <v>8</v>
      </c>
      <c r="D82" s="30" t="s">
        <v>59</v>
      </c>
      <c r="E82" s="9" t="s">
        <v>21</v>
      </c>
      <c r="F82" s="8">
        <f>(INT(Table_Tajikistan[[#This Row],[Date]]) - DATE(1970, 1, 1)) * 86400000</f>
        <v>1726790400000</v>
      </c>
      <c r="G82">
        <f>'GMT Glossary'!$B$11</f>
        <v>5</v>
      </c>
      <c r="H82" s="2" t="str">
        <f>TEXT(IF(B82&lt;0, A82+1+((B82+(G82/24))-(INT(B82+(G82/24)))), A82+(B82+(G82/24))), "yyyy-mm-dd")</f>
        <v>2024-09-20</v>
      </c>
      <c r="I82" s="2" t="str">
        <f>TEXT(IF(B82&lt;0, A82+1+((B82+(G82/24))-(INT(B82+(G82/24)))), A82+(B82+(G82/24))), "hh:mm")</f>
        <v>20:00</v>
      </c>
    </row>
    <row r="83" spans="1:9" x14ac:dyDescent="0.25">
      <c r="A83" s="23">
        <v>45555</v>
      </c>
      <c r="B83" s="20">
        <v>0.64583333333333337</v>
      </c>
      <c r="C83" s="20" t="s">
        <v>399</v>
      </c>
      <c r="D83" s="24" t="s">
        <v>131</v>
      </c>
      <c r="E83" s="32" t="s">
        <v>72</v>
      </c>
      <c r="F83" s="8">
        <f>(INT(Table_Tajikistan[[#This Row],[Date]]) - DATE(1970, 1, 1)) * 86400000</f>
        <v>1726790400000</v>
      </c>
      <c r="G83" s="10">
        <f>'GMT Glossary'!$B$11</f>
        <v>5</v>
      </c>
      <c r="H83" s="2" t="str">
        <f>TEXT(IF(B83&lt;0, A83+1+((B83+(G83/24))-(INT(B83+(G83/24)))), A83+(B83+(G83/24))), "yyyy-mm-dd")</f>
        <v>2024-09-20</v>
      </c>
      <c r="I83" s="2" t="str">
        <f>TEXT(IF(B83&lt;0, A83+1+((B83+(G83/24))-(INT(B83+(G83/24)))), A83+(B83+(G83/24))), "hh:mm")</f>
        <v>20:30</v>
      </c>
    </row>
    <row r="84" spans="1:9" x14ac:dyDescent="0.25">
      <c r="A84" s="23">
        <v>45555</v>
      </c>
      <c r="B84" s="20">
        <v>0.6875</v>
      </c>
      <c r="C84" s="20" t="s">
        <v>8</v>
      </c>
      <c r="D84" s="30" t="s">
        <v>208</v>
      </c>
      <c r="E84" s="32" t="s">
        <v>21</v>
      </c>
      <c r="F84" s="8">
        <f>(INT(Table_Tajikistan[[#This Row],[Date]]) - DATE(1970, 1, 1)) * 86400000</f>
        <v>1726790400000</v>
      </c>
      <c r="G84" s="10">
        <f>'GMT Glossary'!$B$11</f>
        <v>5</v>
      </c>
      <c r="H84" s="2" t="str">
        <f>TEXT(IF(B84&lt;0, A84+1+((B84+(G84/24))-(INT(B84+(G84/24)))), A84+(B84+(G84/24))), "yyyy-mm-dd")</f>
        <v>2024-09-20</v>
      </c>
      <c r="I84" s="2" t="str">
        <f>TEXT(IF(B84&lt;0, A84+1+((B84+(G84/24))-(INT(B84+(G84/24)))), A84+(B84+(G84/24))), "hh:mm")</f>
        <v>21:30</v>
      </c>
    </row>
    <row r="85" spans="1:9" x14ac:dyDescent="0.25">
      <c r="A85" s="28">
        <v>45555</v>
      </c>
      <c r="B85" s="27">
        <v>0.78125</v>
      </c>
      <c r="C85" s="27" t="s">
        <v>8</v>
      </c>
      <c r="D85" s="30" t="s">
        <v>209</v>
      </c>
      <c r="E85" s="9" t="s">
        <v>21</v>
      </c>
      <c r="F85" s="8">
        <f>(INT(Table_Tajikistan[[#This Row],[Date]]) - DATE(1970, 1, 1)) * 86400000</f>
        <v>1726790400000</v>
      </c>
      <c r="G85">
        <f>'GMT Glossary'!$B$11</f>
        <v>5</v>
      </c>
      <c r="H85" s="2" t="str">
        <f>TEXT(IF(B85&lt;0, A85+1+((B85+(G85/24))-(INT(B85+(G85/24)))), A85+(B85+(G85/24))), "yyyy-mm-dd")</f>
        <v>2024-09-20</v>
      </c>
      <c r="I85" s="2" t="str">
        <f>TEXT(IF(B85&lt;0, A85+1+((B85+(G85/24))-(INT(B85+(G85/24)))), A85+(B85+(G85/24))), "hh:mm")</f>
        <v>23:45</v>
      </c>
    </row>
    <row r="86" spans="1:9" x14ac:dyDescent="0.25">
      <c r="A86" s="28">
        <v>45555</v>
      </c>
      <c r="B86" s="27">
        <v>0.79166666666666663</v>
      </c>
      <c r="C86" s="27" t="s">
        <v>8</v>
      </c>
      <c r="D86" s="25" t="s">
        <v>90</v>
      </c>
      <c r="E86" s="9" t="s">
        <v>72</v>
      </c>
      <c r="F86" s="8">
        <f>(INT(Table_Tajikistan[[#This Row],[Date]]) - DATE(1970, 1, 1)) * 86400000</f>
        <v>1726790400000</v>
      </c>
      <c r="G86">
        <f>'GMT Glossary'!$B$11</f>
        <v>5</v>
      </c>
      <c r="H86" s="2" t="str">
        <f>TEXT(IF(B86&lt;0, A86+1+((B86+(G86/24))-(INT(B86+(G86/24)))), A86+(B86+(G86/24))), "yyyy-mm-dd")</f>
        <v>2024-09-21</v>
      </c>
      <c r="I86" s="2" t="str">
        <f>TEXT(IF(B86&lt;0, A86+1+((B86+(G86/24))-(INT(B86+(G86/24)))), A86+(B86+(G86/24))), "hh:mm")</f>
        <v>00:00</v>
      </c>
    </row>
    <row r="87" spans="1:9" x14ac:dyDescent="0.25">
      <c r="A87" s="28">
        <v>45555</v>
      </c>
      <c r="B87" s="27">
        <v>0.875</v>
      </c>
      <c r="C87" s="27" t="s">
        <v>8</v>
      </c>
      <c r="D87" s="30" t="s">
        <v>79</v>
      </c>
      <c r="E87" s="31" t="s">
        <v>21</v>
      </c>
      <c r="F87" s="8">
        <f>(INT(Table_Tajikistan[[#This Row],[Date]]) - DATE(1970, 1, 1)) * 86400000</f>
        <v>1726790400000</v>
      </c>
      <c r="G87">
        <f>'GMT Glossary'!$B$11</f>
        <v>5</v>
      </c>
      <c r="H87" s="2" t="str">
        <f>TEXT(IF(B87&lt;0, A87+1+((B87+(G87/24))-(INT(B87+(G87/24)))), A87+(B87+(G87/24))), "yyyy-mm-dd")</f>
        <v>2024-09-21</v>
      </c>
      <c r="I87" s="2" t="str">
        <f>TEXT(IF(B87&lt;0, A87+1+((B87+(G87/24))-(INT(B87+(G87/24)))), A87+(B87+(G87/24))), "hh:mm")</f>
        <v>02:00</v>
      </c>
    </row>
    <row r="88" spans="1:9" x14ac:dyDescent="0.25">
      <c r="A88" s="23">
        <v>45555</v>
      </c>
      <c r="B88" s="20">
        <v>0.875</v>
      </c>
      <c r="C88" s="20" t="s">
        <v>8</v>
      </c>
      <c r="D88" s="24" t="s">
        <v>64</v>
      </c>
      <c r="E88" s="11" t="s">
        <v>72</v>
      </c>
      <c r="F88" s="8">
        <f>(INT(Table_Tajikistan[[#This Row],[Date]]) - DATE(1970, 1, 1)) * 86400000</f>
        <v>1726790400000</v>
      </c>
      <c r="G88" s="10">
        <f>'GMT Glossary'!$B$11</f>
        <v>5</v>
      </c>
      <c r="H88" s="2" t="str">
        <f>TEXT(IF(B88&lt;0, A88+1+((B88+(G88/24))-(INT(B88+(G88/24)))), A88+(B88+(G88/24))), "yyyy-mm-dd")</f>
        <v>2024-09-21</v>
      </c>
      <c r="I88" s="2" t="str">
        <f>TEXT(IF(B88&lt;0, A88+1+((B88+(G88/24))-(INT(B88+(G88/24)))), A88+(B88+(G88/24))), "hh:mm")</f>
        <v>02:00</v>
      </c>
    </row>
    <row r="89" spans="1:9" x14ac:dyDescent="0.25">
      <c r="A89" s="23">
        <v>45555</v>
      </c>
      <c r="B89" s="20">
        <v>0.95833333333333337</v>
      </c>
      <c r="C89" s="20" t="s">
        <v>8</v>
      </c>
      <c r="D89" s="29" t="s">
        <v>206</v>
      </c>
      <c r="E89" s="11" t="s">
        <v>21</v>
      </c>
      <c r="F89" s="8">
        <f>(INT(Table_Tajikistan[[#This Row],[Date]]) - DATE(1970, 1, 1)) * 86400000</f>
        <v>1726790400000</v>
      </c>
      <c r="G89" s="10">
        <f>'GMT Glossary'!$B$11</f>
        <v>5</v>
      </c>
      <c r="H89" s="2" t="str">
        <f>TEXT(IF(B89&lt;0, A89+1+((B89+(G89/24))-(INT(B89+(G89/24)))), A89+(B89+(G89/24))), "yyyy-mm-dd")</f>
        <v>2024-09-21</v>
      </c>
      <c r="I89" s="2" t="str">
        <f>TEXT(IF(B89&lt;0, A89+1+((B89+(G89/24))-(INT(B89+(G89/24)))), A89+(B89+(G89/24))), "hh:mm")</f>
        <v>04:00</v>
      </c>
    </row>
    <row r="90" spans="1:9" x14ac:dyDescent="0.25">
      <c r="A90" s="28">
        <v>45555</v>
      </c>
      <c r="B90" s="27">
        <v>0.95833333333333337</v>
      </c>
      <c r="C90" s="27" t="s">
        <v>8</v>
      </c>
      <c r="D90" s="25" t="s">
        <v>88</v>
      </c>
      <c r="E90" s="31" t="s">
        <v>72</v>
      </c>
      <c r="F90" s="8">
        <f>(INT(Table_Tajikistan[[#This Row],[Date]]) - DATE(1970, 1, 1)) * 86400000</f>
        <v>1726790400000</v>
      </c>
      <c r="G90">
        <f>'GMT Glossary'!$B$11</f>
        <v>5</v>
      </c>
      <c r="H90" s="2" t="str">
        <f>TEXT(IF(B90&lt;0, A90+1+((B90+(G90/24))-(INT(B90+(G90/24)))), A90+(B90+(G90/24))), "yyyy-mm-dd")</f>
        <v>2024-09-21</v>
      </c>
      <c r="I90" s="2" t="str">
        <f>TEXT(IF(B90&lt;0, A90+1+((B90+(G90/24))-(INT(B90+(G90/24)))), A90+(B90+(G90/24))), "hh:mm")</f>
        <v>04:00</v>
      </c>
    </row>
    <row r="91" spans="1:9" x14ac:dyDescent="0.25">
      <c r="A91" s="28">
        <v>45556</v>
      </c>
      <c r="B91" s="27">
        <v>4.1666666666666664E-2</v>
      </c>
      <c r="C91" s="27" t="s">
        <v>8</v>
      </c>
      <c r="D91" s="30" t="s">
        <v>199</v>
      </c>
      <c r="E91" s="31" t="s">
        <v>21</v>
      </c>
      <c r="F91" s="8">
        <f>(INT(Table_Tajikistan[[#This Row],[Date]]) - DATE(1970, 1, 1)) * 86400000</f>
        <v>1726876800000</v>
      </c>
      <c r="G91">
        <f>'GMT Glossary'!$B$11</f>
        <v>5</v>
      </c>
      <c r="H91" s="2" t="str">
        <f>TEXT(IF(B91&lt;0, A91+1+((B91+(G91/24))-(INT(B91+(G91/24)))), A91+(B91+(G91/24))), "yyyy-mm-dd")</f>
        <v>2024-09-21</v>
      </c>
      <c r="I91" s="2" t="str">
        <f>TEXT(IF(B91&lt;0, A91+1+((B91+(G91/24))-(INT(B91+(G91/24)))), A91+(B91+(G91/24))), "hh:mm")</f>
        <v>06:00</v>
      </c>
    </row>
    <row r="92" spans="1:9" x14ac:dyDescent="0.25">
      <c r="A92" s="23">
        <v>45556</v>
      </c>
      <c r="B92" s="20">
        <v>4.1666666666666664E-2</v>
      </c>
      <c r="C92" s="20" t="s">
        <v>8</v>
      </c>
      <c r="D92" s="24" t="s">
        <v>86</v>
      </c>
      <c r="E92" s="11" t="s">
        <v>72</v>
      </c>
      <c r="F92" s="8">
        <f>(INT(Table_Tajikistan[[#This Row],[Date]]) - DATE(1970, 1, 1)) * 86400000</f>
        <v>1726876800000</v>
      </c>
      <c r="G92" s="10">
        <f>'GMT Glossary'!$B$11</f>
        <v>5</v>
      </c>
      <c r="H92" s="2" t="str">
        <f>TEXT(IF(B92&lt;0, A92+1+((B92+(G92/24))-(INT(B92+(G92/24)))), A92+(B92+(G92/24))), "yyyy-mm-dd")</f>
        <v>2024-09-21</v>
      </c>
      <c r="I92" s="2" t="str">
        <f>TEXT(IF(B92&lt;0, A92+1+((B92+(G92/24))-(INT(B92+(G92/24)))), A92+(B92+(G92/24))), "hh:mm")</f>
        <v>06:00</v>
      </c>
    </row>
    <row r="93" spans="1:9" x14ac:dyDescent="0.25">
      <c r="A93" s="23">
        <v>45556</v>
      </c>
      <c r="B93" s="20">
        <v>0.125</v>
      </c>
      <c r="C93" s="20" t="s">
        <v>8</v>
      </c>
      <c r="D93" s="30" t="s">
        <v>77</v>
      </c>
      <c r="E93" s="11" t="s">
        <v>21</v>
      </c>
      <c r="F93" s="8">
        <f>(INT(Table_Tajikistan[[#This Row],[Date]]) - DATE(1970, 1, 1)) * 86400000</f>
        <v>1726876800000</v>
      </c>
      <c r="G93" s="10">
        <f>'GMT Glossary'!$B$11</f>
        <v>5</v>
      </c>
      <c r="H93" s="2" t="str">
        <f>TEXT(IF(B93&lt;0, A93+1+((B93+(G93/24))-(INT(B93+(G93/24)))), A93+(B93+(G93/24))), "yyyy-mm-dd")</f>
        <v>2024-09-21</v>
      </c>
      <c r="I93" s="2" t="str">
        <f>TEXT(IF(B93&lt;0, A93+1+((B93+(G93/24))-(INT(B93+(G93/24)))), A93+(B93+(G93/24))), "hh:mm")</f>
        <v>08:00</v>
      </c>
    </row>
    <row r="94" spans="1:9" x14ac:dyDescent="0.25">
      <c r="A94" s="28">
        <v>45556</v>
      </c>
      <c r="B94" s="27">
        <v>0.125</v>
      </c>
      <c r="C94" s="27" t="s">
        <v>8</v>
      </c>
      <c r="D94" s="25" t="s">
        <v>40</v>
      </c>
      <c r="E94" s="31" t="s">
        <v>72</v>
      </c>
      <c r="F94" s="8">
        <f>(INT(Table_Tajikistan[[#This Row],[Date]]) - DATE(1970, 1, 1)) * 86400000</f>
        <v>1726876800000</v>
      </c>
      <c r="G94">
        <f>'GMT Glossary'!$B$11</f>
        <v>5</v>
      </c>
      <c r="H94" s="2" t="str">
        <f>TEXT(IF(B94&lt;0, A94+1+((B94+(G94/24))-(INT(B94+(G94/24)))), A94+(B94+(G94/24))), "yyyy-mm-dd")</f>
        <v>2024-09-21</v>
      </c>
      <c r="I94" s="2" t="str">
        <f>TEXT(IF(B94&lt;0, A94+1+((B94+(G94/24))-(INT(B94+(G94/24)))), A94+(B94+(G94/24))), "hh:mm")</f>
        <v>08:00</v>
      </c>
    </row>
    <row r="95" spans="1:9" x14ac:dyDescent="0.25">
      <c r="A95" s="28">
        <v>45556</v>
      </c>
      <c r="B95" s="27">
        <v>0.20833333333333334</v>
      </c>
      <c r="C95" s="27" t="s">
        <v>8</v>
      </c>
      <c r="D95" s="30" t="s">
        <v>75</v>
      </c>
      <c r="E95" s="31" t="s">
        <v>21</v>
      </c>
      <c r="F95" s="8">
        <f>(INT(Table_Tajikistan[[#This Row],[Date]]) - DATE(1970, 1, 1)) * 86400000</f>
        <v>1726876800000</v>
      </c>
      <c r="G95">
        <f>'GMT Glossary'!$B$11</f>
        <v>5</v>
      </c>
      <c r="H95" s="2" t="str">
        <f>TEXT(IF(B95&lt;0, A95+1+((B95+(G95/24))-(INT(B95+(G95/24)))), A95+(B95+(G95/24))), "yyyy-mm-dd")</f>
        <v>2024-09-21</v>
      </c>
      <c r="I95" s="2" t="str">
        <f>TEXT(IF(B95&lt;0, A95+1+((B95+(G95/24))-(INT(B95+(G95/24)))), A95+(B95+(G95/24))), "hh:mm")</f>
        <v>10:00</v>
      </c>
    </row>
    <row r="96" spans="1:9" x14ac:dyDescent="0.25">
      <c r="A96" s="23">
        <v>45556</v>
      </c>
      <c r="B96" s="20">
        <v>0.20833333333333334</v>
      </c>
      <c r="C96" s="20" t="s">
        <v>402</v>
      </c>
      <c r="D96" s="24" t="s">
        <v>91</v>
      </c>
      <c r="E96" s="11" t="s">
        <v>72</v>
      </c>
      <c r="F96" s="8">
        <f>(INT(Table_Tajikistan[[#This Row],[Date]]) - DATE(1970, 1, 1)) * 86400000</f>
        <v>1726876800000</v>
      </c>
      <c r="G96" s="10">
        <f>'GMT Glossary'!$B$11</f>
        <v>5</v>
      </c>
      <c r="H96" s="2" t="str">
        <f>TEXT(IF(B96&lt;0, A96+1+((B96+(G96/24))-(INT(B96+(G96/24)))), A96+(B96+(G96/24))), "yyyy-mm-dd")</f>
        <v>2024-09-21</v>
      </c>
      <c r="I96" s="2" t="str">
        <f>TEXT(IF(B96&lt;0, A96+1+((B96+(G96/24))-(INT(B96+(G96/24)))), A96+(B96+(G96/24))), "hh:mm")</f>
        <v>10:00</v>
      </c>
    </row>
    <row r="97" spans="1:9" x14ac:dyDescent="0.25">
      <c r="A97" s="28">
        <v>45556</v>
      </c>
      <c r="B97" s="27">
        <v>0.29166666666666669</v>
      </c>
      <c r="C97" s="27" t="s">
        <v>8</v>
      </c>
      <c r="D97" s="30" t="s">
        <v>76</v>
      </c>
      <c r="E97" s="31" t="s">
        <v>21</v>
      </c>
      <c r="F97" s="8">
        <f>(INT(Table_Tajikistan[[#This Row],[Date]]) - DATE(1970, 1, 1)) * 86400000</f>
        <v>1726876800000</v>
      </c>
      <c r="G97">
        <f>'GMT Glossary'!$B$11</f>
        <v>5</v>
      </c>
      <c r="H97" s="2" t="str">
        <f>TEXT(IF(B97&lt;0, A97+1+((B97+(G97/24))-(INT(B97+(G97/24)))), A97+(B97+(G97/24))), "yyyy-mm-dd")</f>
        <v>2024-09-21</v>
      </c>
      <c r="I97" s="2" t="str">
        <f>TEXT(IF(B97&lt;0, A97+1+((B97+(G97/24))-(INT(B97+(G97/24)))), A97+(B97+(G97/24))), "hh:mm")</f>
        <v>12:00</v>
      </c>
    </row>
    <row r="98" spans="1:9" x14ac:dyDescent="0.25">
      <c r="A98" s="28">
        <v>45556</v>
      </c>
      <c r="B98" s="27">
        <v>0.29166666666666669</v>
      </c>
      <c r="C98" s="27" t="s">
        <v>398</v>
      </c>
      <c r="D98" s="30" t="s">
        <v>240</v>
      </c>
      <c r="E98" s="31" t="s">
        <v>72</v>
      </c>
      <c r="F98" s="8">
        <f>(INT(Table_Tajikistan[[#This Row],[Date]]) - DATE(1970, 1, 1)) * 86400000</f>
        <v>1726876800000</v>
      </c>
      <c r="G98">
        <f>'GMT Glossary'!$B$11</f>
        <v>5</v>
      </c>
      <c r="H98" s="2" t="str">
        <f>TEXT(IF(B98&lt;0, A98+1+((B98+(G98/24))-(INT(B98+(G98/24)))), A98+(B98+(G98/24))), "yyyy-mm-dd")</f>
        <v>2024-09-21</v>
      </c>
      <c r="I98" s="2" t="str">
        <f>TEXT(IF(B98&lt;0, A98+1+((B98+(G98/24))-(INT(B98+(G98/24)))), A98+(B98+(G98/24))), "hh:mm")</f>
        <v>12:00</v>
      </c>
    </row>
    <row r="99" spans="1:9" x14ac:dyDescent="0.25">
      <c r="A99" s="23">
        <v>45556</v>
      </c>
      <c r="B99" s="20">
        <v>0.35416666666666669</v>
      </c>
      <c r="C99" s="20" t="s">
        <v>398</v>
      </c>
      <c r="D99" s="29" t="s">
        <v>241</v>
      </c>
      <c r="E99" s="11" t="s">
        <v>72</v>
      </c>
      <c r="F99" s="8">
        <f>(INT(Table_Tajikistan[[#This Row],[Date]]) - DATE(1970, 1, 1)) * 86400000</f>
        <v>1726876800000</v>
      </c>
      <c r="G99" s="10">
        <f>'GMT Glossary'!$B$11</f>
        <v>5</v>
      </c>
      <c r="H99" s="2" t="str">
        <f>TEXT(IF(B99&lt;0, A99+1+((B99+(G99/24))-(INT(B99+(G99/24)))), A99+(B99+(G99/24))), "yyyy-mm-dd")</f>
        <v>2024-09-21</v>
      </c>
      <c r="I99" s="2" t="str">
        <f>TEXT(IF(B99&lt;0, A99+1+((B99+(G99/24))-(INT(B99+(G99/24)))), A99+(B99+(G99/24))), "hh:mm")</f>
        <v>13:30</v>
      </c>
    </row>
    <row r="100" spans="1:9" x14ac:dyDescent="0.25">
      <c r="A100" s="23">
        <v>45556</v>
      </c>
      <c r="B100" s="20">
        <v>0.375</v>
      </c>
      <c r="C100" s="20" t="s">
        <v>8</v>
      </c>
      <c r="D100" s="29" t="s">
        <v>74</v>
      </c>
      <c r="E100" s="11" t="s">
        <v>21</v>
      </c>
      <c r="F100" s="8">
        <f>(INT(Table_Tajikistan[[#This Row],[Date]]) - DATE(1970, 1, 1)) * 86400000</f>
        <v>1726876800000</v>
      </c>
      <c r="G100" s="10">
        <f>'GMT Glossary'!$B$11</f>
        <v>5</v>
      </c>
      <c r="H100" s="2" t="str">
        <f>TEXT(IF(B100&lt;0, A100+1+((B100+(G100/24))-(INT(B100+(G100/24)))), A100+(B100+(G100/24))), "yyyy-mm-dd")</f>
        <v>2024-09-21</v>
      </c>
      <c r="I100" s="2" t="str">
        <f>TEXT(IF(B100&lt;0, A100+1+((B100+(G100/24))-(INT(B100+(G100/24)))), A100+(B100+(G100/24))), "hh:mm")</f>
        <v>14:00</v>
      </c>
    </row>
    <row r="101" spans="1:9" x14ac:dyDescent="0.25">
      <c r="A101" s="28">
        <v>45556</v>
      </c>
      <c r="B101" s="27">
        <v>0.45833333333333331</v>
      </c>
      <c r="C101" s="27" t="s">
        <v>8</v>
      </c>
      <c r="D101" s="30" t="s">
        <v>139</v>
      </c>
      <c r="E101" s="31" t="s">
        <v>72</v>
      </c>
      <c r="F101" s="8">
        <f>(INT(Table_Tajikistan[[#This Row],[Date]]) - DATE(1970, 1, 1)) * 86400000</f>
        <v>1726876800000</v>
      </c>
      <c r="G101">
        <f>'GMT Glossary'!$B$11</f>
        <v>5</v>
      </c>
      <c r="H101" s="2" t="str">
        <f>TEXT(IF(B101&lt;0, A101+1+((B101+(G101/24))-(INT(B101+(G101/24)))), A101+(B101+(G101/24))), "yyyy-mm-dd")</f>
        <v>2024-09-21</v>
      </c>
      <c r="I101" s="2" t="str">
        <f>TEXT(IF(B101&lt;0, A101+1+((B101+(G101/24))-(INT(B101+(G101/24)))), A101+(B101+(G101/24))), "hh:mm")</f>
        <v>16:00</v>
      </c>
    </row>
    <row r="102" spans="1:9" x14ac:dyDescent="0.25">
      <c r="A102" s="28">
        <v>45556</v>
      </c>
      <c r="B102" s="27">
        <v>0.47916666666666669</v>
      </c>
      <c r="C102" s="27" t="s">
        <v>8</v>
      </c>
      <c r="D102" s="30" t="s">
        <v>210</v>
      </c>
      <c r="E102" s="31" t="s">
        <v>21</v>
      </c>
      <c r="F102" s="8">
        <f>(INT(Table_Tajikistan[[#This Row],[Date]]) - DATE(1970, 1, 1)) * 86400000</f>
        <v>1726876800000</v>
      </c>
      <c r="G102">
        <f>'GMT Glossary'!$B$11</f>
        <v>5</v>
      </c>
      <c r="H102" s="2" t="str">
        <f>TEXT(IF(B102&lt;0, A102+1+((B102+(G102/24))-(INT(B102+(G102/24)))), A102+(B102+(G102/24))), "yyyy-mm-dd")</f>
        <v>2024-09-21</v>
      </c>
      <c r="I102" s="2" t="str">
        <f>TEXT(IF(B102&lt;0, A102+1+((B102+(G102/24))-(INT(B102+(G102/24)))), A102+(B102+(G102/24))), "hh:mm")</f>
        <v>16:30</v>
      </c>
    </row>
    <row r="103" spans="1:9" x14ac:dyDescent="0.25">
      <c r="A103" s="23">
        <v>45556</v>
      </c>
      <c r="B103" s="20">
        <v>0.54166666666666663</v>
      </c>
      <c r="C103" s="20" t="s">
        <v>402</v>
      </c>
      <c r="D103" s="29" t="s">
        <v>242</v>
      </c>
      <c r="E103" s="11" t="s">
        <v>72</v>
      </c>
      <c r="F103" s="8">
        <f>(INT(Table_Tajikistan[[#This Row],[Date]]) - DATE(1970, 1, 1)) * 86400000</f>
        <v>1726876800000</v>
      </c>
      <c r="G103" s="10">
        <f>'GMT Glossary'!$B$11</f>
        <v>5</v>
      </c>
      <c r="H103" s="2" t="str">
        <f>TEXT(IF(B103&lt;0, A103+1+((B103+(G103/24))-(INT(B103+(G103/24)))), A103+(B103+(G103/24))), "yyyy-mm-dd")</f>
        <v>2024-09-21</v>
      </c>
      <c r="I103" s="2" t="str">
        <f>TEXT(IF(B103&lt;0, A103+1+((B103+(G103/24))-(INT(B103+(G103/24)))), A103+(B103+(G103/24))), "hh:mm")</f>
        <v>18:00</v>
      </c>
    </row>
    <row r="104" spans="1:9" x14ac:dyDescent="0.25">
      <c r="A104" s="28">
        <v>45556</v>
      </c>
      <c r="B104" s="27">
        <v>0.58333333333333337</v>
      </c>
      <c r="C104" s="27" t="s">
        <v>8</v>
      </c>
      <c r="D104" s="30" t="s">
        <v>211</v>
      </c>
      <c r="E104" s="31" t="s">
        <v>21</v>
      </c>
      <c r="F104" s="8">
        <f>(INT(Table_Tajikistan[[#This Row],[Date]]) - DATE(1970, 1, 1)) * 86400000</f>
        <v>1726876800000</v>
      </c>
      <c r="G104">
        <f>'GMT Glossary'!$B$11</f>
        <v>5</v>
      </c>
      <c r="H104" s="2" t="str">
        <f>TEXT(IF(B104&lt;0, A104+1+((B104+(G104/24))-(INT(B104+(G104/24)))), A104+(B104+(G104/24))), "yyyy-mm-dd")</f>
        <v>2024-09-21</v>
      </c>
      <c r="I104" s="2" t="str">
        <f>TEXT(IF(B104&lt;0, A104+1+((B104+(G104/24))-(INT(B104+(G104/24)))), A104+(B104+(G104/24))), "hh:mm")</f>
        <v>19:00</v>
      </c>
    </row>
    <row r="105" spans="1:9" x14ac:dyDescent="0.25">
      <c r="A105" s="28">
        <v>45556</v>
      </c>
      <c r="B105" s="27">
        <v>0.58333333333333337</v>
      </c>
      <c r="C105" s="27" t="s">
        <v>8</v>
      </c>
      <c r="D105" s="30" t="s">
        <v>243</v>
      </c>
      <c r="E105" s="31" t="s">
        <v>72</v>
      </c>
      <c r="F105" s="8">
        <f>(INT(Table_Tajikistan[[#This Row],[Date]]) - DATE(1970, 1, 1)) * 86400000</f>
        <v>1726876800000</v>
      </c>
      <c r="G105">
        <f>'GMT Glossary'!$B$11</f>
        <v>5</v>
      </c>
      <c r="H105" s="2" t="str">
        <f>TEXT(IF(B105&lt;0, A105+1+((B105+(G105/24))-(INT(B105+(G105/24)))), A105+(B105+(G105/24))), "yyyy-mm-dd")</f>
        <v>2024-09-21</v>
      </c>
      <c r="I105" s="2" t="str">
        <f>TEXT(IF(B105&lt;0, A105+1+((B105+(G105/24))-(INT(B105+(G105/24)))), A105+(B105+(G105/24))), "hh:mm")</f>
        <v>19:00</v>
      </c>
    </row>
    <row r="106" spans="1:9" x14ac:dyDescent="0.25">
      <c r="A106" s="23">
        <v>45556</v>
      </c>
      <c r="B106" s="20">
        <v>0.66666666666666663</v>
      </c>
      <c r="C106" s="20" t="s">
        <v>8</v>
      </c>
      <c r="D106" s="30" t="s">
        <v>136</v>
      </c>
      <c r="E106" s="11" t="s">
        <v>72</v>
      </c>
      <c r="F106" s="8">
        <f>(INT(Table_Tajikistan[[#This Row],[Date]]) - DATE(1970, 1, 1)) * 86400000</f>
        <v>1726876800000</v>
      </c>
      <c r="G106" s="10">
        <f>'GMT Glossary'!$B$11</f>
        <v>5</v>
      </c>
      <c r="H106" s="2" t="str">
        <f>TEXT(IF(B106&lt;0, A106+1+((B106+(G106/24))-(INT(B106+(G106/24)))), A106+(B106+(G106/24))), "yyyy-mm-dd")</f>
        <v>2024-09-21</v>
      </c>
      <c r="I106" s="2" t="str">
        <f>TEXT(IF(B106&lt;0, A106+1+((B106+(G106/24))-(INT(B106+(G106/24)))), A106+(B106+(G106/24))), "hh:mm")</f>
        <v>21:00</v>
      </c>
    </row>
    <row r="107" spans="1:9" x14ac:dyDescent="0.25">
      <c r="A107" s="23">
        <v>45556</v>
      </c>
      <c r="B107" s="20">
        <v>0.6875</v>
      </c>
      <c r="C107" s="20" t="s">
        <v>8</v>
      </c>
      <c r="D107" s="30" t="s">
        <v>212</v>
      </c>
      <c r="E107" s="11" t="s">
        <v>21</v>
      </c>
      <c r="F107" s="8">
        <f>(INT(Table_Tajikistan[[#This Row],[Date]]) - DATE(1970, 1, 1)) * 86400000</f>
        <v>1726876800000</v>
      </c>
      <c r="G107" s="10">
        <f>'GMT Glossary'!$B$11</f>
        <v>5</v>
      </c>
      <c r="H107" s="2" t="str">
        <f>TEXT(IF(B107&lt;0, A107+1+((B107+(G107/24))-(INT(B107+(G107/24)))), A107+(B107+(G107/24))), "yyyy-mm-dd")</f>
        <v>2024-09-21</v>
      </c>
      <c r="I107" s="2" t="str">
        <f>TEXT(IF(B107&lt;0, A107+1+((B107+(G107/24))-(INT(B107+(G107/24)))), A107+(B107+(G107/24))), "hh:mm")</f>
        <v>21:30</v>
      </c>
    </row>
    <row r="108" spans="1:9" x14ac:dyDescent="0.25">
      <c r="A108" s="28">
        <v>45556</v>
      </c>
      <c r="B108" s="27">
        <v>0.79166666666666663</v>
      </c>
      <c r="C108" s="27" t="s">
        <v>8</v>
      </c>
      <c r="D108" s="30" t="s">
        <v>213</v>
      </c>
      <c r="E108" s="31" t="s">
        <v>21</v>
      </c>
      <c r="F108" s="8">
        <f>(INT(Table_Tajikistan[[#This Row],[Date]]) - DATE(1970, 1, 1)) * 86400000</f>
        <v>1726876800000</v>
      </c>
      <c r="G108">
        <f>'GMT Glossary'!$B$11</f>
        <v>5</v>
      </c>
      <c r="H108" s="2" t="str">
        <f>TEXT(IF(B108&lt;0, A108+1+((B108+(G108/24))-(INT(B108+(G108/24)))), A108+(B108+(G108/24))), "yyyy-mm-dd")</f>
        <v>2024-09-22</v>
      </c>
      <c r="I108" s="2" t="str">
        <f>TEXT(IF(B108&lt;0, A108+1+((B108+(G108/24))-(INT(B108+(G108/24)))), A108+(B108+(G108/24))), "hh:mm")</f>
        <v>00:00</v>
      </c>
    </row>
    <row r="109" spans="1:9" x14ac:dyDescent="0.25">
      <c r="A109" s="28">
        <v>45556</v>
      </c>
      <c r="B109" s="27">
        <v>0.79166666666666663</v>
      </c>
      <c r="C109" s="27" t="s">
        <v>8</v>
      </c>
      <c r="D109" s="30" t="s">
        <v>137</v>
      </c>
      <c r="E109" s="31" t="s">
        <v>72</v>
      </c>
      <c r="F109" s="8">
        <f>(INT(Table_Tajikistan[[#This Row],[Date]]) - DATE(1970, 1, 1)) * 86400000</f>
        <v>1726876800000</v>
      </c>
      <c r="G109">
        <f>'GMT Glossary'!$B$11</f>
        <v>5</v>
      </c>
      <c r="H109" s="2" t="str">
        <f>TEXT(IF(B109&lt;0, A109+1+((B109+(G109/24))-(INT(B109+(G109/24)))), A109+(B109+(G109/24))), "yyyy-mm-dd")</f>
        <v>2024-09-22</v>
      </c>
      <c r="I109" s="2" t="str">
        <f>TEXT(IF(B109&lt;0, A109+1+((B109+(G109/24))-(INT(B109+(G109/24)))), A109+(B109+(G109/24))), "hh:mm")</f>
        <v>00:00</v>
      </c>
    </row>
    <row r="110" spans="1:9" x14ac:dyDescent="0.25">
      <c r="A110" s="23">
        <v>45556</v>
      </c>
      <c r="B110" s="20">
        <v>0.875</v>
      </c>
      <c r="C110" s="20" t="s">
        <v>8</v>
      </c>
      <c r="D110" s="29" t="s">
        <v>79</v>
      </c>
      <c r="E110" s="11" t="s">
        <v>21</v>
      </c>
      <c r="F110" s="8">
        <f>(INT(Table_Tajikistan[[#This Row],[Date]]) - DATE(1970, 1, 1)) * 86400000</f>
        <v>1726876800000</v>
      </c>
      <c r="G110" s="10">
        <f>'GMT Glossary'!$B$11</f>
        <v>5</v>
      </c>
      <c r="H110" s="2" t="str">
        <f>TEXT(IF(B110&lt;0, A110+1+((B110+(G110/24))-(INT(B110+(G110/24)))), A110+(B110+(G110/24))), "yyyy-mm-dd")</f>
        <v>2024-09-22</v>
      </c>
      <c r="I110" s="2" t="str">
        <f>TEXT(IF(B110&lt;0, A110+1+((B110+(G110/24))-(INT(B110+(G110/24)))), A110+(B110+(G110/24))), "hh:mm")</f>
        <v>02:00</v>
      </c>
    </row>
    <row r="111" spans="1:9" x14ac:dyDescent="0.25">
      <c r="A111" s="28">
        <v>45556</v>
      </c>
      <c r="B111" s="27">
        <v>0.875</v>
      </c>
      <c r="C111" s="27" t="s">
        <v>8</v>
      </c>
      <c r="D111" s="30" t="s">
        <v>244</v>
      </c>
      <c r="E111" s="31" t="s">
        <v>72</v>
      </c>
      <c r="F111" s="8">
        <f>(INT(Table_Tajikistan[[#This Row],[Date]]) - DATE(1970, 1, 1)) * 86400000</f>
        <v>1726876800000</v>
      </c>
      <c r="G111">
        <f>'GMT Glossary'!$B$11</f>
        <v>5</v>
      </c>
      <c r="H111" s="2" t="str">
        <f>TEXT(IF(B111&lt;0, A111+1+((B111+(G111/24))-(INT(B111+(G111/24)))), A111+(B111+(G111/24))), "yyyy-mm-dd")</f>
        <v>2024-09-22</v>
      </c>
      <c r="I111" s="2" t="str">
        <f>TEXT(IF(B111&lt;0, A111+1+((B111+(G111/24))-(INT(B111+(G111/24)))), A111+(B111+(G111/24))), "hh:mm")</f>
        <v>02:00</v>
      </c>
    </row>
    <row r="112" spans="1:9" x14ac:dyDescent="0.25">
      <c r="A112" s="28">
        <v>45556</v>
      </c>
      <c r="B112" s="27">
        <v>0.95833333333333337</v>
      </c>
      <c r="C112" s="27" t="s">
        <v>8</v>
      </c>
      <c r="D112" s="25" t="s">
        <v>214</v>
      </c>
      <c r="E112" s="31" t="s">
        <v>21</v>
      </c>
      <c r="F112" s="8">
        <f>(INT(Table_Tajikistan[[#This Row],[Date]]) - DATE(1970, 1, 1)) * 86400000</f>
        <v>1726876800000</v>
      </c>
      <c r="G112">
        <f>'GMT Glossary'!$B$11</f>
        <v>5</v>
      </c>
      <c r="H112" s="2" t="str">
        <f>TEXT(IF(B112&lt;0, A112+1+((B112+(G112/24))-(INT(B112+(G112/24)))), A112+(B112+(G112/24))), "yyyy-mm-dd")</f>
        <v>2024-09-22</v>
      </c>
      <c r="I112" s="2" t="str">
        <f>TEXT(IF(B112&lt;0, A112+1+((B112+(G112/24))-(INT(B112+(G112/24)))), A112+(B112+(G112/24))), "hh:mm")</f>
        <v>04:00</v>
      </c>
    </row>
    <row r="113" spans="1:9" x14ac:dyDescent="0.25">
      <c r="A113" s="23">
        <v>45556</v>
      </c>
      <c r="B113" s="20">
        <v>0.95833333333333337</v>
      </c>
      <c r="C113" s="20" t="s">
        <v>8</v>
      </c>
      <c r="D113" s="30" t="s">
        <v>64</v>
      </c>
      <c r="E113" s="11" t="s">
        <v>72</v>
      </c>
      <c r="F113" s="8">
        <f>(INT(Table_Tajikistan[[#This Row],[Date]]) - DATE(1970, 1, 1)) * 86400000</f>
        <v>1726876800000</v>
      </c>
      <c r="G113" s="10">
        <f>'GMT Glossary'!$B$11</f>
        <v>5</v>
      </c>
      <c r="H113" s="2" t="str">
        <f>TEXT(IF(B113&lt;0, A113+1+((B113+(G113/24))-(INT(B113+(G113/24)))), A113+(B113+(G113/24))), "yyyy-mm-dd")</f>
        <v>2024-09-22</v>
      </c>
      <c r="I113" s="2" t="str">
        <f>TEXT(IF(B113&lt;0, A113+1+((B113+(G113/24))-(INT(B113+(G113/24)))), A113+(B113+(G113/24))), "hh:mm")</f>
        <v>04:00</v>
      </c>
    </row>
    <row r="114" spans="1:9" x14ac:dyDescent="0.25">
      <c r="A114" s="23">
        <v>45557</v>
      </c>
      <c r="B114" s="20">
        <v>4.1666666666666664E-2</v>
      </c>
      <c r="C114" s="20" t="s">
        <v>8</v>
      </c>
      <c r="D114" s="30" t="s">
        <v>77</v>
      </c>
      <c r="E114" s="11" t="s">
        <v>21</v>
      </c>
      <c r="F114" s="8">
        <f>(INT(Table_Tajikistan[[#This Row],[Date]]) - DATE(1970, 1, 1)) * 86400000</f>
        <v>1726963200000</v>
      </c>
      <c r="G114" s="10">
        <f>'GMT Glossary'!$B$11</f>
        <v>5</v>
      </c>
      <c r="H114" s="2" t="str">
        <f>TEXT(IF(B114&lt;0, A114+1+((B114+(G114/24))-(INT(B114+(G114/24)))), A114+(B114+(G114/24))), "yyyy-mm-dd")</f>
        <v>2024-09-22</v>
      </c>
      <c r="I114" s="2" t="str">
        <f>TEXT(IF(B114&lt;0, A114+1+((B114+(G114/24))-(INT(B114+(G114/24)))), A114+(B114+(G114/24))), "hh:mm")</f>
        <v>06:00</v>
      </c>
    </row>
    <row r="115" spans="1:9" x14ac:dyDescent="0.25">
      <c r="A115" s="28">
        <v>45557</v>
      </c>
      <c r="B115" s="27">
        <v>4.1666666666666664E-2</v>
      </c>
      <c r="C115" s="27" t="s">
        <v>8</v>
      </c>
      <c r="D115" s="30" t="s">
        <v>139</v>
      </c>
      <c r="E115" s="31" t="s">
        <v>72</v>
      </c>
      <c r="F115" s="8">
        <f>(INT(Table_Tajikistan[[#This Row],[Date]]) - DATE(1970, 1, 1)) * 86400000</f>
        <v>1726963200000</v>
      </c>
      <c r="G115">
        <f>'GMT Glossary'!$B$11</f>
        <v>5</v>
      </c>
      <c r="H115" s="2" t="str">
        <f>TEXT(IF(B115&lt;0, A115+1+((B115+(G115/24))-(INT(B115+(G115/24)))), A115+(B115+(G115/24))), "yyyy-mm-dd")</f>
        <v>2024-09-22</v>
      </c>
      <c r="I115" s="2" t="str">
        <f>TEXT(IF(B115&lt;0, A115+1+((B115+(G115/24))-(INT(B115+(G115/24)))), A115+(B115+(G115/24))), "hh:mm")</f>
        <v>06:00</v>
      </c>
    </row>
    <row r="116" spans="1:9" x14ac:dyDescent="0.25">
      <c r="A116" s="28">
        <v>45557</v>
      </c>
      <c r="B116" s="27">
        <v>0.125</v>
      </c>
      <c r="C116" s="27" t="s">
        <v>8</v>
      </c>
      <c r="D116" s="30" t="s">
        <v>195</v>
      </c>
      <c r="E116" s="31" t="s">
        <v>21</v>
      </c>
      <c r="F116" s="8">
        <f>(INT(Table_Tajikistan[[#This Row],[Date]]) - DATE(1970, 1, 1)) * 86400000</f>
        <v>1726963200000</v>
      </c>
      <c r="G116">
        <f>'GMT Glossary'!$B$11</f>
        <v>5</v>
      </c>
      <c r="H116" s="2" t="str">
        <f>TEXT(IF(B116&lt;0, A116+1+((B116+(G116/24))-(INT(B116+(G116/24)))), A116+(B116+(G116/24))), "yyyy-mm-dd")</f>
        <v>2024-09-22</v>
      </c>
      <c r="I116" s="2" t="str">
        <f>TEXT(IF(B116&lt;0, A116+1+((B116+(G116/24))-(INT(B116+(G116/24)))), A116+(B116+(G116/24))), "hh:mm")</f>
        <v>08:00</v>
      </c>
    </row>
    <row r="117" spans="1:9" x14ac:dyDescent="0.25">
      <c r="A117" s="23">
        <v>45557</v>
      </c>
      <c r="B117" s="20">
        <v>0.125</v>
      </c>
      <c r="C117" s="20" t="s">
        <v>8</v>
      </c>
      <c r="D117" s="30" t="s">
        <v>244</v>
      </c>
      <c r="E117" s="11" t="s">
        <v>72</v>
      </c>
      <c r="F117" s="8">
        <f>(INT(Table_Tajikistan[[#This Row],[Date]]) - DATE(1970, 1, 1)) * 86400000</f>
        <v>1726963200000</v>
      </c>
      <c r="G117" s="10">
        <f>'GMT Glossary'!$B$11</f>
        <v>5</v>
      </c>
      <c r="H117" s="2" t="str">
        <f>TEXT(IF(B117&lt;0, A117+1+((B117+(G117/24))-(INT(B117+(G117/24)))), A117+(B117+(G117/24))), "yyyy-mm-dd")</f>
        <v>2024-09-22</v>
      </c>
      <c r="I117" s="2" t="str">
        <f>TEXT(IF(B117&lt;0, A117+1+((B117+(G117/24))-(INT(B117+(G117/24)))), A117+(B117+(G117/24))), "hh:mm")</f>
        <v>08:00</v>
      </c>
    </row>
    <row r="118" spans="1:9" x14ac:dyDescent="0.25">
      <c r="A118" s="23">
        <v>45557</v>
      </c>
      <c r="B118" s="20">
        <v>0.20833333333333334</v>
      </c>
      <c r="C118" s="20" t="s">
        <v>8</v>
      </c>
      <c r="D118" s="29" t="s">
        <v>129</v>
      </c>
      <c r="E118" s="11" t="s">
        <v>21</v>
      </c>
      <c r="F118" s="8">
        <f>(INT(Table_Tajikistan[[#This Row],[Date]]) - DATE(1970, 1, 1)) * 86400000</f>
        <v>1726963200000</v>
      </c>
      <c r="G118" s="10">
        <f>'GMT Glossary'!$B$11</f>
        <v>5</v>
      </c>
      <c r="H118" s="2" t="str">
        <f>TEXT(IF(B118&lt;0, A118+1+((B118+(G118/24))-(INT(B118+(G118/24)))), A118+(B118+(G118/24))), "yyyy-mm-dd")</f>
        <v>2024-09-22</v>
      </c>
      <c r="I118" s="2" t="str">
        <f>TEXT(IF(B118&lt;0, A118+1+((B118+(G118/24))-(INT(B118+(G118/24)))), A118+(B118+(G118/24))), "hh:mm")</f>
        <v>10:00</v>
      </c>
    </row>
    <row r="119" spans="1:9" x14ac:dyDescent="0.25">
      <c r="A119" s="28">
        <v>45557</v>
      </c>
      <c r="B119" s="27">
        <v>0.20833333333333334</v>
      </c>
      <c r="C119" s="27" t="s">
        <v>402</v>
      </c>
      <c r="D119" s="30" t="s">
        <v>85</v>
      </c>
      <c r="E119" s="31" t="s">
        <v>72</v>
      </c>
      <c r="F119" s="8">
        <f>(INT(Table_Tajikistan[[#This Row],[Date]]) - DATE(1970, 1, 1)) * 86400000</f>
        <v>1726963200000</v>
      </c>
      <c r="G119">
        <f>'GMT Glossary'!$B$11</f>
        <v>5</v>
      </c>
      <c r="H119" s="2" t="str">
        <f>TEXT(IF(B119&lt;0, A119+1+((B119+(G119/24))-(INT(B119+(G119/24)))), A119+(B119+(G119/24))), "yyyy-mm-dd")</f>
        <v>2024-09-22</v>
      </c>
      <c r="I119" s="2" t="str">
        <f>TEXT(IF(B119&lt;0, A119+1+((B119+(G119/24))-(INT(B119+(G119/24)))), A119+(B119+(G119/24))), "hh:mm")</f>
        <v>10:00</v>
      </c>
    </row>
    <row r="120" spans="1:9" x14ac:dyDescent="0.25">
      <c r="A120" s="28">
        <v>45557</v>
      </c>
      <c r="B120" s="27">
        <v>0.29166666666666669</v>
      </c>
      <c r="C120" s="27" t="s">
        <v>8</v>
      </c>
      <c r="D120" s="30" t="s">
        <v>74</v>
      </c>
      <c r="E120" s="31" t="s">
        <v>21</v>
      </c>
      <c r="F120" s="8">
        <f>(INT(Table_Tajikistan[[#This Row],[Date]]) - DATE(1970, 1, 1)) * 86400000</f>
        <v>1726963200000</v>
      </c>
      <c r="G120">
        <f>'GMT Glossary'!$B$11</f>
        <v>5</v>
      </c>
      <c r="H120" s="2" t="str">
        <f>TEXT(IF(B120&lt;0, A120+1+((B120+(G120/24))-(INT(B120+(G120/24)))), A120+(B120+(G120/24))), "yyyy-mm-dd")</f>
        <v>2024-09-22</v>
      </c>
      <c r="I120" s="2" t="str">
        <f>TEXT(IF(B120&lt;0, A120+1+((B120+(G120/24))-(INT(B120+(G120/24)))), A120+(B120+(G120/24))), "hh:mm")</f>
        <v>12:00</v>
      </c>
    </row>
    <row r="121" spans="1:9" x14ac:dyDescent="0.25">
      <c r="A121" s="23">
        <v>45557</v>
      </c>
      <c r="B121" s="20">
        <v>0.29166666666666669</v>
      </c>
      <c r="C121" s="20" t="s">
        <v>398</v>
      </c>
      <c r="D121" s="29" t="s">
        <v>245</v>
      </c>
      <c r="E121" s="11" t="s">
        <v>72</v>
      </c>
      <c r="F121" s="8">
        <f>(INT(Table_Tajikistan[[#This Row],[Date]]) - DATE(1970, 1, 1)) * 86400000</f>
        <v>1726963200000</v>
      </c>
      <c r="G121" s="10">
        <f>'GMT Glossary'!$B$11</f>
        <v>5</v>
      </c>
      <c r="H121" s="2" t="str">
        <f>TEXT(IF(B121&lt;0, A121+1+((B121+(G121/24))-(INT(B121+(G121/24)))), A121+(B121+(G121/24))), "yyyy-mm-dd")</f>
        <v>2024-09-22</v>
      </c>
      <c r="I121" s="2" t="str">
        <f>TEXT(IF(B121&lt;0, A121+1+((B121+(G121/24))-(INT(B121+(G121/24)))), A121+(B121+(G121/24))), "hh:mm")</f>
        <v>12:00</v>
      </c>
    </row>
    <row r="122" spans="1:9" x14ac:dyDescent="0.25">
      <c r="A122" s="23">
        <v>45557</v>
      </c>
      <c r="B122" s="20">
        <v>0.375</v>
      </c>
      <c r="C122" s="20" t="s">
        <v>8</v>
      </c>
      <c r="D122" s="30" t="s">
        <v>59</v>
      </c>
      <c r="E122" s="11" t="s">
        <v>21</v>
      </c>
      <c r="F122" s="8">
        <f>(INT(Table_Tajikistan[[#This Row],[Date]]) - DATE(1970, 1, 1)) * 86400000</f>
        <v>1726963200000</v>
      </c>
      <c r="G122" s="10">
        <f>'GMT Glossary'!$B$11</f>
        <v>5</v>
      </c>
      <c r="H122" s="2" t="str">
        <f>TEXT(IF(B122&lt;0, A122+1+((B122+(G122/24))-(INT(B122+(G122/24)))), A122+(B122+(G122/24))), "yyyy-mm-dd")</f>
        <v>2024-09-22</v>
      </c>
      <c r="I122" s="2" t="str">
        <f>TEXT(IF(B122&lt;0, A122+1+((B122+(G122/24))-(INT(B122+(G122/24)))), A122+(B122+(G122/24))), "hh:mm")</f>
        <v>14:00</v>
      </c>
    </row>
    <row r="123" spans="1:9" x14ac:dyDescent="0.25">
      <c r="A123" s="28">
        <v>45557</v>
      </c>
      <c r="B123" s="27">
        <v>0.375</v>
      </c>
      <c r="C123" s="27" t="s">
        <v>8</v>
      </c>
      <c r="D123" s="30" t="s">
        <v>141</v>
      </c>
      <c r="E123" s="31" t="s">
        <v>72</v>
      </c>
      <c r="F123" s="8">
        <f>(INT(Table_Tajikistan[[#This Row],[Date]]) - DATE(1970, 1, 1)) * 86400000</f>
        <v>1726963200000</v>
      </c>
      <c r="G123">
        <f>'GMT Glossary'!$B$11</f>
        <v>5</v>
      </c>
      <c r="H123" s="2" t="str">
        <f>TEXT(IF(B123&lt;0, A123+1+((B123+(G123/24))-(INT(B123+(G123/24)))), A123+(B123+(G123/24))), "yyyy-mm-dd")</f>
        <v>2024-09-22</v>
      </c>
      <c r="I123" s="2" t="str">
        <f>TEXT(IF(B123&lt;0, A123+1+((B123+(G123/24))-(INT(B123+(G123/24)))), A123+(B123+(G123/24))), "hh:mm")</f>
        <v>14:00</v>
      </c>
    </row>
    <row r="124" spans="1:9" x14ac:dyDescent="0.25">
      <c r="A124" s="28">
        <v>45557</v>
      </c>
      <c r="B124" s="27">
        <v>0.4375</v>
      </c>
      <c r="C124" s="27" t="s">
        <v>8</v>
      </c>
      <c r="D124" s="30" t="s">
        <v>215</v>
      </c>
      <c r="E124" s="31" t="s">
        <v>21</v>
      </c>
      <c r="F124" s="8">
        <f>(INT(Table_Tajikistan[[#This Row],[Date]]) - DATE(1970, 1, 1)) * 86400000</f>
        <v>1726963200000</v>
      </c>
      <c r="G124">
        <f>'GMT Glossary'!$B$11</f>
        <v>5</v>
      </c>
      <c r="H124" s="2" t="str">
        <f>TEXT(IF(B124&lt;0, A124+1+((B124+(G124/24))-(INT(B124+(G124/24)))), A124+(B124+(G124/24))), "yyyy-mm-dd")</f>
        <v>2024-09-22</v>
      </c>
      <c r="I124" s="2" t="str">
        <f>TEXT(IF(B124&lt;0, A124+1+((B124+(G124/24))-(INT(B124+(G124/24)))), A124+(B124+(G124/24))), "hh:mm")</f>
        <v>15:30</v>
      </c>
    </row>
    <row r="125" spans="1:9" x14ac:dyDescent="0.25">
      <c r="A125" s="23">
        <v>45557</v>
      </c>
      <c r="B125" s="20">
        <v>0.5</v>
      </c>
      <c r="C125" s="20" t="s">
        <v>402</v>
      </c>
      <c r="D125" s="29" t="s">
        <v>246</v>
      </c>
      <c r="E125" s="11" t="s">
        <v>72</v>
      </c>
      <c r="F125" s="8">
        <f>(INT(Table_Tajikistan[[#This Row],[Date]]) - DATE(1970, 1, 1)) * 86400000</f>
        <v>1726963200000</v>
      </c>
      <c r="G125" s="10">
        <f>'GMT Glossary'!$B$11</f>
        <v>5</v>
      </c>
      <c r="H125" s="2" t="str">
        <f>TEXT(IF(B125&lt;0, A125+1+((B125+(G125/24))-(INT(B125+(G125/24)))), A125+(B125+(G125/24))), "yyyy-mm-dd")</f>
        <v>2024-09-22</v>
      </c>
      <c r="I125" s="2" t="str">
        <f>TEXT(IF(B125&lt;0, A125+1+((B125+(G125/24))-(INT(B125+(G125/24)))), A125+(B125+(G125/24))), "hh:mm")</f>
        <v>17:00</v>
      </c>
    </row>
    <row r="126" spans="1:9" x14ac:dyDescent="0.25">
      <c r="A126" s="23">
        <v>45557</v>
      </c>
      <c r="B126" s="20">
        <v>0.54166666666666663</v>
      </c>
      <c r="C126" s="20" t="s">
        <v>8</v>
      </c>
      <c r="D126" s="29" t="s">
        <v>216</v>
      </c>
      <c r="E126" s="11" t="s">
        <v>21</v>
      </c>
      <c r="F126" s="8">
        <f>(INT(Table_Tajikistan[[#This Row],[Date]]) - DATE(1970, 1, 1)) * 86400000</f>
        <v>1726963200000</v>
      </c>
      <c r="G126" s="10">
        <f>'GMT Glossary'!$B$11</f>
        <v>5</v>
      </c>
      <c r="H126" s="2" t="str">
        <f>TEXT(IF(B126&lt;0, A126+1+((B126+(G126/24))-(INT(B126+(G126/24)))), A126+(B126+(G126/24))), "yyyy-mm-dd")</f>
        <v>2024-09-22</v>
      </c>
      <c r="I126" s="2" t="str">
        <f>TEXT(IF(B126&lt;0, A126+1+((B126+(G126/24))-(INT(B126+(G126/24)))), A126+(B126+(G126/24))), "hh:mm")</f>
        <v>18:00</v>
      </c>
    </row>
    <row r="127" spans="1:9" x14ac:dyDescent="0.25">
      <c r="A127" s="28">
        <v>45557</v>
      </c>
      <c r="B127" s="27">
        <v>0.59375</v>
      </c>
      <c r="C127" s="27" t="s">
        <v>8</v>
      </c>
      <c r="D127" s="30" t="s">
        <v>247</v>
      </c>
      <c r="E127" s="31" t="s">
        <v>72</v>
      </c>
      <c r="F127" s="8">
        <f>(INT(Table_Tajikistan[[#This Row],[Date]]) - DATE(1970, 1, 1)) * 86400000</f>
        <v>1726963200000</v>
      </c>
      <c r="G127">
        <f>'GMT Glossary'!$B$11</f>
        <v>5</v>
      </c>
      <c r="H127" s="2" t="str">
        <f>TEXT(IF(B127&lt;0, A127+1+((B127+(G127/24))-(INT(B127+(G127/24)))), A127+(B127+(G127/24))), "yyyy-mm-dd")</f>
        <v>2024-09-22</v>
      </c>
      <c r="I127" s="2" t="str">
        <f>TEXT(IF(B127&lt;0, A127+1+((B127+(G127/24))-(INT(B127+(G127/24)))), A127+(B127+(G127/24))), "hh:mm")</f>
        <v>19:15</v>
      </c>
    </row>
    <row r="128" spans="1:9" x14ac:dyDescent="0.25">
      <c r="A128" s="28">
        <v>45557</v>
      </c>
      <c r="B128" s="27">
        <v>0.64583333333333337</v>
      </c>
      <c r="C128" s="27" t="s">
        <v>8</v>
      </c>
      <c r="D128" s="30" t="s">
        <v>217</v>
      </c>
      <c r="E128" s="31" t="s">
        <v>21</v>
      </c>
      <c r="F128" s="8">
        <f>(INT(Table_Tajikistan[[#This Row],[Date]]) - DATE(1970, 1, 1)) * 86400000</f>
        <v>1726963200000</v>
      </c>
      <c r="G128">
        <f>'GMT Glossary'!$B$11</f>
        <v>5</v>
      </c>
      <c r="H128" s="2" t="str">
        <f>TEXT(IF(B128&lt;0, A128+1+((B128+(G128/24))-(INT(B128+(G128/24)))), A128+(B128+(G128/24))), "yyyy-mm-dd")</f>
        <v>2024-09-22</v>
      </c>
      <c r="I128" s="2" t="str">
        <f>TEXT(IF(B128&lt;0, A128+1+((B128+(G128/24))-(INT(B128+(G128/24)))), A128+(B128+(G128/24))), "hh:mm")</f>
        <v>20:30</v>
      </c>
    </row>
    <row r="129" spans="1:9" x14ac:dyDescent="0.25">
      <c r="A129" s="23">
        <v>45557</v>
      </c>
      <c r="B129" s="20">
        <v>0.6875</v>
      </c>
      <c r="C129" s="20" t="s">
        <v>8</v>
      </c>
      <c r="D129" s="30" t="s">
        <v>248</v>
      </c>
      <c r="E129" s="11" t="s">
        <v>72</v>
      </c>
      <c r="F129" s="8">
        <f>(INT(Table_Tajikistan[[#This Row],[Date]]) - DATE(1970, 1, 1)) * 86400000</f>
        <v>1726963200000</v>
      </c>
      <c r="G129" s="10">
        <f>'GMT Glossary'!$B$11</f>
        <v>5</v>
      </c>
      <c r="H129" s="2" t="str">
        <f>TEXT(IF(B129&lt;0, A129+1+((B129+(G129/24))-(INT(B129+(G129/24)))), A129+(B129+(G129/24))), "yyyy-mm-dd")</f>
        <v>2024-09-22</v>
      </c>
      <c r="I129" s="2" t="str">
        <f>TEXT(IF(B129&lt;0, A129+1+((B129+(G129/24))-(INT(B129+(G129/24)))), A129+(B129+(G129/24))), "hh:mm")</f>
        <v>21:30</v>
      </c>
    </row>
    <row r="130" spans="1:9" x14ac:dyDescent="0.25">
      <c r="A130" s="23">
        <v>45557</v>
      </c>
      <c r="B130" s="20">
        <v>0.78125</v>
      </c>
      <c r="C130" s="20" t="s">
        <v>8</v>
      </c>
      <c r="D130" s="29" t="s">
        <v>218</v>
      </c>
      <c r="E130" s="11" t="s">
        <v>21</v>
      </c>
      <c r="F130" s="8">
        <f>(INT(Table_Tajikistan[[#This Row],[Date]]) - DATE(1970, 1, 1)) * 86400000</f>
        <v>1726963200000</v>
      </c>
      <c r="G130" s="10">
        <f>'GMT Glossary'!$B$11</f>
        <v>5</v>
      </c>
      <c r="H130" s="2" t="str">
        <f>TEXT(IF(B130&lt;0, A130+1+((B130+(G130/24))-(INT(B130+(G130/24)))), A130+(B130+(G130/24))), "yyyy-mm-dd")</f>
        <v>2024-09-22</v>
      </c>
      <c r="I130" s="2" t="str">
        <f>TEXT(IF(B130&lt;0, A130+1+((B130+(G130/24))-(INT(B130+(G130/24)))), A130+(B130+(G130/24))), "hh:mm")</f>
        <v>23:45</v>
      </c>
    </row>
    <row r="131" spans="1:9" x14ac:dyDescent="0.25">
      <c r="A131" s="28">
        <v>45557</v>
      </c>
      <c r="B131" s="27">
        <v>0.78125</v>
      </c>
      <c r="C131" s="27" t="s">
        <v>8</v>
      </c>
      <c r="D131" s="30" t="s">
        <v>249</v>
      </c>
      <c r="E131" s="31" t="s">
        <v>72</v>
      </c>
      <c r="F131" s="8">
        <f>(INT(Table_Tajikistan[[#This Row],[Date]]) - DATE(1970, 1, 1)) * 86400000</f>
        <v>1726963200000</v>
      </c>
      <c r="G131">
        <f>'GMT Glossary'!$B$11</f>
        <v>5</v>
      </c>
      <c r="H131" s="2" t="str">
        <f>TEXT(IF(B131&lt;0, A131+1+((B131+(G131/24))-(INT(B131+(G131/24)))), A131+(B131+(G131/24))), "yyyy-mm-dd")</f>
        <v>2024-09-22</v>
      </c>
      <c r="I131" s="2" t="str">
        <f>TEXT(IF(B131&lt;0, A131+1+((B131+(G131/24))-(INT(B131+(G131/24)))), A131+(B131+(G131/24))), "hh:mm")</f>
        <v>23:45</v>
      </c>
    </row>
    <row r="132" spans="1:9" x14ac:dyDescent="0.25">
      <c r="A132" s="28">
        <v>45557</v>
      </c>
      <c r="B132" s="27">
        <v>0.875</v>
      </c>
      <c r="C132" s="27" t="s">
        <v>8</v>
      </c>
      <c r="D132" s="30" t="s">
        <v>219</v>
      </c>
      <c r="E132" s="31" t="s">
        <v>21</v>
      </c>
      <c r="F132" s="8">
        <f>(INT(Table_Tajikistan[[#This Row],[Date]]) - DATE(1970, 1, 1)) * 86400000</f>
        <v>1726963200000</v>
      </c>
      <c r="G132">
        <f>'GMT Glossary'!$B$11</f>
        <v>5</v>
      </c>
      <c r="H132" s="2" t="str">
        <f>TEXT(IF(B132&lt;0, A132+1+((B132+(G132/24))-(INT(B132+(G132/24)))), A132+(B132+(G132/24))), "yyyy-mm-dd")</f>
        <v>2024-09-23</v>
      </c>
      <c r="I132" s="2" t="str">
        <f>TEXT(IF(B132&lt;0, A132+1+((B132+(G132/24))-(INT(B132+(G132/24)))), A132+(B132+(G132/24))), "hh:mm")</f>
        <v>02:00</v>
      </c>
    </row>
    <row r="133" spans="1:9" x14ac:dyDescent="0.25">
      <c r="A133" s="23">
        <v>45557</v>
      </c>
      <c r="B133" s="20">
        <v>0.875</v>
      </c>
      <c r="C133" s="20" t="s">
        <v>8</v>
      </c>
      <c r="D133" s="29" t="s">
        <v>141</v>
      </c>
      <c r="E133" s="11" t="s">
        <v>72</v>
      </c>
      <c r="F133" s="8">
        <f>(INT(Table_Tajikistan[[#This Row],[Date]]) - DATE(1970, 1, 1)) * 86400000</f>
        <v>1726963200000</v>
      </c>
      <c r="G133" s="10">
        <f>'GMT Glossary'!$B$11</f>
        <v>5</v>
      </c>
      <c r="H133" s="2" t="str">
        <f>TEXT(IF(B133&lt;0, A133+1+((B133+(G133/24))-(INT(B133+(G133/24)))), A133+(B133+(G133/24))), "yyyy-mm-dd")</f>
        <v>2024-09-23</v>
      </c>
      <c r="I133" s="2" t="str">
        <f>TEXT(IF(B133&lt;0, A133+1+((B133+(G133/24))-(INT(B133+(G133/24)))), A133+(B133+(G133/24))), "hh:mm")</f>
        <v>02:00</v>
      </c>
    </row>
    <row r="134" spans="1:9" x14ac:dyDescent="0.25">
      <c r="A134" s="23">
        <v>45557</v>
      </c>
      <c r="B134" s="20">
        <v>0.95833333333333337</v>
      </c>
      <c r="C134" s="20" t="s">
        <v>8</v>
      </c>
      <c r="D134" s="29" t="s">
        <v>220</v>
      </c>
      <c r="E134" s="11" t="s">
        <v>21</v>
      </c>
      <c r="F134" s="8">
        <f>(INT(Table_Tajikistan[[#This Row],[Date]]) - DATE(1970, 1, 1)) * 86400000</f>
        <v>1726963200000</v>
      </c>
      <c r="G134" s="10">
        <f>'GMT Glossary'!$B$11</f>
        <v>5</v>
      </c>
      <c r="H134" s="2" t="str">
        <f>TEXT(IF(B134&lt;0, A134+1+((B134+(G134/24))-(INT(B134+(G134/24)))), A134+(B134+(G134/24))), "yyyy-mm-dd")</f>
        <v>2024-09-23</v>
      </c>
      <c r="I134" s="2" t="str">
        <f>TEXT(IF(B134&lt;0, A134+1+((B134+(G134/24))-(INT(B134+(G134/24)))), A134+(B134+(G134/24))), "hh:mm")</f>
        <v>04:00</v>
      </c>
    </row>
    <row r="135" spans="1:9" x14ac:dyDescent="0.25">
      <c r="A135" s="28">
        <v>45557</v>
      </c>
      <c r="B135" s="27">
        <v>0.97916666666666663</v>
      </c>
      <c r="C135" s="27" t="s">
        <v>398</v>
      </c>
      <c r="D135" s="30" t="s">
        <v>92</v>
      </c>
      <c r="E135" s="31" t="s">
        <v>72</v>
      </c>
      <c r="F135" s="8">
        <f>(INT(Table_Tajikistan[[#This Row],[Date]]) - DATE(1970, 1, 1)) * 86400000</f>
        <v>1726963200000</v>
      </c>
      <c r="G135">
        <f>'GMT Glossary'!$B$11</f>
        <v>5</v>
      </c>
      <c r="H135" s="2" t="str">
        <f>TEXT(IF(B135&lt;0, A135+1+((B135+(G135/24))-(INT(B135+(G135/24)))), A135+(B135+(G135/24))), "yyyy-mm-dd")</f>
        <v>2024-09-23</v>
      </c>
      <c r="I135" s="2" t="str">
        <f>TEXT(IF(B135&lt;0, A135+1+((B135+(G135/24))-(INT(B135+(G135/24)))), A135+(B135+(G135/24))), "hh:mm")</f>
        <v>04:30</v>
      </c>
    </row>
    <row r="136" spans="1:9" x14ac:dyDescent="0.25">
      <c r="A136" s="28">
        <v>45558</v>
      </c>
      <c r="B136" s="27">
        <v>4.1666666666666664E-2</v>
      </c>
      <c r="C136" s="27" t="s">
        <v>8</v>
      </c>
      <c r="D136" s="30" t="s">
        <v>221</v>
      </c>
      <c r="E136" s="31" t="s">
        <v>21</v>
      </c>
      <c r="F136" s="8">
        <f>(INT(Table_Tajikistan[[#This Row],[Date]]) - DATE(1970, 1, 1)) * 86400000</f>
        <v>1727049600000</v>
      </c>
      <c r="G136">
        <f>'GMT Glossary'!$B$11</f>
        <v>5</v>
      </c>
      <c r="H136" s="2" t="str">
        <f>TEXT(IF(B136&lt;0, A136+1+((B136+(G136/24))-(INT(B136+(G136/24)))), A136+(B136+(G136/24))), "yyyy-mm-dd")</f>
        <v>2024-09-23</v>
      </c>
      <c r="I136" s="2" t="str">
        <f>TEXT(IF(B136&lt;0, A136+1+((B136+(G136/24))-(INT(B136+(G136/24)))), A136+(B136+(G136/24))), "hh:mm")</f>
        <v>06:00</v>
      </c>
    </row>
    <row r="137" spans="1:9" x14ac:dyDescent="0.25">
      <c r="A137" s="23">
        <v>45558</v>
      </c>
      <c r="B137" s="20">
        <v>8.3333333333333329E-2</v>
      </c>
      <c r="C137" s="20" t="s">
        <v>401</v>
      </c>
      <c r="D137" s="29" t="s">
        <v>87</v>
      </c>
      <c r="E137" s="11" t="s">
        <v>72</v>
      </c>
      <c r="F137" s="8">
        <f>(INT(Table_Tajikistan[[#This Row],[Date]]) - DATE(1970, 1, 1)) * 86400000</f>
        <v>1727049600000</v>
      </c>
      <c r="G137" s="10">
        <f>'GMT Glossary'!$B$11</f>
        <v>5</v>
      </c>
      <c r="H137" s="2" t="str">
        <f>TEXT(IF(B137&lt;0, A137+1+((B137+(G137/24))-(INT(B137+(G137/24)))), A137+(B137+(G137/24))), "yyyy-mm-dd")</f>
        <v>2024-09-23</v>
      </c>
      <c r="I137" s="2" t="str">
        <f>TEXT(IF(B137&lt;0, A137+1+((B137+(G137/24))-(INT(B137+(G137/24)))), A137+(B137+(G137/24))), "hh:mm")</f>
        <v>07:00</v>
      </c>
    </row>
    <row r="138" spans="1:9" x14ac:dyDescent="0.25">
      <c r="A138" s="23">
        <v>45558</v>
      </c>
      <c r="B138" s="20">
        <v>0.125</v>
      </c>
      <c r="C138" s="20" t="s">
        <v>8</v>
      </c>
      <c r="D138" s="25" t="s">
        <v>222</v>
      </c>
      <c r="E138" s="11" t="s">
        <v>21</v>
      </c>
      <c r="F138" s="8">
        <f>(INT(Table_Tajikistan[[#This Row],[Date]]) - DATE(1970, 1, 1)) * 86400000</f>
        <v>1727049600000</v>
      </c>
      <c r="G138" s="10">
        <f>'GMT Glossary'!$B$11</f>
        <v>5</v>
      </c>
      <c r="H138" s="2" t="str">
        <f>TEXT(IF(B138&lt;0, A138+1+((B138+(G138/24))-(INT(B138+(G138/24)))), A138+(B138+(G138/24))), "yyyy-mm-dd")</f>
        <v>2024-09-23</v>
      </c>
      <c r="I138" s="2" t="str">
        <f>TEXT(IF(B138&lt;0, A138+1+((B138+(G138/24))-(INT(B138+(G138/24)))), A138+(B138+(G138/24))), "hh:mm")</f>
        <v>08:00</v>
      </c>
    </row>
    <row r="139" spans="1:9" x14ac:dyDescent="0.25">
      <c r="A139" s="23">
        <v>45558</v>
      </c>
      <c r="B139" s="20">
        <v>0.20833333333333334</v>
      </c>
      <c r="C139" s="20" t="s">
        <v>8</v>
      </c>
      <c r="D139" s="25" t="s">
        <v>223</v>
      </c>
      <c r="E139" s="11" t="s">
        <v>21</v>
      </c>
      <c r="F139" s="8">
        <f>(INT(Table_Tajikistan[[#This Row],[Date]]) - DATE(1970, 1, 1)) * 86400000</f>
        <v>1727049600000</v>
      </c>
      <c r="G139" s="10">
        <f>'GMT Glossary'!$B$11</f>
        <v>5</v>
      </c>
      <c r="H139" s="2" t="str">
        <f>TEXT(IF(B139&lt;0, A139+1+((B139+(G139/24))-(INT(B139+(G139/24)))), A139+(B139+(G139/24))), "yyyy-mm-dd")</f>
        <v>2024-09-23</v>
      </c>
      <c r="I139" s="2" t="str">
        <f>TEXT(IF(B139&lt;0, A139+1+((B139+(G139/24))-(INT(B139+(G139/24)))), A139+(B139+(G139/24))), "hh:mm")</f>
        <v>10:00</v>
      </c>
    </row>
    <row r="140" spans="1:9" x14ac:dyDescent="0.25">
      <c r="A140" s="28">
        <v>45558</v>
      </c>
      <c r="B140" s="27">
        <v>0.20833333333333334</v>
      </c>
      <c r="C140" s="27" t="s">
        <v>8</v>
      </c>
      <c r="D140" s="25" t="s">
        <v>250</v>
      </c>
      <c r="E140" s="31" t="s">
        <v>72</v>
      </c>
      <c r="F140" s="8">
        <f>(INT(Table_Tajikistan[[#This Row],[Date]]) - DATE(1970, 1, 1)) * 86400000</f>
        <v>1727049600000</v>
      </c>
      <c r="G140">
        <f>'GMT Glossary'!$B$11</f>
        <v>5</v>
      </c>
      <c r="H140" s="2" t="str">
        <f>TEXT(IF(B140&lt;0, A140+1+((B140+(G140/24))-(INT(B140+(G140/24)))), A140+(B140+(G140/24))), "yyyy-mm-dd")</f>
        <v>2024-09-23</v>
      </c>
      <c r="I140" s="2" t="str">
        <f>TEXT(IF(B140&lt;0, A140+1+((B140+(G140/24))-(INT(B140+(G140/24)))), A140+(B140+(G140/24))), "hh:mm")</f>
        <v>10:00</v>
      </c>
    </row>
    <row r="141" spans="1:9" x14ac:dyDescent="0.25">
      <c r="A141" s="28">
        <v>45558</v>
      </c>
      <c r="B141" s="27">
        <v>0.29166666666666669</v>
      </c>
      <c r="C141" s="27" t="s">
        <v>8</v>
      </c>
      <c r="D141" s="30" t="s">
        <v>219</v>
      </c>
      <c r="E141" s="31" t="s">
        <v>21</v>
      </c>
      <c r="F141" s="8">
        <f>(INT(Table_Tajikistan[[#This Row],[Date]]) - DATE(1970, 1, 1)) * 86400000</f>
        <v>1727049600000</v>
      </c>
      <c r="G141">
        <f>'GMT Glossary'!$B$11</f>
        <v>5</v>
      </c>
      <c r="H141" s="2" t="str">
        <f>TEXT(IF(B141&lt;0, A141+1+((B141+(G141/24))-(INT(B141+(G141/24)))), A141+(B141+(G141/24))), "yyyy-mm-dd")</f>
        <v>2024-09-23</v>
      </c>
      <c r="I141" s="2" t="str">
        <f>TEXT(IF(B141&lt;0, A141+1+((B141+(G141/24))-(INT(B141+(G141/24)))), A141+(B141+(G141/24))), "hh:mm")</f>
        <v>12:00</v>
      </c>
    </row>
    <row r="142" spans="1:9" x14ac:dyDescent="0.25">
      <c r="A142" s="23">
        <v>45558</v>
      </c>
      <c r="B142" s="20">
        <v>0.29166666666666669</v>
      </c>
      <c r="C142" s="20" t="s">
        <v>8</v>
      </c>
      <c r="D142" s="29" t="s">
        <v>251</v>
      </c>
      <c r="E142" s="11" t="s">
        <v>72</v>
      </c>
      <c r="F142" s="8">
        <f>(INT(Table_Tajikistan[[#This Row],[Date]]) - DATE(1970, 1, 1)) * 86400000</f>
        <v>1727049600000</v>
      </c>
      <c r="G142" s="10">
        <f>'GMT Glossary'!$B$11</f>
        <v>5</v>
      </c>
      <c r="H142" s="2" t="str">
        <f>TEXT(IF(B142&lt;0, A142+1+((B142+(G142/24))-(INT(B142+(G142/24)))), A142+(B142+(G142/24))), "yyyy-mm-dd")</f>
        <v>2024-09-23</v>
      </c>
      <c r="I142" s="2" t="str">
        <f>TEXT(IF(B142&lt;0, A142+1+((B142+(G142/24))-(INT(B142+(G142/24)))), A142+(B142+(G142/24))), "hh:mm")</f>
        <v>12:00</v>
      </c>
    </row>
    <row r="143" spans="1:9" x14ac:dyDescent="0.25">
      <c r="A143" s="23">
        <v>45558</v>
      </c>
      <c r="B143" s="20">
        <v>0.375</v>
      </c>
      <c r="C143" s="20" t="s">
        <v>8</v>
      </c>
      <c r="D143" s="25" t="s">
        <v>224</v>
      </c>
      <c r="E143" s="11" t="s">
        <v>21</v>
      </c>
      <c r="F143" s="8">
        <f>(INT(Table_Tajikistan[[#This Row],[Date]]) - DATE(1970, 1, 1)) * 86400000</f>
        <v>1727049600000</v>
      </c>
      <c r="G143" s="10">
        <f>'GMT Glossary'!$B$11</f>
        <v>5</v>
      </c>
      <c r="H143" s="2" t="str">
        <f>TEXT(IF(B143&lt;0, A143+1+((B143+(G143/24))-(INT(B143+(G143/24)))), A143+(B143+(G143/24))), "yyyy-mm-dd")</f>
        <v>2024-09-23</v>
      </c>
      <c r="I143" s="2" t="str">
        <f>TEXT(IF(B143&lt;0, A143+1+((B143+(G143/24))-(INT(B143+(G143/24)))), A143+(B143+(G143/24))), "hh:mm")</f>
        <v>14:00</v>
      </c>
    </row>
    <row r="144" spans="1:9" x14ac:dyDescent="0.25">
      <c r="A144" s="28">
        <v>45558</v>
      </c>
      <c r="B144" s="27">
        <v>0.375</v>
      </c>
      <c r="C144" s="27" t="s">
        <v>8</v>
      </c>
      <c r="D144" s="30" t="s">
        <v>252</v>
      </c>
      <c r="E144" s="31" t="s">
        <v>72</v>
      </c>
      <c r="F144" s="8">
        <f>(INT(Table_Tajikistan[[#This Row],[Date]]) - DATE(1970, 1, 1)) * 86400000</f>
        <v>1727049600000</v>
      </c>
      <c r="G144">
        <f>'GMT Glossary'!$B$11</f>
        <v>5</v>
      </c>
      <c r="H144" s="2" t="str">
        <f>TEXT(IF(B144&lt;0, A144+1+((B144+(G144/24))-(INT(B144+(G144/24)))), A144+(B144+(G144/24))), "yyyy-mm-dd")</f>
        <v>2024-09-23</v>
      </c>
      <c r="I144" s="2" t="str">
        <f>TEXT(IF(B144&lt;0, A144+1+((B144+(G144/24))-(INT(B144+(G144/24)))), A144+(B144+(G144/24))), "hh:mm")</f>
        <v>14:00</v>
      </c>
    </row>
    <row r="145" spans="1:9" x14ac:dyDescent="0.25">
      <c r="A145" s="28">
        <v>45558</v>
      </c>
      <c r="B145" s="27">
        <v>0.45833333333333331</v>
      </c>
      <c r="C145" s="27" t="s">
        <v>8</v>
      </c>
      <c r="D145" s="30" t="s">
        <v>225</v>
      </c>
      <c r="E145" s="31" t="s">
        <v>21</v>
      </c>
      <c r="F145" s="8">
        <f>(INT(Table_Tajikistan[[#This Row],[Date]]) - DATE(1970, 1, 1)) * 86400000</f>
        <v>1727049600000</v>
      </c>
      <c r="G145">
        <f>'GMT Glossary'!$B$11</f>
        <v>5</v>
      </c>
      <c r="H145" s="2" t="str">
        <f>TEXT(IF(B145&lt;0, A145+1+((B145+(G145/24))-(INT(B145+(G145/24)))), A145+(B145+(G145/24))), "yyyy-mm-dd")</f>
        <v>2024-09-23</v>
      </c>
      <c r="I145" s="2" t="str">
        <f>TEXT(IF(B145&lt;0, A145+1+((B145+(G145/24))-(INT(B145+(G145/24)))), A145+(B145+(G145/24))), "hh:mm")</f>
        <v>16:00</v>
      </c>
    </row>
    <row r="146" spans="1:9" x14ac:dyDescent="0.25">
      <c r="A146" s="23">
        <v>45558</v>
      </c>
      <c r="B146" s="20">
        <v>0.45833333333333331</v>
      </c>
      <c r="C146" s="20" t="s">
        <v>402</v>
      </c>
      <c r="D146" s="29" t="s">
        <v>91</v>
      </c>
      <c r="E146" s="11" t="s">
        <v>72</v>
      </c>
      <c r="F146" s="8">
        <f>(INT(Table_Tajikistan[[#This Row],[Date]]) - DATE(1970, 1, 1)) * 86400000</f>
        <v>1727049600000</v>
      </c>
      <c r="G146" s="10">
        <f>'GMT Glossary'!$B$11</f>
        <v>5</v>
      </c>
      <c r="H146" s="2" t="str">
        <f>TEXT(IF(B146&lt;0, A146+1+((B146+(G146/24))-(INT(B146+(G146/24)))), A146+(B146+(G146/24))), "yyyy-mm-dd")</f>
        <v>2024-09-23</v>
      </c>
      <c r="I146" s="2" t="str">
        <f>TEXT(IF(B146&lt;0, A146+1+((B146+(G146/24))-(INT(B146+(G146/24)))), A146+(B146+(G146/24))), "hh:mm")</f>
        <v>16:00</v>
      </c>
    </row>
    <row r="147" spans="1:9" x14ac:dyDescent="0.25">
      <c r="A147" s="23">
        <v>45558</v>
      </c>
      <c r="B147" s="20">
        <v>0.54166666666666663</v>
      </c>
      <c r="C147" s="20" t="s">
        <v>8</v>
      </c>
      <c r="D147" s="25" t="s">
        <v>226</v>
      </c>
      <c r="E147" s="11" t="s">
        <v>21</v>
      </c>
      <c r="F147" s="8">
        <f>(INT(Table_Tajikistan[[#This Row],[Date]]) - DATE(1970, 1, 1)) * 86400000</f>
        <v>1727049600000</v>
      </c>
      <c r="G147" s="10">
        <f>'GMT Glossary'!$B$11</f>
        <v>5</v>
      </c>
      <c r="H147" s="2" t="str">
        <f>TEXT(IF(B147&lt;0, A147+1+((B147+(G147/24))-(INT(B147+(G147/24)))), A147+(B147+(G147/24))), "yyyy-mm-dd")</f>
        <v>2024-09-23</v>
      </c>
      <c r="I147" s="2" t="str">
        <f>TEXT(IF(B147&lt;0, A147+1+((B147+(G147/24))-(INT(B147+(G147/24)))), A147+(B147+(G147/24))), "hh:mm")</f>
        <v>18:00</v>
      </c>
    </row>
    <row r="148" spans="1:9" x14ac:dyDescent="0.25">
      <c r="A148" s="28">
        <v>45558</v>
      </c>
      <c r="B148" s="27">
        <v>0.54166666666666663</v>
      </c>
      <c r="C148" s="27" t="s">
        <v>398</v>
      </c>
      <c r="D148" s="30" t="s">
        <v>92</v>
      </c>
      <c r="E148" s="31" t="s">
        <v>72</v>
      </c>
      <c r="F148" s="8">
        <f>(INT(Table_Tajikistan[[#This Row],[Date]]) - DATE(1970, 1, 1)) * 86400000</f>
        <v>1727049600000</v>
      </c>
      <c r="G148">
        <f>'GMT Glossary'!$B$11</f>
        <v>5</v>
      </c>
      <c r="H148" s="2" t="str">
        <f>TEXT(IF(B148&lt;0, A148+1+((B148+(G148/24))-(INT(B148+(G148/24)))), A148+(B148+(G148/24))), "yyyy-mm-dd")</f>
        <v>2024-09-23</v>
      </c>
      <c r="I148" s="2" t="str">
        <f>TEXT(IF(B148&lt;0, A148+1+((B148+(G148/24))-(INT(B148+(G148/24)))), A148+(B148+(G148/24))), "hh:mm")</f>
        <v>18:00</v>
      </c>
    </row>
    <row r="149" spans="1:9" x14ac:dyDescent="0.25">
      <c r="A149" s="28">
        <v>45558</v>
      </c>
      <c r="B149" s="27">
        <v>0.625</v>
      </c>
      <c r="C149" s="27" t="s">
        <v>8</v>
      </c>
      <c r="D149" s="30" t="s">
        <v>223</v>
      </c>
      <c r="E149" s="31" t="s">
        <v>21</v>
      </c>
      <c r="F149" s="8">
        <f>(INT(Table_Tajikistan[[#This Row],[Date]]) - DATE(1970, 1, 1)) * 86400000</f>
        <v>1727049600000</v>
      </c>
      <c r="G149">
        <f>'GMT Glossary'!$B$11</f>
        <v>5</v>
      </c>
      <c r="H149" s="2" t="str">
        <f>TEXT(IF(B149&lt;0, A149+1+((B149+(G149/24))-(INT(B149+(G149/24)))), A149+(B149+(G149/24))), "yyyy-mm-dd")</f>
        <v>2024-09-23</v>
      </c>
      <c r="I149" s="2" t="str">
        <f>TEXT(IF(B149&lt;0, A149+1+((B149+(G149/24))-(INT(B149+(G149/24)))), A149+(B149+(G149/24))), "hh:mm")</f>
        <v>20:00</v>
      </c>
    </row>
    <row r="150" spans="1:9" x14ac:dyDescent="0.25">
      <c r="A150" s="23">
        <v>45558</v>
      </c>
      <c r="B150" s="20">
        <v>0.625</v>
      </c>
      <c r="C150" s="20" t="s">
        <v>8</v>
      </c>
      <c r="D150" s="30" t="s">
        <v>253</v>
      </c>
      <c r="E150" s="11" t="s">
        <v>72</v>
      </c>
      <c r="F150" s="8">
        <f>(INT(Table_Tajikistan[[#This Row],[Date]]) - DATE(1970, 1, 1)) * 86400000</f>
        <v>1727049600000</v>
      </c>
      <c r="G150" s="10">
        <f>'GMT Glossary'!$B$11</f>
        <v>5</v>
      </c>
      <c r="H150" s="2" t="str">
        <f>TEXT(IF(B150&lt;0, A150+1+((B150+(G150/24))-(INT(B150+(G150/24)))), A150+(B150+(G150/24))), "yyyy-mm-dd")</f>
        <v>2024-09-23</v>
      </c>
      <c r="I150" s="2" t="str">
        <f>TEXT(IF(B150&lt;0, A150+1+((B150+(G150/24))-(INT(B150+(G150/24)))), A150+(B150+(G150/24))), "hh:mm")</f>
        <v>20:00</v>
      </c>
    </row>
    <row r="151" spans="1:9" x14ac:dyDescent="0.25">
      <c r="A151" s="28">
        <v>45558</v>
      </c>
      <c r="B151" s="27">
        <v>0.70833333333333337</v>
      </c>
      <c r="C151" s="27" t="s">
        <v>8</v>
      </c>
      <c r="D151" s="30" t="s">
        <v>221</v>
      </c>
      <c r="E151" s="31" t="s">
        <v>21</v>
      </c>
      <c r="F151" s="8">
        <f>(INT(Table_Tajikistan[[#This Row],[Date]]) - DATE(1970, 1, 1)) * 86400000</f>
        <v>1727049600000</v>
      </c>
      <c r="G151">
        <f>'GMT Glossary'!$B$11</f>
        <v>5</v>
      </c>
      <c r="H151" s="2" t="str">
        <f>TEXT(IF(B151&lt;0, A151+1+((B151+(G151/24))-(INT(B151+(G151/24)))), A151+(B151+(G151/24))), "yyyy-mm-dd")</f>
        <v>2024-09-23</v>
      </c>
      <c r="I151" s="2" t="str">
        <f>TEXT(IF(B151&lt;0, A151+1+((B151+(G151/24))-(INT(B151+(G151/24)))), A151+(B151+(G151/24))), "hh:mm")</f>
        <v>22:00</v>
      </c>
    </row>
    <row r="152" spans="1:9" x14ac:dyDescent="0.25">
      <c r="A152" s="28">
        <v>45558</v>
      </c>
      <c r="B152" s="27">
        <v>0.70833333333333337</v>
      </c>
      <c r="C152" s="27" t="s">
        <v>8</v>
      </c>
      <c r="D152" s="30" t="s">
        <v>254</v>
      </c>
      <c r="E152" s="31" t="s">
        <v>72</v>
      </c>
      <c r="F152" s="8">
        <f>(INT(Table_Tajikistan[[#This Row],[Date]]) - DATE(1970, 1, 1)) * 86400000</f>
        <v>1727049600000</v>
      </c>
      <c r="G152">
        <f>'GMT Glossary'!$B$11</f>
        <v>5</v>
      </c>
      <c r="H152" s="2" t="str">
        <f>TEXT(IF(B152&lt;0, A152+1+((B152+(G152/24))-(INT(B152+(G152/24)))), A152+(B152+(G152/24))), "yyyy-mm-dd")</f>
        <v>2024-09-23</v>
      </c>
      <c r="I152" s="2" t="str">
        <f>TEXT(IF(B152&lt;0, A152+1+((B152+(G152/24))-(INT(B152+(G152/24)))), A152+(B152+(G152/24))), "hh:mm")</f>
        <v>22:00</v>
      </c>
    </row>
    <row r="153" spans="1:9" x14ac:dyDescent="0.25">
      <c r="A153" s="23">
        <v>45558</v>
      </c>
      <c r="B153" s="20">
        <v>0.78125</v>
      </c>
      <c r="C153" s="20" t="s">
        <v>8</v>
      </c>
      <c r="D153" s="29" t="s">
        <v>227</v>
      </c>
      <c r="E153" s="11" t="s">
        <v>21</v>
      </c>
      <c r="F153" s="8">
        <f>(INT(Table_Tajikistan[[#This Row],[Date]]) - DATE(1970, 1, 1)) * 86400000</f>
        <v>1727049600000</v>
      </c>
      <c r="G153" s="10">
        <f>'GMT Glossary'!$B$11</f>
        <v>5</v>
      </c>
      <c r="H153" s="2" t="str">
        <f>TEXT(IF(B153&lt;0, A153+1+((B153+(G153/24))-(INT(B153+(G153/24)))), A153+(B153+(G153/24))), "yyyy-mm-dd")</f>
        <v>2024-09-23</v>
      </c>
      <c r="I153" s="2" t="str">
        <f>TEXT(IF(B153&lt;0, A153+1+((B153+(G153/24))-(INT(B153+(G153/24)))), A153+(B153+(G153/24))), "hh:mm")</f>
        <v>23:45</v>
      </c>
    </row>
    <row r="154" spans="1:9" x14ac:dyDescent="0.25">
      <c r="A154" s="23">
        <v>45558</v>
      </c>
      <c r="B154" s="20">
        <v>0.79166666666666663</v>
      </c>
      <c r="C154" s="20" t="s">
        <v>8</v>
      </c>
      <c r="D154" s="29" t="s">
        <v>141</v>
      </c>
      <c r="E154" s="11" t="s">
        <v>72</v>
      </c>
      <c r="F154" s="8">
        <f>(INT(Table_Tajikistan[[#This Row],[Date]]) - DATE(1970, 1, 1)) * 86400000</f>
        <v>1727049600000</v>
      </c>
      <c r="G154" s="10">
        <f>'GMT Glossary'!$B$11</f>
        <v>5</v>
      </c>
      <c r="H154" s="2" t="str">
        <f>TEXT(IF(B154&lt;0, A154+1+((B154+(G154/24))-(INT(B154+(G154/24)))), A154+(B154+(G154/24))), "yyyy-mm-dd")</f>
        <v>2024-09-24</v>
      </c>
      <c r="I154" s="2" t="str">
        <f>TEXT(IF(B154&lt;0, A154+1+((B154+(G154/24))-(INT(B154+(G154/24)))), A154+(B154+(G154/24))), "hh:mm")</f>
        <v>00:00</v>
      </c>
    </row>
    <row r="155" spans="1:9" x14ac:dyDescent="0.25">
      <c r="A155" s="28">
        <v>45558</v>
      </c>
      <c r="B155" s="27">
        <v>0.875</v>
      </c>
      <c r="C155" s="27" t="s">
        <v>8</v>
      </c>
      <c r="D155" s="30" t="s">
        <v>225</v>
      </c>
      <c r="E155" s="31" t="s">
        <v>21</v>
      </c>
      <c r="F155" s="8">
        <f>(INT(Table_Tajikistan[[#This Row],[Date]]) - DATE(1970, 1, 1)) * 86400000</f>
        <v>1727049600000</v>
      </c>
      <c r="G155">
        <f>'GMT Glossary'!$B$11</f>
        <v>5</v>
      </c>
      <c r="H155" s="2" t="str">
        <f>TEXT(IF(B155&lt;0, A155+1+((B155+(G155/24))-(INT(B155+(G155/24)))), A155+(B155+(G155/24))), "yyyy-mm-dd")</f>
        <v>2024-09-24</v>
      </c>
      <c r="I155" s="2" t="str">
        <f>TEXT(IF(B155&lt;0, A155+1+((B155+(G155/24))-(INT(B155+(G155/24)))), A155+(B155+(G155/24))), "hh:mm")</f>
        <v>02:00</v>
      </c>
    </row>
    <row r="156" spans="1:9" x14ac:dyDescent="0.25">
      <c r="A156" s="28">
        <v>45558</v>
      </c>
      <c r="B156" s="27">
        <v>0.875</v>
      </c>
      <c r="C156" s="27" t="s">
        <v>8</v>
      </c>
      <c r="D156" s="30" t="s">
        <v>139</v>
      </c>
      <c r="E156" s="31" t="s">
        <v>72</v>
      </c>
      <c r="F156" s="8">
        <f>(INT(Table_Tajikistan[[#This Row],[Date]]) - DATE(1970, 1, 1)) * 86400000</f>
        <v>1727049600000</v>
      </c>
      <c r="G156">
        <f>'GMT Glossary'!$B$11</f>
        <v>5</v>
      </c>
      <c r="H156" s="2" t="str">
        <f>TEXT(IF(B156&lt;0, A156+1+((B156+(G156/24))-(INT(B156+(G156/24)))), A156+(B156+(G156/24))), "yyyy-mm-dd")</f>
        <v>2024-09-24</v>
      </c>
      <c r="I156" s="2" t="str">
        <f>TEXT(IF(B156&lt;0, A156+1+((B156+(G156/24))-(INT(B156+(G156/24)))), A156+(B156+(G156/24))), "hh:mm")</f>
        <v>02:00</v>
      </c>
    </row>
    <row r="157" spans="1:9" x14ac:dyDescent="0.25">
      <c r="A157" s="23">
        <v>45558</v>
      </c>
      <c r="B157" s="20">
        <v>0.95833333333333337</v>
      </c>
      <c r="C157" s="20" t="s">
        <v>8</v>
      </c>
      <c r="D157" s="25" t="s">
        <v>228</v>
      </c>
      <c r="E157" s="11" t="s">
        <v>21</v>
      </c>
      <c r="F157" s="8">
        <f>(INT(Table_Tajikistan[[#This Row],[Date]]) - DATE(1970, 1, 1)) * 86400000</f>
        <v>1727049600000</v>
      </c>
      <c r="G157" s="10">
        <f>'GMT Glossary'!$B$11</f>
        <v>5</v>
      </c>
      <c r="H157" s="2" t="str">
        <f>TEXT(IF(B157&lt;0, A157+1+((B157+(G157/24))-(INT(B157+(G157/24)))), A157+(B157+(G157/24))), "yyyy-mm-dd")</f>
        <v>2024-09-24</v>
      </c>
      <c r="I157" s="2" t="str">
        <f>TEXT(IF(B157&lt;0, A157+1+((B157+(G157/24))-(INT(B157+(G157/24)))), A157+(B157+(G157/24))), "hh:mm")</f>
        <v>04:00</v>
      </c>
    </row>
    <row r="158" spans="1:9" x14ac:dyDescent="0.25">
      <c r="A158" s="28">
        <v>45558</v>
      </c>
      <c r="B158" s="27">
        <v>0.95833333333333337</v>
      </c>
      <c r="C158" s="27" t="s">
        <v>401</v>
      </c>
      <c r="D158" s="30" t="s">
        <v>87</v>
      </c>
      <c r="E158" s="31" t="s">
        <v>72</v>
      </c>
      <c r="F158" s="8">
        <f>(INT(Table_Tajikistan[[#This Row],[Date]]) - DATE(1970, 1, 1)) * 86400000</f>
        <v>1727049600000</v>
      </c>
      <c r="G158">
        <f>'GMT Glossary'!$B$11</f>
        <v>5</v>
      </c>
      <c r="H158" s="2" t="str">
        <f>TEXT(IF(B158&lt;0, A158+1+((B158+(G158/24))-(INT(B158+(G158/24)))), A158+(B158+(G158/24))), "yyyy-mm-dd")</f>
        <v>2024-09-24</v>
      </c>
      <c r="I158" s="2" t="str">
        <f>TEXT(IF(B158&lt;0, A158+1+((B158+(G158/24))-(INT(B158+(G158/24)))), A158+(B158+(G158/24))), "hh:mm")</f>
        <v>04:00</v>
      </c>
    </row>
    <row r="159" spans="1:9" x14ac:dyDescent="0.25">
      <c r="A159" s="28">
        <v>45559</v>
      </c>
      <c r="B159" s="27">
        <v>4.1666666666666664E-2</v>
      </c>
      <c r="C159" s="27" t="s">
        <v>8</v>
      </c>
      <c r="D159" s="25" t="s">
        <v>224</v>
      </c>
      <c r="E159" s="31" t="s">
        <v>21</v>
      </c>
      <c r="F159" s="8">
        <f>(INT(Table_Tajikistan[[#This Row],[Date]]) - DATE(1970, 1, 1)) * 86400000</f>
        <v>1727136000000</v>
      </c>
      <c r="G159">
        <f>'GMT Glossary'!$B$11</f>
        <v>5</v>
      </c>
      <c r="H159" s="2" t="str">
        <f>TEXT(IF(B159&lt;0, A159+1+((B159+(G159/24))-(INT(B159+(G159/24)))), A159+(B159+(G159/24))), "yyyy-mm-dd")</f>
        <v>2024-09-24</v>
      </c>
      <c r="I159" s="2" t="str">
        <f>TEXT(IF(B159&lt;0, A159+1+((B159+(G159/24))-(INT(B159+(G159/24)))), A159+(B159+(G159/24))), "hh:mm")</f>
        <v>06:00</v>
      </c>
    </row>
    <row r="160" spans="1:9" x14ac:dyDescent="0.25">
      <c r="A160" s="23">
        <v>45559</v>
      </c>
      <c r="B160" s="20">
        <v>8.3333333333333329E-2</v>
      </c>
      <c r="C160" s="20" t="s">
        <v>402</v>
      </c>
      <c r="D160" s="30" t="s">
        <v>91</v>
      </c>
      <c r="E160" s="11" t="s">
        <v>72</v>
      </c>
      <c r="F160" s="8">
        <f>(INT(Table_Tajikistan[[#This Row],[Date]]) - DATE(1970, 1, 1)) * 86400000</f>
        <v>1727136000000</v>
      </c>
      <c r="G160" s="10">
        <f>'GMT Glossary'!$B$11</f>
        <v>5</v>
      </c>
      <c r="H160" s="2" t="str">
        <f>TEXT(IF(B160&lt;0, A160+1+((B160+(G160/24))-(INT(B160+(G160/24)))), A160+(B160+(G160/24))), "yyyy-mm-dd")</f>
        <v>2024-09-24</v>
      </c>
      <c r="I160" s="2" t="str">
        <f>TEXT(IF(B160&lt;0, A160+1+((B160+(G160/24))-(INT(B160+(G160/24)))), A160+(B160+(G160/24))), "hh:mm")</f>
        <v>07:00</v>
      </c>
    </row>
    <row r="161" spans="1:9" x14ac:dyDescent="0.25">
      <c r="A161" s="28">
        <v>45559</v>
      </c>
      <c r="B161" s="27">
        <v>0.125</v>
      </c>
      <c r="C161" s="27" t="s">
        <v>8</v>
      </c>
      <c r="D161" s="25" t="s">
        <v>220</v>
      </c>
      <c r="E161" s="31" t="s">
        <v>21</v>
      </c>
      <c r="F161" s="8">
        <f>(INT(Table_Tajikistan[[#This Row],[Date]]) - DATE(1970, 1, 1)) * 86400000</f>
        <v>1727136000000</v>
      </c>
      <c r="G161">
        <f>'GMT Glossary'!$B$11</f>
        <v>5</v>
      </c>
      <c r="H161" s="2" t="str">
        <f>TEXT(IF(B161&lt;0, A161+1+((B161+(G161/24))-(INT(B161+(G161/24)))), A161+(B161+(G161/24))), "yyyy-mm-dd")</f>
        <v>2024-09-24</v>
      </c>
      <c r="I161" s="2" t="str">
        <f>TEXT(IF(B161&lt;0, A161+1+((B161+(G161/24))-(INT(B161+(G161/24)))), A161+(B161+(G161/24))), "hh:mm")</f>
        <v>08:00</v>
      </c>
    </row>
    <row r="162" spans="1:9" x14ac:dyDescent="0.25">
      <c r="A162" s="23">
        <v>45559</v>
      </c>
      <c r="B162" s="20">
        <v>0.20833333333333334</v>
      </c>
      <c r="C162" s="20" t="s">
        <v>8</v>
      </c>
      <c r="D162" s="29" t="s">
        <v>222</v>
      </c>
      <c r="E162" s="11" t="s">
        <v>21</v>
      </c>
      <c r="F162" s="8">
        <f>(INT(Table_Tajikistan[[#This Row],[Date]]) - DATE(1970, 1, 1)) * 86400000</f>
        <v>1727136000000</v>
      </c>
      <c r="G162" s="10">
        <f>'GMT Glossary'!$B$11</f>
        <v>5</v>
      </c>
      <c r="H162" s="2" t="str">
        <f>TEXT(IF(B162&lt;0, A162+1+((B162+(G162/24))-(INT(B162+(G162/24)))), A162+(B162+(G162/24))), "yyyy-mm-dd")</f>
        <v>2024-09-24</v>
      </c>
      <c r="I162" s="2" t="str">
        <f>TEXT(IF(B162&lt;0, A162+1+((B162+(G162/24))-(INT(B162+(G162/24)))), A162+(B162+(G162/24))), "hh:mm")</f>
        <v>10:00</v>
      </c>
    </row>
    <row r="163" spans="1:9" x14ac:dyDescent="0.25">
      <c r="A163" s="28">
        <v>45559</v>
      </c>
      <c r="B163" s="27">
        <v>0.20833333333333334</v>
      </c>
      <c r="C163" s="27" t="s">
        <v>398</v>
      </c>
      <c r="D163" s="30" t="s">
        <v>92</v>
      </c>
      <c r="E163" s="11" t="s">
        <v>72</v>
      </c>
      <c r="F163" s="8">
        <f>(INT(Table_Tajikistan[[#This Row],[Date]]) - DATE(1970, 1, 1)) * 86400000</f>
        <v>1727136000000</v>
      </c>
      <c r="G163" s="10">
        <f>'GMT Glossary'!$B$11</f>
        <v>5</v>
      </c>
      <c r="H163" s="2" t="str">
        <f>TEXT(IF(B163&lt;0, A163+1+((B163+(G163/24))-(INT(B163+(G163/24)))), A163+(B163+(G163/24))), "yyyy-mm-dd")</f>
        <v>2024-09-24</v>
      </c>
      <c r="I163" s="2" t="str">
        <f>TEXT(IF(B163&lt;0, A163+1+((B163+(G163/24))-(INT(B163+(G163/24)))), A163+(B163+(G163/24))), "hh:mm")</f>
        <v>10:00</v>
      </c>
    </row>
    <row r="164" spans="1:9" x14ac:dyDescent="0.25">
      <c r="A164" s="28">
        <v>45559</v>
      </c>
      <c r="B164" s="27">
        <v>0.29166666666666669</v>
      </c>
      <c r="C164" s="27" t="s">
        <v>8</v>
      </c>
      <c r="D164" s="30" t="s">
        <v>219</v>
      </c>
      <c r="E164" s="31" t="s">
        <v>21</v>
      </c>
      <c r="F164" s="8">
        <f>(INT(Table_Tajikistan[[#This Row],[Date]]) - DATE(1970, 1, 1)) * 86400000</f>
        <v>1727136000000</v>
      </c>
      <c r="G164">
        <f>'GMT Glossary'!$B$11</f>
        <v>5</v>
      </c>
      <c r="H164" s="2" t="str">
        <f>TEXT(IF(B164&lt;0, A164+1+((B164+(G164/24))-(INT(B164+(G164/24)))), A164+(B164+(G164/24))), "yyyy-mm-dd")</f>
        <v>2024-09-24</v>
      </c>
      <c r="I164" s="2" t="str">
        <f>TEXT(IF(B164&lt;0, A164+1+((B164+(G164/24))-(INT(B164+(G164/24)))), A164+(B164+(G164/24))), "hh:mm")</f>
        <v>12:00</v>
      </c>
    </row>
    <row r="165" spans="1:9" x14ac:dyDescent="0.25">
      <c r="A165" s="22">
        <v>45559</v>
      </c>
      <c r="B165" s="15">
        <v>0.29166666666666669</v>
      </c>
      <c r="C165" s="15" t="s">
        <v>8</v>
      </c>
      <c r="D165" s="17" t="s">
        <v>252</v>
      </c>
      <c r="E165" s="11" t="s">
        <v>72</v>
      </c>
      <c r="F165" s="21">
        <f>(INT(Table_Tajikistan[[#This Row],[Date]]) - DATE(1970, 1, 1)) * 86400000</f>
        <v>1727136000000</v>
      </c>
      <c r="G165" s="12">
        <f>'GMT Glossary'!$B$11</f>
        <v>5</v>
      </c>
      <c r="H165" s="18" t="str">
        <f>TEXT(IF(B165&lt;0, A165+1+((B165+(G165/24))-(INT(B165+(G165/24)))), A165+(B165+(G165/24))), "yyyy-mm-dd")</f>
        <v>2024-09-24</v>
      </c>
      <c r="I165" s="18" t="str">
        <f>TEXT(IF(B165&lt;0, A165+1+((B165+(G165/24))-(INT(B165+(G165/24)))), A165+(B165+(G165/24))), "hh:mm")</f>
        <v>12:00</v>
      </c>
    </row>
  </sheetData>
  <sortState ref="A2:I165">
    <sortCondition ref="A2:A165"/>
    <sortCondition ref="B2:B165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DCFD1-E8C6-40CE-BAB0-21C9B4F874E2}">
  <sheetPr codeName="Sheet14"/>
  <dimension ref="A1:I83"/>
  <sheetViews>
    <sheetView topLeftCell="A45" workbookViewId="0">
      <selection activeCell="E62" sqref="E62"/>
    </sheetView>
  </sheetViews>
  <sheetFormatPr defaultRowHeight="15" x14ac:dyDescent="0.25"/>
  <cols>
    <col min="1" max="1" width="27.28515625" style="1" customWidth="1"/>
    <col min="2" max="3" width="25.5703125" customWidth="1"/>
    <col min="4" max="4" width="73" bestFit="1" customWidth="1"/>
    <col min="5" max="5" width="57" customWidth="1"/>
    <col min="6" max="6" width="46.28515625" style="8" customWidth="1"/>
    <col min="7" max="7" width="44.42578125" customWidth="1"/>
    <col min="8" max="8" width="28.5703125" style="5" customWidth="1"/>
    <col min="9" max="9" width="31.28515625" customWidth="1"/>
    <col min="10" max="10" width="8.85546875" customWidth="1"/>
  </cols>
  <sheetData>
    <row r="1" spans="1:9" x14ac:dyDescent="0.25">
      <c r="A1" s="1" t="s">
        <v>0</v>
      </c>
      <c r="B1" s="5" t="s">
        <v>1</v>
      </c>
      <c r="C1" s="5" t="s">
        <v>2</v>
      </c>
      <c r="D1" t="s">
        <v>3</v>
      </c>
      <c r="E1" t="s">
        <v>4</v>
      </c>
      <c r="F1" s="8" t="s">
        <v>5</v>
      </c>
      <c r="G1" t="s">
        <v>6</v>
      </c>
      <c r="H1" s="5" t="s">
        <v>20</v>
      </c>
      <c r="I1" t="s">
        <v>7</v>
      </c>
    </row>
    <row r="2" spans="1:9" x14ac:dyDescent="0.25">
      <c r="A2" s="78">
        <v>45552</v>
      </c>
      <c r="B2" s="88">
        <v>0.375</v>
      </c>
      <c r="C2" s="86" t="s">
        <v>8</v>
      </c>
      <c r="D2" s="74" t="s">
        <v>304</v>
      </c>
      <c r="E2" s="9" t="s">
        <v>116</v>
      </c>
      <c r="F2" s="8">
        <f>(INT(Table_Tajikistan14[[#This Row],[Date]]) - DATE(1970, 1, 1)) * 86400000</f>
        <v>1726531200000</v>
      </c>
      <c r="G2">
        <f>'GMT Glossary'!$B$12</f>
        <v>8</v>
      </c>
      <c r="H2" s="2" t="str">
        <f>TEXT(IF(B2&lt;0, A2+1+((B2+(G2/24))-(INT(B2+(G2/24)))), A2+(B2+(G2/24))), "yyyy-mm-dd")</f>
        <v>2024-09-17</v>
      </c>
      <c r="I2" s="2" t="str">
        <f>TEXT(IF(B2&lt;0, A2+1+((B2+(G2/24))-(INT(B2+(G2/24)))), A2+(B2+(G2/24))), "hh:mm")</f>
        <v>17:00</v>
      </c>
    </row>
    <row r="3" spans="1:9" x14ac:dyDescent="0.25">
      <c r="A3" s="78">
        <v>45552</v>
      </c>
      <c r="B3" s="88">
        <v>0.45833333333333331</v>
      </c>
      <c r="C3" s="86" t="s">
        <v>8</v>
      </c>
      <c r="D3" s="74" t="s">
        <v>305</v>
      </c>
      <c r="E3" s="9" t="s">
        <v>116</v>
      </c>
      <c r="F3" s="8">
        <f>(INT(Table_Tajikistan14[[#This Row],[Date]]) - DATE(1970, 1, 1)) * 86400000</f>
        <v>1726531200000</v>
      </c>
      <c r="G3">
        <f>'GMT Glossary'!$B$12</f>
        <v>8</v>
      </c>
      <c r="H3" s="2" t="str">
        <f>TEXT(IF(B3&lt;0, A3+1+((B3+(G3/24))-(INT(B3+(G3/24)))), A3+(B3+(G3/24))), "yyyy-mm-dd")</f>
        <v>2024-09-17</v>
      </c>
      <c r="I3" s="2" t="str">
        <f>TEXT(IF(B3&lt;0, A3+1+((B3+(G3/24))-(INT(B3+(G3/24)))), A3+(B3+(G3/24))), "hh:mm")</f>
        <v>19:00</v>
      </c>
    </row>
    <row r="4" spans="1:9" x14ac:dyDescent="0.25">
      <c r="A4" s="78">
        <v>45552</v>
      </c>
      <c r="B4" s="88">
        <v>0.54166666666666663</v>
      </c>
      <c r="C4" s="86" t="s">
        <v>8</v>
      </c>
      <c r="D4" s="74" t="s">
        <v>306</v>
      </c>
      <c r="E4" s="9" t="s">
        <v>116</v>
      </c>
      <c r="F4" s="8">
        <f>(INT(Table_Tajikistan14[[#This Row],[Date]]) - DATE(1970, 1, 1)) * 86400000</f>
        <v>1726531200000</v>
      </c>
      <c r="G4">
        <f>'GMT Glossary'!$B$12</f>
        <v>8</v>
      </c>
      <c r="H4" s="2" t="str">
        <f>TEXT(IF(B4&lt;0, A4+1+((B4+(G4/24))-(INT(B4+(G4/24)))), A4+(B4+(G4/24))), "yyyy-mm-dd")</f>
        <v>2024-09-17</v>
      </c>
      <c r="I4" s="2" t="str">
        <f>TEXT(IF(B4&lt;0, A4+1+((B4+(G4/24))-(INT(B4+(G4/24)))), A4+(B4+(G4/24))), "hh:mm")</f>
        <v>21:00</v>
      </c>
    </row>
    <row r="5" spans="1:9" x14ac:dyDescent="0.25">
      <c r="A5" s="78">
        <v>45552</v>
      </c>
      <c r="B5" s="88">
        <v>0.625</v>
      </c>
      <c r="C5" s="86" t="s">
        <v>8</v>
      </c>
      <c r="D5" s="74" t="s">
        <v>307</v>
      </c>
      <c r="E5" s="9" t="s">
        <v>116</v>
      </c>
      <c r="F5" s="8">
        <f>(INT(Table_Tajikistan14[[#This Row],[Date]]) - DATE(1970, 1, 1)) * 86400000</f>
        <v>1726531200000</v>
      </c>
      <c r="G5">
        <f>'GMT Glossary'!$B$12</f>
        <v>8</v>
      </c>
      <c r="H5" s="2" t="str">
        <f>TEXT(IF(B5&lt;0, A5+1+((B5+(G5/24))-(INT(B5+(G5/24)))), A5+(B5+(G5/24))), "yyyy-mm-dd")</f>
        <v>2024-09-17</v>
      </c>
      <c r="I5" s="2" t="str">
        <f>TEXT(IF(B5&lt;0, A5+1+((B5+(G5/24))-(INT(B5+(G5/24)))), A5+(B5+(G5/24))), "hh:mm")</f>
        <v>23:00</v>
      </c>
    </row>
    <row r="6" spans="1:9" x14ac:dyDescent="0.25">
      <c r="A6" s="78">
        <v>45552</v>
      </c>
      <c r="B6" s="88">
        <v>0.66666666666666663</v>
      </c>
      <c r="C6" s="86" t="s">
        <v>8</v>
      </c>
      <c r="D6" s="74" t="s">
        <v>308</v>
      </c>
      <c r="E6" s="9" t="s">
        <v>116</v>
      </c>
      <c r="F6" s="8">
        <f>(INT(Table_Tajikistan14[[#This Row],[Date]]) - DATE(1970, 1, 1)) * 86400000</f>
        <v>1726531200000</v>
      </c>
      <c r="G6">
        <f>'GMT Glossary'!$B$12</f>
        <v>8</v>
      </c>
      <c r="H6" s="2" t="str">
        <f>TEXT(IF(B6&lt;0, A6+1+((B6+(G6/24))-(INT(B6+(G6/24)))), A6+(B6+(G6/24))), "yyyy-mm-dd")</f>
        <v>2024-09-18</v>
      </c>
      <c r="I6" s="2" t="str">
        <f>TEXT(IF(B6&lt;0, A6+1+((B6+(G6/24))-(INT(B6+(G6/24)))), A6+(B6+(G6/24))), "hh:mm")</f>
        <v>00:00</v>
      </c>
    </row>
    <row r="7" spans="1:9" x14ac:dyDescent="0.25">
      <c r="A7" s="78">
        <v>45552</v>
      </c>
      <c r="B7" s="88">
        <v>0.70833333333333337</v>
      </c>
      <c r="C7" s="86" t="s">
        <v>8</v>
      </c>
      <c r="D7" s="76" t="s">
        <v>309</v>
      </c>
      <c r="E7" s="9" t="s">
        <v>116</v>
      </c>
      <c r="F7" s="8">
        <f>(INT(Table_Tajikistan14[[#This Row],[Date]]) - DATE(1970, 1, 1)) * 86400000</f>
        <v>1726531200000</v>
      </c>
      <c r="G7">
        <f>'GMT Glossary'!$B$12</f>
        <v>8</v>
      </c>
      <c r="H7" s="2" t="str">
        <f>TEXT(IF(B7&lt;0, A7+1+((B7+(G7/24))-(INT(B7+(G7/24)))), A7+(B7+(G7/24))), "yyyy-mm-dd")</f>
        <v>2024-09-18</v>
      </c>
      <c r="I7" s="2" t="str">
        <f>TEXT(IF(B7&lt;0, A7+1+((B7+(G7/24))-(INT(B7+(G7/24)))), A7+(B7+(G7/24))), "hh:mm")</f>
        <v>01:00</v>
      </c>
    </row>
    <row r="8" spans="1:9" x14ac:dyDescent="0.25">
      <c r="A8" s="78">
        <v>45552</v>
      </c>
      <c r="B8" s="88">
        <v>0.79166666666666663</v>
      </c>
      <c r="C8" s="86" t="s">
        <v>8</v>
      </c>
      <c r="D8" s="76" t="s">
        <v>310</v>
      </c>
      <c r="E8" s="9" t="s">
        <v>116</v>
      </c>
      <c r="F8" s="8">
        <f>(INT(Table_Tajikistan14[[#This Row],[Date]]) - DATE(1970, 1, 1)) * 86400000</f>
        <v>1726531200000</v>
      </c>
      <c r="G8">
        <f>'GMT Glossary'!$B$12</f>
        <v>8</v>
      </c>
      <c r="H8" s="2" t="str">
        <f>TEXT(IF(B8&lt;0, A8+1+((B8+(G8/24))-(INT(B8+(G8/24)))), A8+(B8+(G8/24))), "yyyy-mm-dd")</f>
        <v>2024-09-18</v>
      </c>
      <c r="I8" s="2" t="str">
        <f>TEXT(IF(B8&lt;0, A8+1+((B8+(G8/24))-(INT(B8+(G8/24)))), A8+(B8+(G8/24))), "hh:mm")</f>
        <v>03:00</v>
      </c>
    </row>
    <row r="9" spans="1:9" x14ac:dyDescent="0.25">
      <c r="A9" s="78">
        <v>45552</v>
      </c>
      <c r="B9" s="88">
        <v>0.875</v>
      </c>
      <c r="C9" s="86" t="s">
        <v>399</v>
      </c>
      <c r="D9" s="74" t="s">
        <v>94</v>
      </c>
      <c r="E9" s="9" t="s">
        <v>116</v>
      </c>
      <c r="F9" s="8">
        <f>(INT(Table_Tajikistan14[[#This Row],[Date]]) - DATE(1970, 1, 1)) * 86400000</f>
        <v>1726531200000</v>
      </c>
      <c r="G9">
        <f>'GMT Glossary'!$B$12</f>
        <v>8</v>
      </c>
      <c r="H9" s="2" t="str">
        <f>TEXT(IF(B9&lt;0, A9+1+((B9+(G9/24))-(INT(B9+(G9/24)))), A9+(B9+(G9/24))), "yyyy-mm-dd")</f>
        <v>2024-09-18</v>
      </c>
      <c r="I9" s="2" t="str">
        <f>TEXT(IF(B9&lt;0, A9+1+((B9+(G9/24))-(INT(B9+(G9/24)))), A9+(B9+(G9/24))), "hh:mm")</f>
        <v>05:00</v>
      </c>
    </row>
    <row r="10" spans="1:9" x14ac:dyDescent="0.25">
      <c r="A10" s="78">
        <v>45553</v>
      </c>
      <c r="B10" s="88">
        <v>0</v>
      </c>
      <c r="C10" s="86" t="s">
        <v>8</v>
      </c>
      <c r="D10" s="74" t="s">
        <v>307</v>
      </c>
      <c r="E10" s="9" t="s">
        <v>116</v>
      </c>
      <c r="F10" s="8">
        <f>(INT(Table_Tajikistan14[[#This Row],[Date]]) - DATE(1970, 1, 1)) * 86400000</f>
        <v>1726617600000</v>
      </c>
      <c r="G10">
        <f>'GMT Glossary'!$B$12</f>
        <v>8</v>
      </c>
      <c r="H10" s="2" t="str">
        <f>TEXT(IF(B10&lt;0, A10+1+((B10+(G10/24))-(INT(B10+(G10/24)))), A10+(B10+(G10/24))), "yyyy-mm-dd")</f>
        <v>2024-09-18</v>
      </c>
      <c r="I10" s="2" t="str">
        <f>TEXT(IF(B10&lt;0, A10+1+((B10+(G10/24))-(INT(B10+(G10/24)))), A10+(B10+(G10/24))), "hh:mm")</f>
        <v>08:00</v>
      </c>
    </row>
    <row r="11" spans="1:9" x14ac:dyDescent="0.25">
      <c r="A11" s="78">
        <v>45553</v>
      </c>
      <c r="B11" s="88">
        <v>4.1666666666666664E-2</v>
      </c>
      <c r="C11" s="86" t="s">
        <v>8</v>
      </c>
      <c r="D11" s="74" t="s">
        <v>311</v>
      </c>
      <c r="E11" s="9" t="s">
        <v>116</v>
      </c>
      <c r="F11" s="8">
        <f>(INT(Table_Tajikistan14[[#This Row],[Date]]) - DATE(1970, 1, 1)) * 86400000</f>
        <v>1726617600000</v>
      </c>
      <c r="G11">
        <f>'GMT Glossary'!$B$12</f>
        <v>8</v>
      </c>
      <c r="H11" s="2" t="str">
        <f>TEXT(IF(B11&lt;0, A11+1+((B11+(G11/24))-(INT(B11+(G11/24)))), A11+(B11+(G11/24))), "yyyy-mm-dd")</f>
        <v>2024-09-18</v>
      </c>
      <c r="I11" s="2" t="str">
        <f>TEXT(IF(B11&lt;0, A11+1+((B11+(G11/24))-(INT(B11+(G11/24)))), A11+(B11+(G11/24))), "hh:mm")</f>
        <v>09:00</v>
      </c>
    </row>
    <row r="12" spans="1:9" x14ac:dyDescent="0.25">
      <c r="A12" s="78">
        <v>45553</v>
      </c>
      <c r="B12" s="88">
        <v>0.125</v>
      </c>
      <c r="C12" s="86" t="s">
        <v>8</v>
      </c>
      <c r="D12" s="74" t="s">
        <v>312</v>
      </c>
      <c r="E12" s="9" t="s">
        <v>116</v>
      </c>
      <c r="F12" s="8">
        <f>(INT(Table_Tajikistan14[[#This Row],[Date]]) - DATE(1970, 1, 1)) * 86400000</f>
        <v>1726617600000</v>
      </c>
      <c r="G12">
        <f>'GMT Glossary'!$B$12</f>
        <v>8</v>
      </c>
      <c r="H12" s="2" t="str">
        <f>TEXT(IF(B12&lt;0, A12+1+((B12+(G12/24))-(INT(B12+(G12/24)))), A12+(B12+(G12/24))), "yyyy-mm-dd")</f>
        <v>2024-09-18</v>
      </c>
      <c r="I12" s="2" t="str">
        <f>TEXT(IF(B12&lt;0, A12+1+((B12+(G12/24))-(INT(B12+(G12/24)))), A12+(B12+(G12/24))), "hh:mm")</f>
        <v>11:00</v>
      </c>
    </row>
    <row r="13" spans="1:9" x14ac:dyDescent="0.25">
      <c r="A13" s="78">
        <v>45553</v>
      </c>
      <c r="B13" s="88">
        <v>0.20833333333333334</v>
      </c>
      <c r="C13" s="86" t="s">
        <v>8</v>
      </c>
      <c r="D13" s="74" t="s">
        <v>112</v>
      </c>
      <c r="E13" s="9" t="s">
        <v>116</v>
      </c>
      <c r="F13" s="8">
        <f>(INT(Table_Tajikistan14[[#This Row],[Date]]) - DATE(1970, 1, 1)) * 86400000</f>
        <v>1726617600000</v>
      </c>
      <c r="G13">
        <f>'GMT Glossary'!$B$12</f>
        <v>8</v>
      </c>
      <c r="H13" s="2" t="str">
        <f>TEXT(IF(B13&lt;0, A13+1+((B13+(G13/24))-(INT(B13+(G13/24)))), A13+(B13+(G13/24))), "yyyy-mm-dd")</f>
        <v>2024-09-18</v>
      </c>
      <c r="I13" s="2" t="str">
        <f>TEXT(IF(B13&lt;0, A13+1+((B13+(G13/24))-(INT(B13+(G13/24)))), A13+(B13+(G13/24))), "hh:mm")</f>
        <v>13:00</v>
      </c>
    </row>
    <row r="14" spans="1:9" x14ac:dyDescent="0.25">
      <c r="A14" s="78">
        <v>45553</v>
      </c>
      <c r="B14" s="88">
        <v>0.29166666666666669</v>
      </c>
      <c r="C14" s="86" t="s">
        <v>8</v>
      </c>
      <c r="D14" s="74" t="s">
        <v>313</v>
      </c>
      <c r="E14" s="9" t="s">
        <v>116</v>
      </c>
      <c r="F14" s="8">
        <f>(INT(Table_Tajikistan14[[#This Row],[Date]]) - DATE(1970, 1, 1)) * 86400000</f>
        <v>1726617600000</v>
      </c>
      <c r="G14">
        <f>'GMT Glossary'!$B$12</f>
        <v>8</v>
      </c>
      <c r="H14" s="2" t="str">
        <f>TEXT(IF(B14&lt;0, A14+1+((B14+(G14/24))-(INT(B14+(G14/24)))), A14+(B14+(G14/24))), "yyyy-mm-dd")</f>
        <v>2024-09-18</v>
      </c>
      <c r="I14" s="2" t="str">
        <f>TEXT(IF(B14&lt;0, A14+1+((B14+(G14/24))-(INT(B14+(G14/24)))), A14+(B14+(G14/24))), "hh:mm")</f>
        <v>15:00</v>
      </c>
    </row>
    <row r="15" spans="1:9" x14ac:dyDescent="0.25">
      <c r="A15" s="78">
        <v>45553</v>
      </c>
      <c r="B15" s="88">
        <v>0.375</v>
      </c>
      <c r="C15" s="86" t="s">
        <v>8</v>
      </c>
      <c r="D15" s="74" t="s">
        <v>314</v>
      </c>
      <c r="E15" s="9" t="s">
        <v>116</v>
      </c>
      <c r="F15" s="8">
        <f>(INT(Table_Tajikistan14[[#This Row],[Date]]) - DATE(1970, 1, 1)) * 86400000</f>
        <v>1726617600000</v>
      </c>
      <c r="G15">
        <f>'GMT Glossary'!$B$12</f>
        <v>8</v>
      </c>
      <c r="H15" s="2" t="str">
        <f>TEXT(IF(B15&lt;0, A15+1+((B15+(G15/24))-(INT(B15+(G15/24)))), A15+(B15+(G15/24))), "yyyy-mm-dd")</f>
        <v>2024-09-18</v>
      </c>
      <c r="I15" s="2" t="str">
        <f>TEXT(IF(B15&lt;0, A15+1+((B15+(G15/24))-(INT(B15+(G15/24)))), A15+(B15+(G15/24))), "hh:mm")</f>
        <v>17:00</v>
      </c>
    </row>
    <row r="16" spans="1:9" x14ac:dyDescent="0.25">
      <c r="A16" s="78">
        <v>45553</v>
      </c>
      <c r="B16" s="88">
        <v>0.45833333333333331</v>
      </c>
      <c r="C16" s="86" t="s">
        <v>406</v>
      </c>
      <c r="D16" s="76" t="s">
        <v>315</v>
      </c>
      <c r="E16" s="9" t="s">
        <v>116</v>
      </c>
      <c r="F16" s="8">
        <f>(INT(Table_Tajikistan14[[#This Row],[Date]]) - DATE(1970, 1, 1)) * 86400000</f>
        <v>1726617600000</v>
      </c>
      <c r="G16">
        <f>'GMT Glossary'!$B$12</f>
        <v>8</v>
      </c>
      <c r="H16" s="2" t="str">
        <f>TEXT(IF(B16&lt;0, A16+1+((B16+(G16/24))-(INT(B16+(G16/24)))), A16+(B16+(G16/24))), "yyyy-mm-dd")</f>
        <v>2024-09-18</v>
      </c>
      <c r="I16" s="2" t="str">
        <f>TEXT(IF(B16&lt;0, A16+1+((B16+(G16/24))-(INT(B16+(G16/24)))), A16+(B16+(G16/24))), "hh:mm")</f>
        <v>19:00</v>
      </c>
    </row>
    <row r="17" spans="1:9" x14ac:dyDescent="0.25">
      <c r="A17" s="78">
        <v>45553</v>
      </c>
      <c r="B17" s="88">
        <v>0.66666666666666663</v>
      </c>
      <c r="C17" s="86" t="s">
        <v>8</v>
      </c>
      <c r="D17" s="74" t="s">
        <v>113</v>
      </c>
      <c r="E17" s="9" t="s">
        <v>116</v>
      </c>
      <c r="F17" s="8">
        <f>(INT(Table_Tajikistan14[[#This Row],[Date]]) - DATE(1970, 1, 1)) * 86400000</f>
        <v>1726617600000</v>
      </c>
      <c r="G17">
        <f>'GMT Glossary'!$B$12</f>
        <v>8</v>
      </c>
      <c r="H17" s="2" t="str">
        <f>TEXT(IF(B17&lt;0, A17+1+((B17+(G17/24))-(INT(B17+(G17/24)))), A17+(B17+(G17/24))), "yyyy-mm-dd")</f>
        <v>2024-09-19</v>
      </c>
      <c r="I17" s="2" t="str">
        <f>TEXT(IF(B17&lt;0, A17+1+((B17+(G17/24))-(INT(B17+(G17/24)))), A17+(B17+(G17/24))), "hh:mm")</f>
        <v>00:00</v>
      </c>
    </row>
    <row r="18" spans="1:9" x14ac:dyDescent="0.25">
      <c r="A18" s="78">
        <v>45553</v>
      </c>
      <c r="B18" s="88">
        <v>0.70833333333333337</v>
      </c>
      <c r="C18" s="86" t="s">
        <v>8</v>
      </c>
      <c r="D18" s="76" t="s">
        <v>316</v>
      </c>
      <c r="E18" s="9" t="s">
        <v>116</v>
      </c>
      <c r="F18" s="8">
        <f>(INT(Table_Tajikistan14[[#This Row],[Date]]) - DATE(1970, 1, 1)) * 86400000</f>
        <v>1726617600000</v>
      </c>
      <c r="G18">
        <f>'GMT Glossary'!$B$12</f>
        <v>8</v>
      </c>
      <c r="H18" s="2" t="str">
        <f>TEXT(IF(B18&lt;0, A18+1+((B18+(G18/24))-(INT(B18+(G18/24)))), A18+(B18+(G18/24))), "yyyy-mm-dd")</f>
        <v>2024-09-19</v>
      </c>
      <c r="I18" s="2" t="str">
        <f>TEXT(IF(B18&lt;0, A18+1+((B18+(G18/24))-(INT(B18+(G18/24)))), A18+(B18+(G18/24))), "hh:mm")</f>
        <v>01:00</v>
      </c>
    </row>
    <row r="19" spans="1:9" x14ac:dyDescent="0.25">
      <c r="A19" s="78">
        <v>45553</v>
      </c>
      <c r="B19" s="88">
        <v>0.79166666666666663</v>
      </c>
      <c r="C19" s="86" t="s">
        <v>8</v>
      </c>
      <c r="D19" s="76" t="s">
        <v>317</v>
      </c>
      <c r="E19" s="9" t="s">
        <v>116</v>
      </c>
      <c r="F19" s="8">
        <f>(INT(Table_Tajikistan14[[#This Row],[Date]]) - DATE(1970, 1, 1)) * 86400000</f>
        <v>1726617600000</v>
      </c>
      <c r="G19">
        <f>'GMT Glossary'!$B$12</f>
        <v>8</v>
      </c>
      <c r="H19" s="2" t="str">
        <f>TEXT(IF(B19&lt;0, A19+1+((B19+(G19/24))-(INT(B19+(G19/24)))), A19+(B19+(G19/24))), "yyyy-mm-dd")</f>
        <v>2024-09-19</v>
      </c>
      <c r="I19" s="2" t="str">
        <f>TEXT(IF(B19&lt;0, A19+1+((B19+(G19/24))-(INT(B19+(G19/24)))), A19+(B19+(G19/24))), "hh:mm")</f>
        <v>03:00</v>
      </c>
    </row>
    <row r="20" spans="1:9" x14ac:dyDescent="0.25">
      <c r="A20" s="78">
        <v>45553</v>
      </c>
      <c r="B20" s="88">
        <v>0.875</v>
      </c>
      <c r="C20" s="86" t="s">
        <v>8</v>
      </c>
      <c r="D20" s="74" t="s">
        <v>318</v>
      </c>
      <c r="E20" s="9" t="s">
        <v>116</v>
      </c>
      <c r="F20" s="8">
        <f>(INT(Table_Tajikistan14[[#This Row],[Date]]) - DATE(1970, 1, 1)) * 86400000</f>
        <v>1726617600000</v>
      </c>
      <c r="G20">
        <f>'GMT Glossary'!$B$12</f>
        <v>8</v>
      </c>
      <c r="H20" s="2" t="str">
        <f>TEXT(IF(B20&lt;0, A20+1+((B20+(G20/24))-(INT(B20+(G20/24)))), A20+(B20+(G20/24))), "yyyy-mm-dd")</f>
        <v>2024-09-19</v>
      </c>
      <c r="I20" s="2" t="str">
        <f>TEXT(IF(B20&lt;0, A20+1+((B20+(G20/24))-(INT(B20+(G20/24)))), A20+(B20+(G20/24))), "hh:mm")</f>
        <v>05:00</v>
      </c>
    </row>
    <row r="21" spans="1:9" x14ac:dyDescent="0.25">
      <c r="A21" s="78">
        <v>45553</v>
      </c>
      <c r="B21" s="88">
        <v>0.95833333333333337</v>
      </c>
      <c r="C21" s="86" t="s">
        <v>8</v>
      </c>
      <c r="D21" s="74" t="s">
        <v>319</v>
      </c>
      <c r="E21" s="9" t="s">
        <v>116</v>
      </c>
      <c r="F21" s="8">
        <f>(INT(Table_Tajikistan14[[#This Row],[Date]]) - DATE(1970, 1, 1)) * 86400000</f>
        <v>1726617600000</v>
      </c>
      <c r="G21">
        <f>'GMT Glossary'!$B$12</f>
        <v>8</v>
      </c>
      <c r="H21" s="2" t="str">
        <f>TEXT(IF(B21&lt;0, A21+1+((B21+(G21/24))-(INT(B21+(G21/24)))), A21+(B21+(G21/24))), "yyyy-mm-dd")</f>
        <v>2024-09-19</v>
      </c>
      <c r="I21" s="2" t="str">
        <f>TEXT(IF(B21&lt;0, A21+1+((B21+(G21/24))-(INT(B21+(G21/24)))), A21+(B21+(G21/24))), "hh:mm")</f>
        <v>07:00</v>
      </c>
    </row>
    <row r="22" spans="1:9" x14ac:dyDescent="0.25">
      <c r="A22" s="78">
        <v>45554</v>
      </c>
      <c r="B22" s="88">
        <v>4.1666666666666664E-2</v>
      </c>
      <c r="C22" s="86" t="s">
        <v>399</v>
      </c>
      <c r="D22" s="74" t="s">
        <v>94</v>
      </c>
      <c r="E22" s="9" t="s">
        <v>116</v>
      </c>
      <c r="F22" s="8">
        <f>(INT(Table_Tajikistan14[[#This Row],[Date]]) - DATE(1970, 1, 1)) * 86400000</f>
        <v>1726704000000</v>
      </c>
      <c r="G22">
        <f>'GMT Glossary'!$B$12</f>
        <v>8</v>
      </c>
      <c r="H22" s="2" t="str">
        <f>TEXT(IF(B22&lt;0, A22+1+((B22+(G22/24))-(INT(B22+(G22/24)))), A22+(B22+(G22/24))), "yyyy-mm-dd")</f>
        <v>2024-09-19</v>
      </c>
      <c r="I22" s="2" t="str">
        <f>TEXT(IF(B22&lt;0, A22+1+((B22+(G22/24))-(INT(B22+(G22/24)))), A22+(B22+(G22/24))), "hh:mm")</f>
        <v>09:00</v>
      </c>
    </row>
    <row r="23" spans="1:9" x14ac:dyDescent="0.25">
      <c r="A23" s="78">
        <v>45554</v>
      </c>
      <c r="B23" s="88">
        <v>0.16666666666666666</v>
      </c>
      <c r="C23" s="86" t="s">
        <v>8</v>
      </c>
      <c r="D23" s="74" t="s">
        <v>307</v>
      </c>
      <c r="E23" s="9" t="s">
        <v>116</v>
      </c>
      <c r="F23" s="8">
        <f>(INT(Table_Tajikistan14[[#This Row],[Date]]) - DATE(1970, 1, 1)) * 86400000</f>
        <v>1726704000000</v>
      </c>
      <c r="G23">
        <f>'GMT Glossary'!$B$12</f>
        <v>8</v>
      </c>
      <c r="H23" s="2" t="str">
        <f>TEXT(IF(B23&lt;0, A23+1+((B23+(G23/24))-(INT(B23+(G23/24)))), A23+(B23+(G23/24))), "yyyy-mm-dd")</f>
        <v>2024-09-19</v>
      </c>
      <c r="I23" s="2" t="str">
        <f>TEXT(IF(B23&lt;0, A23+1+((B23+(G23/24))-(INT(B23+(G23/24)))), A23+(B23+(G23/24))), "hh:mm")</f>
        <v>12:00</v>
      </c>
    </row>
    <row r="24" spans="1:9" x14ac:dyDescent="0.25">
      <c r="A24" s="78">
        <v>45554</v>
      </c>
      <c r="B24" s="88">
        <v>0.20833333333333334</v>
      </c>
      <c r="C24" s="86" t="s">
        <v>8</v>
      </c>
      <c r="D24" s="74" t="s">
        <v>314</v>
      </c>
      <c r="E24" s="9" t="s">
        <v>116</v>
      </c>
      <c r="F24" s="8">
        <f>(INT(Table_Tajikistan14[[#This Row],[Date]]) - DATE(1970, 1, 1)) * 86400000</f>
        <v>1726704000000</v>
      </c>
      <c r="G24">
        <f>'GMT Glossary'!$B$12</f>
        <v>8</v>
      </c>
      <c r="H24" s="2" t="str">
        <f>TEXT(IF(B24&lt;0, A24+1+((B24+(G24/24))-(INT(B24+(G24/24)))), A24+(B24+(G24/24))), "yyyy-mm-dd")</f>
        <v>2024-09-19</v>
      </c>
      <c r="I24" s="2" t="str">
        <f>TEXT(IF(B24&lt;0, A24+1+((B24+(G24/24))-(INT(B24+(G24/24)))), A24+(B24+(G24/24))), "hh:mm")</f>
        <v>13:00</v>
      </c>
    </row>
    <row r="25" spans="1:9" x14ac:dyDescent="0.25">
      <c r="A25" s="78">
        <v>45554</v>
      </c>
      <c r="B25" s="88">
        <v>0.29166666666666669</v>
      </c>
      <c r="C25" s="86" t="s">
        <v>8</v>
      </c>
      <c r="D25" s="74" t="s">
        <v>318</v>
      </c>
      <c r="E25" s="9" t="s">
        <v>116</v>
      </c>
      <c r="F25" s="8">
        <f>(INT(Table_Tajikistan14[[#This Row],[Date]]) - DATE(1970, 1, 1)) * 86400000</f>
        <v>1726704000000</v>
      </c>
      <c r="G25">
        <f>'GMT Glossary'!$B$12</f>
        <v>8</v>
      </c>
      <c r="H25" s="2" t="str">
        <f>TEXT(IF(B25&lt;0, A25+1+((B25+(G25/24))-(INT(B25+(G25/24)))), A25+(B25+(G25/24))), "yyyy-mm-dd")</f>
        <v>2024-09-19</v>
      </c>
      <c r="I25" s="2" t="str">
        <f>TEXT(IF(B25&lt;0, A25+1+((B25+(G25/24))-(INT(B25+(G25/24)))), A25+(B25+(G25/24))), "hh:mm")</f>
        <v>15:00</v>
      </c>
    </row>
    <row r="26" spans="1:9" x14ac:dyDescent="0.25">
      <c r="A26" s="78">
        <v>45554</v>
      </c>
      <c r="B26" s="88">
        <v>0.375</v>
      </c>
      <c r="C26" s="86" t="s">
        <v>8</v>
      </c>
      <c r="D26" s="74" t="s">
        <v>308</v>
      </c>
      <c r="E26" s="9" t="s">
        <v>116</v>
      </c>
      <c r="F26" s="8">
        <f>(INT(Table_Tajikistan14[[#This Row],[Date]]) - DATE(1970, 1, 1)) * 86400000</f>
        <v>1726704000000</v>
      </c>
      <c r="G26">
        <f>'GMT Glossary'!$B$12</f>
        <v>8</v>
      </c>
      <c r="H26" s="2" t="str">
        <f>TEXT(IF(B26&lt;0, A26+1+((B26+(G26/24))-(INT(B26+(G26/24)))), A26+(B26+(G26/24))), "yyyy-mm-dd")</f>
        <v>2024-09-19</v>
      </c>
      <c r="I26" s="2" t="str">
        <f>TEXT(IF(B26&lt;0, A26+1+((B26+(G26/24))-(INT(B26+(G26/24)))), A26+(B26+(G26/24))), "hh:mm")</f>
        <v>17:00</v>
      </c>
    </row>
    <row r="27" spans="1:9" x14ac:dyDescent="0.25">
      <c r="A27" s="78">
        <v>45554</v>
      </c>
      <c r="B27" s="88">
        <v>0.4375</v>
      </c>
      <c r="C27" s="86" t="s">
        <v>400</v>
      </c>
      <c r="D27" s="76" t="s">
        <v>320</v>
      </c>
      <c r="E27" s="9" t="s">
        <v>116</v>
      </c>
      <c r="F27" s="8">
        <f>(INT(Table_Tajikistan14[[#This Row],[Date]]) - DATE(1970, 1, 1)) * 86400000</f>
        <v>1726704000000</v>
      </c>
      <c r="G27">
        <f>'GMT Glossary'!$B$12</f>
        <v>8</v>
      </c>
      <c r="H27" s="2" t="str">
        <f>TEXT(IF(B27&lt;0, A27+1+((B27+(G27/24))-(INT(B27+(G27/24)))), A27+(B27+(G27/24))), "yyyy-mm-dd")</f>
        <v>2024-09-19</v>
      </c>
      <c r="I27" s="2" t="str">
        <f>TEXT(IF(B27&lt;0, A27+1+((B27+(G27/24))-(INT(B27+(G27/24)))), A27+(B27+(G27/24))), "hh:mm")</f>
        <v>18:30</v>
      </c>
    </row>
    <row r="28" spans="1:9" x14ac:dyDescent="0.25">
      <c r="A28" s="78">
        <v>45554</v>
      </c>
      <c r="B28" s="88">
        <v>0.54166666666666663</v>
      </c>
      <c r="C28" s="86" t="s">
        <v>8</v>
      </c>
      <c r="D28" s="74" t="s">
        <v>307</v>
      </c>
      <c r="E28" s="9" t="s">
        <v>116</v>
      </c>
      <c r="F28" s="8">
        <f>(INT(Table_Tajikistan14[[#This Row],[Date]]) - DATE(1970, 1, 1)) * 86400000</f>
        <v>1726704000000</v>
      </c>
      <c r="G28">
        <f>'GMT Glossary'!$B$12</f>
        <v>8</v>
      </c>
      <c r="H28" s="2" t="str">
        <f>TEXT(IF(B28&lt;0, A28+1+((B28+(G28/24))-(INT(B28+(G28/24)))), A28+(B28+(G28/24))), "yyyy-mm-dd")</f>
        <v>2024-09-19</v>
      </c>
      <c r="I28" s="2" t="str">
        <f>TEXT(IF(B28&lt;0, A28+1+((B28+(G28/24))-(INT(B28+(G28/24)))), A28+(B28+(G28/24))), "hh:mm")</f>
        <v>21:00</v>
      </c>
    </row>
    <row r="29" spans="1:9" x14ac:dyDescent="0.25">
      <c r="A29" s="78">
        <v>45554</v>
      </c>
      <c r="B29" s="88">
        <v>0.58333333333333337</v>
      </c>
      <c r="C29" s="86" t="s">
        <v>8</v>
      </c>
      <c r="D29" s="74" t="s">
        <v>113</v>
      </c>
      <c r="E29" s="9" t="s">
        <v>116</v>
      </c>
      <c r="F29" s="8">
        <f>(INT(Table_Tajikistan14[[#This Row],[Date]]) - DATE(1970, 1, 1)) * 86400000</f>
        <v>1726704000000</v>
      </c>
      <c r="G29">
        <f>'GMT Glossary'!$B$12</f>
        <v>8</v>
      </c>
      <c r="H29" s="2" t="str">
        <f>TEXT(IF(B29&lt;0, A29+1+((B29+(G29/24))-(INT(B29+(G29/24)))), A29+(B29+(G29/24))), "yyyy-mm-dd")</f>
        <v>2024-09-19</v>
      </c>
      <c r="I29" s="2" t="str">
        <f>TEXT(IF(B29&lt;0, A29+1+((B29+(G29/24))-(INT(B29+(G29/24)))), A29+(B29+(G29/24))), "hh:mm")</f>
        <v>22:00</v>
      </c>
    </row>
    <row r="30" spans="1:9" x14ac:dyDescent="0.25">
      <c r="A30" s="78">
        <v>45554</v>
      </c>
      <c r="B30" s="88">
        <v>0.625</v>
      </c>
      <c r="C30" s="86" t="s">
        <v>8</v>
      </c>
      <c r="D30" s="74" t="s">
        <v>321</v>
      </c>
      <c r="E30" s="9" t="s">
        <v>116</v>
      </c>
      <c r="F30" s="8">
        <f>(INT(Table_Tajikistan14[[#This Row],[Date]]) - DATE(1970, 1, 1)) * 86400000</f>
        <v>1726704000000</v>
      </c>
      <c r="G30">
        <f>'GMT Glossary'!$B$12</f>
        <v>8</v>
      </c>
      <c r="H30" s="2" t="str">
        <f>TEXT(IF(B30&lt;0, A30+1+((B30+(G30/24))-(INT(B30+(G30/24)))), A30+(B30+(G30/24))), "yyyy-mm-dd")</f>
        <v>2024-09-19</v>
      </c>
      <c r="I30" s="2" t="str">
        <f>TEXT(IF(B30&lt;0, A30+1+((B30+(G30/24))-(INT(B30+(G30/24)))), A30+(B30+(G30/24))), "hh:mm")</f>
        <v>23:00</v>
      </c>
    </row>
    <row r="31" spans="1:9" x14ac:dyDescent="0.25">
      <c r="A31" s="78">
        <v>45554</v>
      </c>
      <c r="B31" s="88">
        <v>0.70833333333333337</v>
      </c>
      <c r="C31" s="86" t="s">
        <v>8</v>
      </c>
      <c r="D31" s="76" t="s">
        <v>322</v>
      </c>
      <c r="E31" s="9" t="s">
        <v>116</v>
      </c>
      <c r="F31" s="8">
        <f>(INT(Table_Tajikistan14[[#This Row],[Date]]) - DATE(1970, 1, 1)) * 86400000</f>
        <v>1726704000000</v>
      </c>
      <c r="G31">
        <f>'GMT Glossary'!$B$12</f>
        <v>8</v>
      </c>
      <c r="H31" s="2" t="str">
        <f>TEXT(IF(B31&lt;0, A31+1+((B31+(G31/24))-(INT(B31+(G31/24)))), A31+(B31+(G31/24))), "yyyy-mm-dd")</f>
        <v>2024-09-20</v>
      </c>
      <c r="I31" s="2" t="str">
        <f>TEXT(IF(B31&lt;0, A31+1+((B31+(G31/24))-(INT(B31+(G31/24)))), A31+(B31+(G31/24))), "hh:mm")</f>
        <v>01:00</v>
      </c>
    </row>
    <row r="32" spans="1:9" x14ac:dyDescent="0.25">
      <c r="A32" s="78">
        <v>45554</v>
      </c>
      <c r="B32" s="88">
        <v>0.79166666666666663</v>
      </c>
      <c r="C32" s="86" t="s">
        <v>406</v>
      </c>
      <c r="D32" s="74" t="s">
        <v>323</v>
      </c>
      <c r="E32" s="9" t="s">
        <v>116</v>
      </c>
      <c r="F32" s="8">
        <f>(INT(Table_Tajikistan14[[#This Row],[Date]]) - DATE(1970, 1, 1)) * 86400000</f>
        <v>1726704000000</v>
      </c>
      <c r="G32">
        <f>'GMT Glossary'!$B$12</f>
        <v>8</v>
      </c>
      <c r="H32" s="2" t="str">
        <f>TEXT(IF(B32&lt;0, A32+1+((B32+(G32/24))-(INT(B32+(G32/24)))), A32+(B32+(G32/24))), "yyyy-mm-dd")</f>
        <v>2024-09-20</v>
      </c>
      <c r="I32" s="2" t="str">
        <f>TEXT(IF(B32&lt;0, A32+1+((B32+(G32/24))-(INT(B32+(G32/24)))), A32+(B32+(G32/24))), "hh:mm")</f>
        <v>03:00</v>
      </c>
    </row>
    <row r="33" spans="1:9" x14ac:dyDescent="0.25">
      <c r="A33" s="78">
        <v>45555</v>
      </c>
      <c r="B33" s="88">
        <v>0</v>
      </c>
      <c r="C33" s="86" t="s">
        <v>8</v>
      </c>
      <c r="D33" s="74" t="s">
        <v>308</v>
      </c>
      <c r="E33" s="9" t="s">
        <v>116</v>
      </c>
      <c r="F33" s="8">
        <f>(INT(Table_Tajikistan14[[#This Row],[Date]]) - DATE(1970, 1, 1)) * 86400000</f>
        <v>1726790400000</v>
      </c>
      <c r="G33">
        <f>'GMT Glossary'!$B$12</f>
        <v>8</v>
      </c>
      <c r="H33" s="2" t="str">
        <f>TEXT(IF(B33&lt;0, A33+1+((B33+(G33/24))-(INT(B33+(G33/24)))), A33+(B33+(G33/24))), "yyyy-mm-dd")</f>
        <v>2024-09-20</v>
      </c>
      <c r="I33" s="2" t="str">
        <f>TEXT(IF(B33&lt;0, A33+1+((B33+(G33/24))-(INT(B33+(G33/24)))), A33+(B33+(G33/24))), "hh:mm")</f>
        <v>08:00</v>
      </c>
    </row>
    <row r="34" spans="1:9" x14ac:dyDescent="0.25">
      <c r="A34" s="78">
        <v>45555</v>
      </c>
      <c r="B34" s="88">
        <v>4.1666666666666664E-2</v>
      </c>
      <c r="C34" s="86" t="s">
        <v>8</v>
      </c>
      <c r="D34" s="74" t="s">
        <v>314</v>
      </c>
      <c r="E34" s="9" t="s">
        <v>116</v>
      </c>
      <c r="F34" s="8">
        <f>(INT(Table_Tajikistan14[[#This Row],[Date]]) - DATE(1970, 1, 1)) * 86400000</f>
        <v>1726790400000</v>
      </c>
      <c r="G34">
        <f>'GMT Glossary'!$B$12</f>
        <v>8</v>
      </c>
      <c r="H34" s="2" t="str">
        <f>TEXT(IF(B34&lt;0, A34+1+((B34+(G34/24))-(INT(B34+(G34/24)))), A34+(B34+(G34/24))), "yyyy-mm-dd")</f>
        <v>2024-09-20</v>
      </c>
      <c r="I34" s="2" t="str">
        <f>TEXT(IF(B34&lt;0, A34+1+((B34+(G34/24))-(INT(B34+(G34/24)))), A34+(B34+(G34/24))), "hh:mm")</f>
        <v>09:00</v>
      </c>
    </row>
    <row r="35" spans="1:9" x14ac:dyDescent="0.25">
      <c r="A35" s="78">
        <v>45555</v>
      </c>
      <c r="B35" s="88">
        <v>0.125</v>
      </c>
      <c r="C35" s="86" t="s">
        <v>8</v>
      </c>
      <c r="D35" s="74" t="s">
        <v>324</v>
      </c>
      <c r="E35" s="9" t="s">
        <v>116</v>
      </c>
      <c r="F35" s="8">
        <f>(INT(Table_Tajikistan14[[#This Row],[Date]]) - DATE(1970, 1, 1)) * 86400000</f>
        <v>1726790400000</v>
      </c>
      <c r="G35">
        <f>'GMT Glossary'!$B$12</f>
        <v>8</v>
      </c>
      <c r="H35" s="2" t="str">
        <f>TEXT(IF(B35&lt;0, A35+1+((B35+(G35/24))-(INT(B35+(G35/24)))), A35+(B35+(G35/24))), "yyyy-mm-dd")</f>
        <v>2024-09-20</v>
      </c>
      <c r="I35" s="2" t="str">
        <f>TEXT(IF(B35&lt;0, A35+1+((B35+(G35/24))-(INT(B35+(G35/24)))), A35+(B35+(G35/24))), "hh:mm")</f>
        <v>11:00</v>
      </c>
    </row>
    <row r="36" spans="1:9" x14ac:dyDescent="0.25">
      <c r="A36" s="78">
        <v>45555</v>
      </c>
      <c r="B36" s="88">
        <v>0.20833333333333334</v>
      </c>
      <c r="C36" s="86" t="s">
        <v>8</v>
      </c>
      <c r="D36" s="74" t="s">
        <v>114</v>
      </c>
      <c r="E36" s="9" t="s">
        <v>116</v>
      </c>
      <c r="F36" s="8">
        <f>(INT(Table_Tajikistan14[[#This Row],[Date]]) - DATE(1970, 1, 1)) * 86400000</f>
        <v>1726790400000</v>
      </c>
      <c r="G36">
        <f>'GMT Glossary'!$B$12</f>
        <v>8</v>
      </c>
      <c r="H36" s="2" t="str">
        <f>TEXT(IF(B36&lt;0, A36+1+((B36+(G36/24))-(INT(B36+(G36/24)))), A36+(B36+(G36/24))), "yyyy-mm-dd")</f>
        <v>2024-09-20</v>
      </c>
      <c r="I36" s="2" t="str">
        <f>TEXT(IF(B36&lt;0, A36+1+((B36+(G36/24))-(INT(B36+(G36/24)))), A36+(B36+(G36/24))), "hh:mm")</f>
        <v>13:00</v>
      </c>
    </row>
    <row r="37" spans="1:9" x14ac:dyDescent="0.25">
      <c r="A37" s="78">
        <v>45555</v>
      </c>
      <c r="B37" s="88">
        <v>0.29166666666666669</v>
      </c>
      <c r="C37" s="86" t="s">
        <v>8</v>
      </c>
      <c r="D37" s="74" t="s">
        <v>325</v>
      </c>
      <c r="E37" s="9" t="s">
        <v>116</v>
      </c>
      <c r="F37" s="8">
        <f>(INT(Table_Tajikistan14[[#This Row],[Date]]) - DATE(1970, 1, 1)) * 86400000</f>
        <v>1726790400000</v>
      </c>
      <c r="G37">
        <f>'GMT Glossary'!$B$12</f>
        <v>8</v>
      </c>
      <c r="H37" s="2" t="str">
        <f>TEXT(IF(B37&lt;0, A37+1+((B37+(G37/24))-(INT(B37+(G37/24)))), A37+(B37+(G37/24))), "yyyy-mm-dd")</f>
        <v>2024-09-20</v>
      </c>
      <c r="I37" s="2" t="str">
        <f>TEXT(IF(B37&lt;0, A37+1+((B37+(G37/24))-(INT(B37+(G37/24)))), A37+(B37+(G37/24))), "hh:mm")</f>
        <v>15:00</v>
      </c>
    </row>
    <row r="38" spans="1:9" x14ac:dyDescent="0.25">
      <c r="A38" s="78">
        <v>45555</v>
      </c>
      <c r="B38" s="88">
        <v>0.375</v>
      </c>
      <c r="C38" s="86" t="s">
        <v>8</v>
      </c>
      <c r="D38" s="74" t="s">
        <v>307</v>
      </c>
      <c r="E38" s="9" t="s">
        <v>116</v>
      </c>
      <c r="F38" s="8">
        <f>(INT(Table_Tajikistan14[[#This Row],[Date]]) - DATE(1970, 1, 1)) * 86400000</f>
        <v>1726790400000</v>
      </c>
      <c r="G38">
        <f>'GMT Glossary'!$B$12</f>
        <v>8</v>
      </c>
      <c r="H38" s="2" t="str">
        <f>TEXT(IF(B38&lt;0, A38+1+((B38+(G38/24))-(INT(B38+(G38/24)))), A38+(B38+(G38/24))), "yyyy-mm-dd")</f>
        <v>2024-09-20</v>
      </c>
      <c r="I38" s="2" t="str">
        <f>TEXT(IF(B38&lt;0, A38+1+((B38+(G38/24))-(INT(B38+(G38/24)))), A38+(B38+(G38/24))), "hh:mm")</f>
        <v>17:00</v>
      </c>
    </row>
    <row r="39" spans="1:9" x14ac:dyDescent="0.25">
      <c r="A39" s="78">
        <v>45555</v>
      </c>
      <c r="B39" s="88">
        <v>0.4375</v>
      </c>
      <c r="C39" s="86" t="s">
        <v>400</v>
      </c>
      <c r="D39" s="76" t="s">
        <v>326</v>
      </c>
      <c r="E39" s="9" t="s">
        <v>116</v>
      </c>
      <c r="F39" s="8">
        <f>(INT(Table_Tajikistan14[[#This Row],[Date]]) - DATE(1970, 1, 1)) * 86400000</f>
        <v>1726790400000</v>
      </c>
      <c r="G39">
        <f>'GMT Glossary'!$B$12</f>
        <v>8</v>
      </c>
      <c r="H39" s="2" t="str">
        <f>TEXT(IF(B39&lt;0, A39+1+((B39+(G39/24))-(INT(B39+(G39/24)))), A39+(B39+(G39/24))), "yyyy-mm-dd")</f>
        <v>2024-09-20</v>
      </c>
      <c r="I39" s="2" t="str">
        <f>TEXT(IF(B39&lt;0, A39+1+((B39+(G39/24))-(INT(B39+(G39/24)))), A39+(B39+(G39/24))), "hh:mm")</f>
        <v>18:30</v>
      </c>
    </row>
    <row r="40" spans="1:9" x14ac:dyDescent="0.25">
      <c r="A40" s="78">
        <v>45555</v>
      </c>
      <c r="B40" s="88">
        <v>0.54166666666666663</v>
      </c>
      <c r="C40" s="86" t="s">
        <v>8</v>
      </c>
      <c r="D40" s="74" t="s">
        <v>321</v>
      </c>
      <c r="E40" s="9" t="s">
        <v>116</v>
      </c>
      <c r="F40" s="8">
        <f>(INT(Table_Tajikistan14[[#This Row],[Date]]) - DATE(1970, 1, 1)) * 86400000</f>
        <v>1726790400000</v>
      </c>
      <c r="G40">
        <f>'GMT Glossary'!$B$12</f>
        <v>8</v>
      </c>
      <c r="H40" s="2" t="str">
        <f>TEXT(IF(B40&lt;0, A40+1+((B40+(G40/24))-(INT(B40+(G40/24)))), A40+(B40+(G40/24))), "yyyy-mm-dd")</f>
        <v>2024-09-20</v>
      </c>
      <c r="I40" s="2" t="str">
        <f>TEXT(IF(B40&lt;0, A40+1+((B40+(G40/24))-(INT(B40+(G40/24)))), A40+(B40+(G40/24))), "hh:mm")</f>
        <v>21:00</v>
      </c>
    </row>
    <row r="41" spans="1:9" x14ac:dyDescent="0.25">
      <c r="A41" s="78">
        <v>45555</v>
      </c>
      <c r="B41" s="88">
        <v>0.625</v>
      </c>
      <c r="C41" s="86" t="s">
        <v>399</v>
      </c>
      <c r="D41" s="76" t="s">
        <v>327</v>
      </c>
      <c r="E41" s="9" t="s">
        <v>116</v>
      </c>
      <c r="F41" s="8">
        <f>(INT(Table_Tajikistan14[[#This Row],[Date]]) - DATE(1970, 1, 1)) * 86400000</f>
        <v>1726790400000</v>
      </c>
      <c r="G41">
        <f>'GMT Glossary'!$B$12</f>
        <v>8</v>
      </c>
      <c r="H41" s="2" t="str">
        <f>TEXT(IF(B41&lt;0, A41+1+((B41+(G41/24))-(INT(B41+(G41/24)))), A41+(B41+(G41/24))), "yyyy-mm-dd")</f>
        <v>2024-09-20</v>
      </c>
      <c r="I41" s="2" t="str">
        <f>TEXT(IF(B41&lt;0, A41+1+((B41+(G41/24))-(INT(B41+(G41/24)))), A41+(B41+(G41/24))), "hh:mm")</f>
        <v>23:00</v>
      </c>
    </row>
    <row r="42" spans="1:9" x14ac:dyDescent="0.25">
      <c r="A42" s="78">
        <v>45555</v>
      </c>
      <c r="B42" s="88">
        <v>0.75</v>
      </c>
      <c r="C42" s="86" t="s">
        <v>8</v>
      </c>
      <c r="D42" s="74" t="s">
        <v>308</v>
      </c>
      <c r="E42" s="9" t="s">
        <v>116</v>
      </c>
      <c r="F42" s="8">
        <f>(INT(Table_Tajikistan14[[#This Row],[Date]]) - DATE(1970, 1, 1)) * 86400000</f>
        <v>1726790400000</v>
      </c>
      <c r="G42">
        <f>'GMT Glossary'!$B$12</f>
        <v>8</v>
      </c>
      <c r="H42" s="2" t="str">
        <f>TEXT(IF(B42&lt;0, A42+1+((B42+(G42/24))-(INT(B42+(G42/24)))), A42+(B42+(G42/24))), "yyyy-mm-dd")</f>
        <v>2024-09-21</v>
      </c>
      <c r="I42" s="2" t="str">
        <f>TEXT(IF(B42&lt;0, A42+1+((B42+(G42/24))-(INT(B42+(G42/24)))), A42+(B42+(G42/24))), "hh:mm")</f>
        <v>02:00</v>
      </c>
    </row>
    <row r="43" spans="1:9" x14ac:dyDescent="0.25">
      <c r="A43" s="78">
        <v>45555</v>
      </c>
      <c r="B43" s="88">
        <v>0.79166666666666663</v>
      </c>
      <c r="C43" s="86" t="s">
        <v>8</v>
      </c>
      <c r="D43" s="76" t="s">
        <v>328</v>
      </c>
      <c r="E43" s="9" t="s">
        <v>116</v>
      </c>
      <c r="F43" s="8">
        <f>(INT(Table_Tajikistan14[[#This Row],[Date]]) - DATE(1970, 1, 1)) * 86400000</f>
        <v>1726790400000</v>
      </c>
      <c r="G43">
        <f>'GMT Glossary'!$B$12</f>
        <v>8</v>
      </c>
      <c r="H43" s="2" t="str">
        <f>TEXT(IF(B43&lt;0, A43+1+((B43+(G43/24))-(INT(B43+(G43/24)))), A43+(B43+(G43/24))), "yyyy-mm-dd")</f>
        <v>2024-09-21</v>
      </c>
      <c r="I43" s="2" t="str">
        <f>TEXT(IF(B43&lt;0, A43+1+((B43+(G43/24))-(INT(B43+(G43/24)))), A43+(B43+(G43/24))), "hh:mm")</f>
        <v>03:00</v>
      </c>
    </row>
    <row r="44" spans="1:9" x14ac:dyDescent="0.25">
      <c r="A44" s="78">
        <v>45555</v>
      </c>
      <c r="B44" s="88">
        <v>0.875</v>
      </c>
      <c r="C44" s="86" t="s">
        <v>8</v>
      </c>
      <c r="D44" s="74" t="s">
        <v>329</v>
      </c>
      <c r="E44" s="9" t="s">
        <v>116</v>
      </c>
      <c r="F44" s="8">
        <f>(INT(Table_Tajikistan14[[#This Row],[Date]]) - DATE(1970, 1, 1)) * 86400000</f>
        <v>1726790400000</v>
      </c>
      <c r="G44">
        <f>'GMT Glossary'!$B$12</f>
        <v>8</v>
      </c>
      <c r="H44" s="2" t="str">
        <f>TEXT(IF(B44&lt;0, A44+1+((B44+(G44/24))-(INT(B44+(G44/24)))), A44+(B44+(G44/24))), "yyyy-mm-dd")</f>
        <v>2024-09-21</v>
      </c>
      <c r="I44" s="2" t="str">
        <f>TEXT(IF(B44&lt;0, A44+1+((B44+(G44/24))-(INT(B44+(G44/24)))), A44+(B44+(G44/24))), "hh:mm")</f>
        <v>05:00</v>
      </c>
    </row>
    <row r="45" spans="1:9" x14ac:dyDescent="0.25">
      <c r="A45" s="78">
        <v>45555</v>
      </c>
      <c r="B45" s="88">
        <v>0.95833333333333337</v>
      </c>
      <c r="C45" s="86" t="s">
        <v>400</v>
      </c>
      <c r="D45" s="74" t="s">
        <v>330</v>
      </c>
      <c r="E45" s="9" t="s">
        <v>116</v>
      </c>
      <c r="F45" s="8">
        <f>(INT(Table_Tajikistan14[[#This Row],[Date]]) - DATE(1970, 1, 1)) * 86400000</f>
        <v>1726790400000</v>
      </c>
      <c r="G45">
        <f>'GMT Glossary'!$B$12</f>
        <v>8</v>
      </c>
      <c r="H45" s="2" t="str">
        <f>TEXT(IF(B45&lt;0, A45+1+((B45+(G45/24))-(INT(B45+(G45/24)))), A45+(B45+(G45/24))), "yyyy-mm-dd")</f>
        <v>2024-09-21</v>
      </c>
      <c r="I45" s="2" t="str">
        <f>TEXT(IF(B45&lt;0, A45+1+((B45+(G45/24))-(INT(B45+(G45/24)))), A45+(B45+(G45/24))), "hh:mm")</f>
        <v>07:00</v>
      </c>
    </row>
    <row r="46" spans="1:9" x14ac:dyDescent="0.25">
      <c r="A46" s="78">
        <v>45556</v>
      </c>
      <c r="B46" s="88">
        <v>4.1666666666666664E-2</v>
      </c>
      <c r="C46" s="86" t="s">
        <v>8</v>
      </c>
      <c r="D46" s="74" t="s">
        <v>318</v>
      </c>
      <c r="E46" s="9" t="s">
        <v>116</v>
      </c>
      <c r="F46" s="8">
        <f>(INT(Table_Tajikistan14[[#This Row],[Date]]) - DATE(1970, 1, 1)) * 86400000</f>
        <v>1726876800000</v>
      </c>
      <c r="G46">
        <f>'GMT Glossary'!$B$12</f>
        <v>8</v>
      </c>
      <c r="H46" s="2" t="str">
        <f>TEXT(IF(B46&lt;0, A46+1+((B46+(G46/24))-(INT(B46+(G46/24)))), A46+(B46+(G46/24))), "yyyy-mm-dd")</f>
        <v>2024-09-21</v>
      </c>
      <c r="I46" s="2" t="str">
        <f>TEXT(IF(B46&lt;0, A46+1+((B46+(G46/24))-(INT(B46+(G46/24)))), A46+(B46+(G46/24))), "hh:mm")</f>
        <v>09:00</v>
      </c>
    </row>
    <row r="47" spans="1:9" x14ac:dyDescent="0.25">
      <c r="A47" s="78">
        <v>45556</v>
      </c>
      <c r="B47" s="88">
        <v>0.125</v>
      </c>
      <c r="C47" s="86" t="s">
        <v>406</v>
      </c>
      <c r="D47" s="74" t="s">
        <v>323</v>
      </c>
      <c r="E47" s="9" t="s">
        <v>116</v>
      </c>
      <c r="F47" s="8">
        <f>(INT(Table_Tajikistan14[[#This Row],[Date]]) - DATE(1970, 1, 1)) * 86400000</f>
        <v>1726876800000</v>
      </c>
      <c r="G47">
        <f>'GMT Glossary'!$B$12</f>
        <v>8</v>
      </c>
      <c r="H47" s="2" t="str">
        <f>TEXT(IF(B47&lt;0, A47+1+((B47+(G47/24))-(INT(B47+(G47/24)))), A47+(B47+(G47/24))), "yyyy-mm-dd")</f>
        <v>2024-09-21</v>
      </c>
      <c r="I47" s="2" t="str">
        <f>TEXT(IF(B47&lt;0, A47+1+((B47+(G47/24))-(INT(B47+(G47/24)))), A47+(B47+(G47/24))), "hh:mm")</f>
        <v>11:00</v>
      </c>
    </row>
    <row r="48" spans="1:9" x14ac:dyDescent="0.25">
      <c r="A48" s="78">
        <v>45556</v>
      </c>
      <c r="B48" s="88">
        <v>0.33333333333333331</v>
      </c>
      <c r="C48" s="86" t="s">
        <v>400</v>
      </c>
      <c r="D48" s="76" t="s">
        <v>331</v>
      </c>
      <c r="E48" s="9" t="s">
        <v>116</v>
      </c>
      <c r="F48" s="8">
        <f>(INT(Table_Tajikistan14[[#This Row],[Date]]) - DATE(1970, 1, 1)) * 86400000</f>
        <v>1726876800000</v>
      </c>
      <c r="G48">
        <f>'GMT Glossary'!$B$12</f>
        <v>8</v>
      </c>
      <c r="H48" s="2" t="str">
        <f>TEXT(IF(B48&lt;0, A48+1+((B48+(G48/24))-(INT(B48+(G48/24)))), A48+(B48+(G48/24))), "yyyy-mm-dd")</f>
        <v>2024-09-21</v>
      </c>
      <c r="I48" s="2" t="str">
        <f>TEXT(IF(B48&lt;0, A48+1+((B48+(G48/24))-(INT(B48+(G48/24)))), A48+(B48+(G48/24))), "hh:mm")</f>
        <v>16:00</v>
      </c>
    </row>
    <row r="49" spans="1:9" x14ac:dyDescent="0.25">
      <c r="A49" s="78">
        <v>45556</v>
      </c>
      <c r="B49" s="88">
        <v>0.41666666666666669</v>
      </c>
      <c r="C49" s="86" t="s">
        <v>8</v>
      </c>
      <c r="D49" s="74" t="s">
        <v>307</v>
      </c>
      <c r="E49" s="9" t="s">
        <v>116</v>
      </c>
      <c r="F49" s="8">
        <f>(INT(Table_Tajikistan14[[#This Row],[Date]]) - DATE(1970, 1, 1)) * 86400000</f>
        <v>1726876800000</v>
      </c>
      <c r="G49">
        <f>'GMT Glossary'!$B$12</f>
        <v>8</v>
      </c>
      <c r="H49" s="2" t="str">
        <f>TEXT(IF(B49&lt;0, A49+1+((B49+(G49/24))-(INT(B49+(G49/24)))), A49+(B49+(G49/24))), "yyyy-mm-dd")</f>
        <v>2024-09-21</v>
      </c>
      <c r="I49" s="2" t="str">
        <f>TEXT(IF(B49&lt;0, A49+1+((B49+(G49/24))-(INT(B49+(G49/24)))), A49+(B49+(G49/24))), "hh:mm")</f>
        <v>18:00</v>
      </c>
    </row>
    <row r="50" spans="1:9" x14ac:dyDescent="0.25">
      <c r="A50" s="78">
        <v>45556</v>
      </c>
      <c r="B50" s="88">
        <v>0.47916666666666669</v>
      </c>
      <c r="C50" s="86" t="s">
        <v>8</v>
      </c>
      <c r="D50" s="76" t="s">
        <v>332</v>
      </c>
      <c r="E50" s="9" t="s">
        <v>116</v>
      </c>
      <c r="F50" s="8">
        <f>(INT(Table_Tajikistan14[[#This Row],[Date]]) - DATE(1970, 1, 1)) * 86400000</f>
        <v>1726876800000</v>
      </c>
      <c r="G50">
        <f>'GMT Glossary'!$B$12</f>
        <v>8</v>
      </c>
      <c r="H50" s="2" t="str">
        <f>TEXT(IF(B50&lt;0, A50+1+((B50+(G50/24))-(INT(B50+(G50/24)))), A50+(B50+(G50/24))), "yyyy-mm-dd")</f>
        <v>2024-09-21</v>
      </c>
      <c r="I50" s="2" t="str">
        <f>TEXT(IF(B50&lt;0, A50+1+((B50+(G50/24))-(INT(B50+(G50/24)))), A50+(B50+(G50/24))), "hh:mm")</f>
        <v>19:30</v>
      </c>
    </row>
    <row r="51" spans="1:9" x14ac:dyDescent="0.25">
      <c r="A51" s="78">
        <v>45556</v>
      </c>
      <c r="B51" s="88">
        <v>0.58333333333333337</v>
      </c>
      <c r="C51" s="86" t="s">
        <v>8</v>
      </c>
      <c r="D51" s="76" t="s">
        <v>333</v>
      </c>
      <c r="E51" s="9" t="s">
        <v>116</v>
      </c>
      <c r="F51" s="8">
        <f>(INT(Table_Tajikistan14[[#This Row],[Date]]) - DATE(1970, 1, 1)) * 86400000</f>
        <v>1726876800000</v>
      </c>
      <c r="G51">
        <f>'GMT Glossary'!$B$12</f>
        <v>8</v>
      </c>
      <c r="H51" s="2" t="str">
        <f>TEXT(IF(B51&lt;0, A51+1+((B51+(G51/24))-(INT(B51+(G51/24)))), A51+(B51+(G51/24))), "yyyy-mm-dd")</f>
        <v>2024-09-21</v>
      </c>
      <c r="I51" s="2" t="str">
        <f>TEXT(IF(B51&lt;0, A51+1+((B51+(G51/24))-(INT(B51+(G51/24)))), A51+(B51+(G51/24))), "hh:mm")</f>
        <v>22:00</v>
      </c>
    </row>
    <row r="52" spans="1:9" x14ac:dyDescent="0.25">
      <c r="A52" s="78">
        <v>45556</v>
      </c>
      <c r="B52" s="88">
        <v>0.6875</v>
      </c>
      <c r="C52" s="86" t="s">
        <v>400</v>
      </c>
      <c r="D52" s="76" t="s">
        <v>334</v>
      </c>
      <c r="E52" s="9" t="s">
        <v>116</v>
      </c>
      <c r="F52" s="8">
        <f>(INT(Table_Tajikistan14[[#This Row],[Date]]) - DATE(1970, 1, 1)) * 86400000</f>
        <v>1726876800000</v>
      </c>
      <c r="G52">
        <f>'GMT Glossary'!$B$12</f>
        <v>8</v>
      </c>
      <c r="H52" s="2" t="str">
        <f>TEXT(IF(B52&lt;0, A52+1+((B52+(G52/24))-(INT(B52+(G52/24)))), A52+(B52+(G52/24))), "yyyy-mm-dd")</f>
        <v>2024-09-22</v>
      </c>
      <c r="I52" s="2" t="str">
        <f>TEXT(IF(B52&lt;0, A52+1+((B52+(G52/24))-(INT(B52+(G52/24)))), A52+(B52+(G52/24))), "hh:mm")</f>
        <v>00:30</v>
      </c>
    </row>
    <row r="53" spans="1:9" x14ac:dyDescent="0.25">
      <c r="A53" s="78">
        <v>45556</v>
      </c>
      <c r="B53" s="88">
        <v>0.77083333333333337</v>
      </c>
      <c r="C53" s="86" t="s">
        <v>8</v>
      </c>
      <c r="D53" s="74" t="s">
        <v>113</v>
      </c>
      <c r="E53" s="9" t="s">
        <v>116</v>
      </c>
      <c r="F53" s="8">
        <f>(INT(Table_Tajikistan14[[#This Row],[Date]]) - DATE(1970, 1, 1)) * 86400000</f>
        <v>1726876800000</v>
      </c>
      <c r="G53">
        <f>'GMT Glossary'!$B$12</f>
        <v>8</v>
      </c>
      <c r="H53" s="2" t="str">
        <f>TEXT(IF(B53&lt;0, A53+1+((B53+(G53/24))-(INT(B53+(G53/24)))), A53+(B53+(G53/24))), "yyyy-mm-dd")</f>
        <v>2024-09-22</v>
      </c>
      <c r="I53" s="2" t="str">
        <f>TEXT(IF(B53&lt;0, A53+1+((B53+(G53/24))-(INT(B53+(G53/24)))), A53+(B53+(G53/24))), "hh:mm")</f>
        <v>02:30</v>
      </c>
    </row>
    <row r="54" spans="1:9" x14ac:dyDescent="0.25">
      <c r="A54" s="78">
        <v>45556</v>
      </c>
      <c r="B54" s="88">
        <v>0.8125</v>
      </c>
      <c r="C54" s="86" t="s">
        <v>400</v>
      </c>
      <c r="D54" s="76" t="s">
        <v>335</v>
      </c>
      <c r="E54" s="9" t="s">
        <v>116</v>
      </c>
      <c r="F54" s="8">
        <f>(INT(Table_Tajikistan14[[#This Row],[Date]]) - DATE(1970, 1, 1)) * 86400000</f>
        <v>1726876800000</v>
      </c>
      <c r="G54">
        <f>'GMT Glossary'!$B$12</f>
        <v>8</v>
      </c>
      <c r="H54" s="2" t="str">
        <f>TEXT(IF(B54&lt;0, A54+1+((B54+(G54/24))-(INT(B54+(G54/24)))), A54+(B54+(G54/24))), "yyyy-mm-dd")</f>
        <v>2024-09-22</v>
      </c>
      <c r="I54" s="2" t="str">
        <f>TEXT(IF(B54&lt;0, A54+1+((B54+(G54/24))-(INT(B54+(G54/24)))), A54+(B54+(G54/24))), "hh:mm")</f>
        <v>03:30</v>
      </c>
    </row>
    <row r="55" spans="1:9" x14ac:dyDescent="0.25">
      <c r="A55" s="78">
        <v>45556</v>
      </c>
      <c r="B55" s="88">
        <v>0.91666666666666663</v>
      </c>
      <c r="C55" s="86" t="s">
        <v>399</v>
      </c>
      <c r="D55" s="74" t="s">
        <v>336</v>
      </c>
      <c r="E55" s="9" t="s">
        <v>116</v>
      </c>
      <c r="F55" s="8">
        <f>(INT(Table_Tajikistan14[[#This Row],[Date]]) - DATE(1970, 1, 1)) * 86400000</f>
        <v>1726876800000</v>
      </c>
      <c r="G55">
        <f>'GMT Glossary'!$B$12</f>
        <v>8</v>
      </c>
      <c r="H55" s="2" t="str">
        <f>TEXT(IF(B55&lt;0, A55+1+((B55+(G55/24))-(INT(B55+(G55/24)))), A55+(B55+(G55/24))), "yyyy-mm-dd")</f>
        <v>2024-09-22</v>
      </c>
      <c r="I55" s="2" t="str">
        <f>TEXT(IF(B55&lt;0, A55+1+((B55+(G55/24))-(INT(B55+(G55/24)))), A55+(B55+(G55/24))), "hh:mm")</f>
        <v>06:00</v>
      </c>
    </row>
    <row r="56" spans="1:9" x14ac:dyDescent="0.25">
      <c r="A56" s="78">
        <v>45557</v>
      </c>
      <c r="B56" s="88">
        <v>4.1666666666666664E-2</v>
      </c>
      <c r="C56" s="86" t="s">
        <v>8</v>
      </c>
      <c r="D56" s="74" t="s">
        <v>337</v>
      </c>
      <c r="E56" s="9" t="s">
        <v>116</v>
      </c>
      <c r="F56" s="8">
        <f>(INT(Table_Tajikistan14[[#This Row],[Date]]) - DATE(1970, 1, 1)) * 86400000</f>
        <v>1726963200000</v>
      </c>
      <c r="G56">
        <f>'GMT Glossary'!$B$12</f>
        <v>8</v>
      </c>
      <c r="H56" s="2" t="str">
        <f>TEXT(IF(B56&lt;0, A56+1+((B56+(G56/24))-(INT(B56+(G56/24)))), A56+(B56+(G56/24))), "yyyy-mm-dd")</f>
        <v>2024-09-22</v>
      </c>
      <c r="I56" s="2" t="str">
        <f>TEXT(IF(B56&lt;0, A56+1+((B56+(G56/24))-(INT(B56+(G56/24)))), A56+(B56+(G56/24))), "hh:mm")</f>
        <v>09:00</v>
      </c>
    </row>
    <row r="57" spans="1:9" x14ac:dyDescent="0.25">
      <c r="A57" s="78">
        <v>45557</v>
      </c>
      <c r="B57" s="88">
        <v>0.125</v>
      </c>
      <c r="C57" s="86" t="s">
        <v>400</v>
      </c>
      <c r="D57" s="74" t="s">
        <v>338</v>
      </c>
      <c r="E57" s="9" t="s">
        <v>116</v>
      </c>
      <c r="F57" s="8">
        <f>(INT(Table_Tajikistan14[[#This Row],[Date]]) - DATE(1970, 1, 1)) * 86400000</f>
        <v>1726963200000</v>
      </c>
      <c r="G57">
        <f>'GMT Glossary'!$B$12</f>
        <v>8</v>
      </c>
      <c r="H57" s="2" t="str">
        <f>TEXT(IF(B57&lt;0, A57+1+((B57+(G57/24))-(INT(B57+(G57/24)))), A57+(B57+(G57/24))), "yyyy-mm-dd")</f>
        <v>2024-09-22</v>
      </c>
      <c r="I57" s="2" t="str">
        <f>TEXT(IF(B57&lt;0, A57+1+((B57+(G57/24))-(INT(B57+(G57/24)))), A57+(B57+(G57/24))), "hh:mm")</f>
        <v>11:00</v>
      </c>
    </row>
    <row r="58" spans="1:9" x14ac:dyDescent="0.25">
      <c r="A58" s="78">
        <v>45557</v>
      </c>
      <c r="B58" s="88">
        <v>0.20833333333333334</v>
      </c>
      <c r="C58" s="86" t="s">
        <v>400</v>
      </c>
      <c r="D58" s="74" t="s">
        <v>339</v>
      </c>
      <c r="E58" s="9" t="s">
        <v>116</v>
      </c>
      <c r="F58" s="8">
        <f>(INT(Table_Tajikistan14[[#This Row],[Date]]) - DATE(1970, 1, 1)) * 86400000</f>
        <v>1726963200000</v>
      </c>
      <c r="G58">
        <f>'GMT Glossary'!$B$12</f>
        <v>8</v>
      </c>
      <c r="H58" s="2" t="str">
        <f>TEXT(IF(B58&lt;0, A58+1+((B58+(G58/24))-(INT(B58+(G58/24)))), A58+(B58+(G58/24))), "yyyy-mm-dd")</f>
        <v>2024-09-22</v>
      </c>
      <c r="I58" s="2" t="str">
        <f>TEXT(IF(B58&lt;0, A58+1+((B58+(G58/24))-(INT(B58+(G58/24)))), A58+(B58+(G58/24))), "hh:mm")</f>
        <v>13:00</v>
      </c>
    </row>
    <row r="59" spans="1:9" x14ac:dyDescent="0.25">
      <c r="A59" s="78">
        <v>45557</v>
      </c>
      <c r="B59" s="88">
        <v>0.29166666666666669</v>
      </c>
      <c r="C59" s="86" t="s">
        <v>8</v>
      </c>
      <c r="D59" s="74" t="s">
        <v>340</v>
      </c>
      <c r="E59" s="9" t="s">
        <v>116</v>
      </c>
      <c r="F59" s="8">
        <f>(INT(Table_Tajikistan14[[#This Row],[Date]]) - DATE(1970, 1, 1)) * 86400000</f>
        <v>1726963200000</v>
      </c>
      <c r="G59">
        <f>'GMT Glossary'!$B$12</f>
        <v>8</v>
      </c>
      <c r="H59" s="2" t="str">
        <f>TEXT(IF(B59&lt;0, A59+1+((B59+(G59/24))-(INT(B59+(G59/24)))), A59+(B59+(G59/24))), "yyyy-mm-dd")</f>
        <v>2024-09-22</v>
      </c>
      <c r="I59" s="2" t="str">
        <f>TEXT(IF(B59&lt;0, A59+1+((B59+(G59/24))-(INT(B59+(G59/24)))), A59+(B59+(G59/24))), "hh:mm")</f>
        <v>15:00</v>
      </c>
    </row>
    <row r="60" spans="1:9" x14ac:dyDescent="0.25">
      <c r="A60" s="78">
        <v>45557</v>
      </c>
      <c r="B60" s="88">
        <v>0.375</v>
      </c>
      <c r="C60" s="86" t="s">
        <v>8</v>
      </c>
      <c r="D60" s="74" t="s">
        <v>220</v>
      </c>
      <c r="E60" s="9" t="s">
        <v>116</v>
      </c>
      <c r="F60" s="8">
        <f>(INT(Table_Tajikistan14[[#This Row],[Date]]) - DATE(1970, 1, 1)) * 86400000</f>
        <v>1726963200000</v>
      </c>
      <c r="G60">
        <f>'GMT Glossary'!$B$12</f>
        <v>8</v>
      </c>
      <c r="H60" s="2" t="str">
        <f>TEXT(IF(B60&lt;0, A60+1+((B60+(G60/24))-(INT(B60+(G60/24)))), A60+(B60+(G60/24))), "yyyy-mm-dd")</f>
        <v>2024-09-22</v>
      </c>
      <c r="I60" s="2" t="str">
        <f>TEXT(IF(B60&lt;0, A60+1+((B60+(G60/24))-(INT(B60+(G60/24)))), A60+(B60+(G60/24))), "hh:mm")</f>
        <v>17:00</v>
      </c>
    </row>
    <row r="61" spans="1:9" x14ac:dyDescent="0.25">
      <c r="A61" s="78">
        <v>45557</v>
      </c>
      <c r="B61" s="88">
        <v>0.45833333333333331</v>
      </c>
      <c r="C61" s="86" t="s">
        <v>8</v>
      </c>
      <c r="D61" s="76" t="s">
        <v>341</v>
      </c>
      <c r="E61" s="9" t="s">
        <v>116</v>
      </c>
      <c r="F61" s="8">
        <f>(INT(Table_Tajikistan14[[#This Row],[Date]]) - DATE(1970, 1, 1)) * 86400000</f>
        <v>1726963200000</v>
      </c>
      <c r="G61">
        <f>'GMT Glossary'!$B$12</f>
        <v>8</v>
      </c>
      <c r="H61" s="2" t="str">
        <f>TEXT(IF(B61&lt;0, A61+1+((B61+(G61/24))-(INT(B61+(G61/24)))), A61+(B61+(G61/24))), "yyyy-mm-dd")</f>
        <v>2024-09-22</v>
      </c>
      <c r="I61" s="2" t="str">
        <f>TEXT(IF(B61&lt;0, A61+1+((B61+(G61/24))-(INT(B61+(G61/24)))), A61+(B61+(G61/24))), "hh:mm")</f>
        <v>19:00</v>
      </c>
    </row>
    <row r="62" spans="1:9" x14ac:dyDescent="0.25">
      <c r="A62" s="78">
        <v>45557</v>
      </c>
      <c r="B62" s="88">
        <v>0.54166666666666663</v>
      </c>
      <c r="C62" s="86" t="s">
        <v>8</v>
      </c>
      <c r="D62" s="76" t="s">
        <v>342</v>
      </c>
      <c r="E62" s="9" t="s">
        <v>116</v>
      </c>
      <c r="F62" s="8">
        <f>(INT(Table_Tajikistan14[[#This Row],[Date]]) - DATE(1970, 1, 1)) * 86400000</f>
        <v>1726963200000</v>
      </c>
      <c r="G62">
        <f>'GMT Glossary'!$B$12</f>
        <v>8</v>
      </c>
      <c r="H62" s="2" t="str">
        <f>TEXT(IF(B62&lt;0, A62+1+((B62+(G62/24))-(INT(B62+(G62/24)))), A62+(B62+(G62/24))), "yyyy-mm-dd")</f>
        <v>2024-09-22</v>
      </c>
      <c r="I62" s="2" t="str">
        <f>TEXT(IF(B62&lt;0, A62+1+((B62+(G62/24))-(INT(B62+(G62/24)))), A62+(B62+(G62/24))), "hh:mm")</f>
        <v>21:00</v>
      </c>
    </row>
    <row r="63" spans="1:9" x14ac:dyDescent="0.25">
      <c r="A63" s="78">
        <v>45557</v>
      </c>
      <c r="B63" s="88">
        <v>0.64583333333333337</v>
      </c>
      <c r="C63" s="86" t="s">
        <v>8</v>
      </c>
      <c r="D63" s="76" t="s">
        <v>343</v>
      </c>
      <c r="E63" s="9" t="s">
        <v>116</v>
      </c>
      <c r="F63" s="8">
        <f>(INT(Table_Tajikistan14[[#This Row],[Date]]) - DATE(1970, 1, 1)) * 86400000</f>
        <v>1726963200000</v>
      </c>
      <c r="G63">
        <f>'GMT Glossary'!$B$12</f>
        <v>8</v>
      </c>
      <c r="H63" s="2" t="str">
        <f>TEXT(IF(B63&lt;0, A63+1+((B63+(G63/24))-(INT(B63+(G63/24)))), A63+(B63+(G63/24))), "yyyy-mm-dd")</f>
        <v>2024-09-22</v>
      </c>
      <c r="I63" s="2" t="str">
        <f>TEXT(IF(B63&lt;0, A63+1+((B63+(G63/24))-(INT(B63+(G63/24)))), A63+(B63+(G63/24))), "hh:mm")</f>
        <v>23:30</v>
      </c>
    </row>
    <row r="64" spans="1:9" x14ac:dyDescent="0.25">
      <c r="A64" s="78">
        <v>45557</v>
      </c>
      <c r="B64" s="88">
        <v>0.72916666666666663</v>
      </c>
      <c r="C64" s="86" t="s">
        <v>8</v>
      </c>
      <c r="D64" s="74" t="s">
        <v>113</v>
      </c>
      <c r="E64" s="9" t="s">
        <v>116</v>
      </c>
      <c r="F64" s="8">
        <f>(INT(Table_Tajikistan14[[#This Row],[Date]]) - DATE(1970, 1, 1)) * 86400000</f>
        <v>1726963200000</v>
      </c>
      <c r="G64">
        <f>'GMT Glossary'!$B$12</f>
        <v>8</v>
      </c>
      <c r="H64" s="2" t="str">
        <f>TEXT(IF(B64&lt;0, A64+1+((B64+(G64/24))-(INT(B64+(G64/24)))), A64+(B64+(G64/24))), "yyyy-mm-dd")</f>
        <v>2024-09-23</v>
      </c>
      <c r="I64" s="2" t="str">
        <f>TEXT(IF(B64&lt;0, A64+1+((B64+(G64/24))-(INT(B64+(G64/24)))), A64+(B64+(G64/24))), "hh:mm")</f>
        <v>01:30</v>
      </c>
    </row>
    <row r="65" spans="1:9" x14ac:dyDescent="0.25">
      <c r="A65" s="78">
        <v>45557</v>
      </c>
      <c r="B65" s="88">
        <v>0.75</v>
      </c>
      <c r="C65" s="86" t="s">
        <v>400</v>
      </c>
      <c r="D65" s="76" t="s">
        <v>344</v>
      </c>
      <c r="E65" s="9" t="s">
        <v>116</v>
      </c>
      <c r="F65" s="8">
        <f>(INT(Table_Tajikistan14[[#This Row],[Date]]) - DATE(1970, 1, 1)) * 86400000</f>
        <v>1726963200000</v>
      </c>
      <c r="G65">
        <f>'GMT Glossary'!$B$12</f>
        <v>8</v>
      </c>
      <c r="H65" s="2" t="str">
        <f>TEXT(IF(B65&lt;0, A65+1+((B65+(G65/24))-(INT(B65+(G65/24)))), A65+(B65+(G65/24))), "yyyy-mm-dd")</f>
        <v>2024-09-23</v>
      </c>
      <c r="I65" s="2" t="str">
        <f>TEXT(IF(B65&lt;0, A65+1+((B65+(G65/24))-(INT(B65+(G65/24)))), A65+(B65+(G65/24))), "hh:mm")</f>
        <v>02:00</v>
      </c>
    </row>
    <row r="66" spans="1:9" x14ac:dyDescent="0.25">
      <c r="A66" s="78">
        <v>45557</v>
      </c>
      <c r="B66" s="88">
        <v>0.83333333333333337</v>
      </c>
      <c r="C66" s="86" t="s">
        <v>8</v>
      </c>
      <c r="D66" s="74" t="s">
        <v>219</v>
      </c>
      <c r="E66" s="9" t="s">
        <v>116</v>
      </c>
      <c r="F66" s="8">
        <f>(INT(Table_Tajikistan14[[#This Row],[Date]]) - DATE(1970, 1, 1)) * 86400000</f>
        <v>1726963200000</v>
      </c>
      <c r="G66">
        <f>'GMT Glossary'!$B$12</f>
        <v>8</v>
      </c>
      <c r="H66" s="2" t="str">
        <f>TEXT(IF(B66&lt;0, A66+1+((B66+(G66/24))-(INT(B66+(G66/24)))), A66+(B66+(G66/24))), "yyyy-mm-dd")</f>
        <v>2024-09-23</v>
      </c>
      <c r="I66" s="2" t="str">
        <f>TEXT(IF(B66&lt;0, A66+1+((B66+(G66/24))-(INT(B66+(G66/24)))), A66+(B66+(G66/24))), "hh:mm")</f>
        <v>04:00</v>
      </c>
    </row>
    <row r="67" spans="1:9" x14ac:dyDescent="0.25">
      <c r="A67" s="78">
        <v>45557</v>
      </c>
      <c r="B67" s="88">
        <v>0.91666666666666663</v>
      </c>
      <c r="C67" s="86" t="s">
        <v>8</v>
      </c>
      <c r="D67" s="74" t="s">
        <v>345</v>
      </c>
      <c r="E67" s="9" t="s">
        <v>116</v>
      </c>
      <c r="F67" s="8">
        <f>(INT(Table_Tajikistan14[[#This Row],[Date]]) - DATE(1970, 1, 1)) * 86400000</f>
        <v>1726963200000</v>
      </c>
      <c r="G67">
        <f>'GMT Glossary'!$B$12</f>
        <v>8</v>
      </c>
      <c r="H67" s="2" t="str">
        <f>TEXT(IF(B67&lt;0, A67+1+((B67+(G67/24))-(INT(B67+(G67/24)))), A67+(B67+(G67/24))), "yyyy-mm-dd")</f>
        <v>2024-09-23</v>
      </c>
      <c r="I67" s="2" t="str">
        <f>TEXT(IF(B67&lt;0, A67+1+((B67+(G67/24))-(INT(B67+(G67/24)))), A67+(B67+(G67/24))), "hh:mm")</f>
        <v>06:00</v>
      </c>
    </row>
    <row r="68" spans="1:9" x14ac:dyDescent="0.25">
      <c r="A68" s="78">
        <v>45558</v>
      </c>
      <c r="B68" s="88">
        <v>0</v>
      </c>
      <c r="C68" s="86" t="s">
        <v>8</v>
      </c>
      <c r="D68" s="74" t="s">
        <v>346</v>
      </c>
      <c r="E68" s="9" t="s">
        <v>116</v>
      </c>
      <c r="F68" s="8">
        <f>(INT(Table_Tajikistan14[[#This Row],[Date]]) - DATE(1970, 1, 1)) * 86400000</f>
        <v>1727049600000</v>
      </c>
      <c r="G68">
        <f>'GMT Glossary'!$B$12</f>
        <v>8</v>
      </c>
      <c r="H68" s="2" t="str">
        <f>TEXT(IF(B68&lt;0, A68+1+((B68+(G68/24))-(INT(B68+(G68/24)))), A68+(B68+(G68/24))), "yyyy-mm-dd")</f>
        <v>2024-09-23</v>
      </c>
      <c r="I68" s="2" t="str">
        <f>TEXT(IF(B68&lt;0, A68+1+((B68+(G68/24))-(INT(B68+(G68/24)))), A68+(B68+(G68/24))), "hh:mm")</f>
        <v>08:00</v>
      </c>
    </row>
    <row r="69" spans="1:9" x14ac:dyDescent="0.25">
      <c r="A69" s="78">
        <v>45558</v>
      </c>
      <c r="B69" s="88">
        <v>8.3333333333333329E-2</v>
      </c>
      <c r="C69" s="86" t="s">
        <v>399</v>
      </c>
      <c r="D69" s="74" t="s">
        <v>336</v>
      </c>
      <c r="E69" s="9" t="s">
        <v>116</v>
      </c>
      <c r="F69" s="8">
        <f>(INT(Table_Tajikistan14[[#This Row],[Date]]) - DATE(1970, 1, 1)) * 86400000</f>
        <v>1727049600000</v>
      </c>
      <c r="G69">
        <f>'GMT Glossary'!$B$12</f>
        <v>8</v>
      </c>
      <c r="H69" s="2" t="str">
        <f>TEXT(IF(B69&lt;0, A69+1+((B69+(G69/24))-(INT(B69+(G69/24)))), A69+(B69+(G69/24))), "yyyy-mm-dd")</f>
        <v>2024-09-23</v>
      </c>
      <c r="I69" s="2" t="str">
        <f>TEXT(IF(B69&lt;0, A69+1+((B69+(G69/24))-(INT(B69+(G69/24)))), A69+(B69+(G69/24))), "hh:mm")</f>
        <v>10:00</v>
      </c>
    </row>
    <row r="70" spans="1:9" x14ac:dyDescent="0.25">
      <c r="A70" s="78">
        <v>45558</v>
      </c>
      <c r="B70" s="88">
        <v>0.20833333333333334</v>
      </c>
      <c r="C70" s="86" t="s">
        <v>8</v>
      </c>
      <c r="D70" s="74" t="s">
        <v>347</v>
      </c>
      <c r="E70" s="9" t="s">
        <v>116</v>
      </c>
      <c r="F70" s="8">
        <f>(INT(Table_Tajikistan14[[#This Row],[Date]]) - DATE(1970, 1, 1)) * 86400000</f>
        <v>1727049600000</v>
      </c>
      <c r="G70">
        <f>'GMT Glossary'!$B$12</f>
        <v>8</v>
      </c>
      <c r="H70" s="2" t="str">
        <f>TEXT(IF(B70&lt;0, A70+1+((B70+(G70/24))-(INT(B70+(G70/24)))), A70+(B70+(G70/24))), "yyyy-mm-dd")</f>
        <v>2024-09-23</v>
      </c>
      <c r="I70" s="2" t="str">
        <f>TEXT(IF(B70&lt;0, A70+1+((B70+(G70/24))-(INT(B70+(G70/24)))), A70+(B70+(G70/24))), "hh:mm")</f>
        <v>13:00</v>
      </c>
    </row>
    <row r="71" spans="1:9" x14ac:dyDescent="0.25">
      <c r="A71" s="78">
        <v>45558</v>
      </c>
      <c r="B71" s="88">
        <v>0.29166666666666669</v>
      </c>
      <c r="C71" s="86" t="s">
        <v>8</v>
      </c>
      <c r="D71" s="74" t="s">
        <v>222</v>
      </c>
      <c r="E71" s="9" t="s">
        <v>116</v>
      </c>
      <c r="F71" s="8">
        <f>(INT(Table_Tajikistan14[[#This Row],[Date]]) - DATE(1970, 1, 1)) * 86400000</f>
        <v>1727049600000</v>
      </c>
      <c r="G71">
        <f>'GMT Glossary'!$B$12</f>
        <v>8</v>
      </c>
      <c r="H71" s="2" t="str">
        <f>TEXT(IF(B71&lt;0, A71+1+((B71+(G71/24))-(INT(B71+(G71/24)))), A71+(B71+(G71/24))), "yyyy-mm-dd")</f>
        <v>2024-09-23</v>
      </c>
      <c r="I71" s="2" t="str">
        <f>TEXT(IF(B71&lt;0, A71+1+((B71+(G71/24))-(INT(B71+(G71/24)))), A71+(B71+(G71/24))), "hh:mm")</f>
        <v>15:00</v>
      </c>
    </row>
    <row r="72" spans="1:9" x14ac:dyDescent="0.25">
      <c r="A72" s="78">
        <v>45558</v>
      </c>
      <c r="B72" s="88">
        <v>0.375</v>
      </c>
      <c r="C72" s="86" t="s">
        <v>8</v>
      </c>
      <c r="D72" s="74" t="s">
        <v>224</v>
      </c>
      <c r="E72" s="9" t="s">
        <v>116</v>
      </c>
      <c r="F72" s="8">
        <f>(INT(Table_Tajikistan14[[#This Row],[Date]]) - DATE(1970, 1, 1)) * 86400000</f>
        <v>1727049600000</v>
      </c>
      <c r="G72">
        <f>'GMT Glossary'!$B$12</f>
        <v>8</v>
      </c>
      <c r="H72" s="2" t="str">
        <f>TEXT(IF(B72&lt;0, A72+1+((B72+(G72/24))-(INT(B72+(G72/24)))), A72+(B72+(G72/24))), "yyyy-mm-dd")</f>
        <v>2024-09-23</v>
      </c>
      <c r="I72" s="2" t="str">
        <f>TEXT(IF(B72&lt;0, A72+1+((B72+(G72/24))-(INT(B72+(G72/24)))), A72+(B72+(G72/24))), "hh:mm")</f>
        <v>17:00</v>
      </c>
    </row>
    <row r="73" spans="1:9" x14ac:dyDescent="0.25">
      <c r="A73" s="78">
        <v>45558</v>
      </c>
      <c r="B73" s="88">
        <v>0.45833333333333331</v>
      </c>
      <c r="C73" s="86" t="s">
        <v>8</v>
      </c>
      <c r="D73" s="74" t="s">
        <v>348</v>
      </c>
      <c r="E73" s="9" t="s">
        <v>116</v>
      </c>
      <c r="F73" s="8">
        <f>(INT(Table_Tajikistan14[[#This Row],[Date]]) - DATE(1970, 1, 1)) * 86400000</f>
        <v>1727049600000</v>
      </c>
      <c r="G73">
        <f>'GMT Glossary'!$B$12</f>
        <v>8</v>
      </c>
      <c r="H73" s="2" t="str">
        <f>TEXT(IF(B73&lt;0, A73+1+((B73+(G73/24))-(INT(B73+(G73/24)))), A73+(B73+(G73/24))), "yyyy-mm-dd")</f>
        <v>2024-09-23</v>
      </c>
      <c r="I73" s="2" t="str">
        <f>TEXT(IF(B73&lt;0, A73+1+((B73+(G73/24))-(INT(B73+(G73/24)))), A73+(B73+(G73/24))), "hh:mm")</f>
        <v>19:00</v>
      </c>
    </row>
    <row r="74" spans="1:9" x14ac:dyDescent="0.25">
      <c r="A74" s="78">
        <v>45558</v>
      </c>
      <c r="B74" s="88">
        <v>0.54166666666666663</v>
      </c>
      <c r="C74" s="86" t="s">
        <v>8</v>
      </c>
      <c r="D74" s="74" t="s">
        <v>223</v>
      </c>
      <c r="E74" s="9" t="s">
        <v>116</v>
      </c>
      <c r="F74" s="8">
        <f>(INT(Table_Tajikistan14[[#This Row],[Date]]) - DATE(1970, 1, 1)) * 86400000</f>
        <v>1727049600000</v>
      </c>
      <c r="G74">
        <f>'GMT Glossary'!$B$12</f>
        <v>8</v>
      </c>
      <c r="H74" s="2" t="str">
        <f>TEXT(IF(B74&lt;0, A74+1+((B74+(G74/24))-(INT(B74+(G74/24)))), A74+(B74+(G74/24))), "yyyy-mm-dd")</f>
        <v>2024-09-23</v>
      </c>
      <c r="I74" s="2" t="str">
        <f>TEXT(IF(B74&lt;0, A74+1+((B74+(G74/24))-(INT(B74+(G74/24)))), A74+(B74+(G74/24))), "hh:mm")</f>
        <v>21:00</v>
      </c>
    </row>
    <row r="75" spans="1:9" x14ac:dyDescent="0.25">
      <c r="A75" s="78">
        <v>45558</v>
      </c>
      <c r="B75" s="88">
        <v>0.625</v>
      </c>
      <c r="C75" s="86" t="s">
        <v>8</v>
      </c>
      <c r="D75" s="74" t="s">
        <v>349</v>
      </c>
      <c r="E75" s="9" t="s">
        <v>116</v>
      </c>
      <c r="F75" s="8">
        <f>(INT(Table_Tajikistan14[[#This Row],[Date]]) - DATE(1970, 1, 1)) * 86400000</f>
        <v>1727049600000</v>
      </c>
      <c r="G75">
        <f>'GMT Glossary'!$B$12</f>
        <v>8</v>
      </c>
      <c r="H75" s="2" t="str">
        <f>TEXT(IF(B75&lt;0, A75+1+((B75+(G75/24))-(INT(B75+(G75/24)))), A75+(B75+(G75/24))), "yyyy-mm-dd")</f>
        <v>2024-09-23</v>
      </c>
      <c r="I75" s="2" t="str">
        <f>TEXT(IF(B75&lt;0, A75+1+((B75+(G75/24))-(INT(B75+(G75/24)))), A75+(B75+(G75/24))), "hh:mm")</f>
        <v>23:00</v>
      </c>
    </row>
    <row r="76" spans="1:9" x14ac:dyDescent="0.25">
      <c r="A76" s="78">
        <v>45558</v>
      </c>
      <c r="B76" s="88">
        <v>0.70833333333333337</v>
      </c>
      <c r="C76" s="86" t="s">
        <v>8</v>
      </c>
      <c r="D76" s="74" t="s">
        <v>220</v>
      </c>
      <c r="E76" s="9" t="s">
        <v>116</v>
      </c>
      <c r="F76" s="8">
        <f>(INT(Table_Tajikistan14[[#This Row],[Date]]) - DATE(1970, 1, 1)) * 86400000</f>
        <v>1727049600000</v>
      </c>
      <c r="G76">
        <f>'GMT Glossary'!$B$12</f>
        <v>8</v>
      </c>
      <c r="H76" s="2" t="str">
        <f>TEXT(IF(B76&lt;0, A76+1+((B76+(G76/24))-(INT(B76+(G76/24)))), A76+(B76+(G76/24))), "yyyy-mm-dd")</f>
        <v>2024-09-24</v>
      </c>
      <c r="I76" s="2" t="str">
        <f>TEXT(IF(B76&lt;0, A76+1+((B76+(G76/24))-(INT(B76+(G76/24)))), A76+(B76+(G76/24))), "hh:mm")</f>
        <v>01:00</v>
      </c>
    </row>
    <row r="77" spans="1:9" x14ac:dyDescent="0.25">
      <c r="A77" s="78">
        <v>45558</v>
      </c>
      <c r="B77" s="88">
        <v>0.79166666666666663</v>
      </c>
      <c r="C77" s="86" t="s">
        <v>8</v>
      </c>
      <c r="D77" s="76" t="s">
        <v>350</v>
      </c>
      <c r="E77" s="9" t="s">
        <v>116</v>
      </c>
      <c r="F77" s="8">
        <f>(INT(Table_Tajikistan14[[#This Row],[Date]]) - DATE(1970, 1, 1)) * 86400000</f>
        <v>1727049600000</v>
      </c>
      <c r="G77">
        <f>'GMT Glossary'!$B$12</f>
        <v>8</v>
      </c>
      <c r="H77" s="2" t="str">
        <f>TEXT(IF(B77&lt;0, A77+1+((B77+(G77/24))-(INT(B77+(G77/24)))), A77+(B77+(G77/24))), "yyyy-mm-dd")</f>
        <v>2024-09-24</v>
      </c>
      <c r="I77" s="2" t="str">
        <f>TEXT(IF(B77&lt;0, A77+1+((B77+(G77/24))-(INT(B77+(G77/24)))), A77+(B77+(G77/24))), "hh:mm")</f>
        <v>03:00</v>
      </c>
    </row>
    <row r="78" spans="1:9" x14ac:dyDescent="0.25">
      <c r="A78" s="78">
        <v>45558</v>
      </c>
      <c r="B78" s="88">
        <v>0.875</v>
      </c>
      <c r="C78" s="86" t="s">
        <v>8</v>
      </c>
      <c r="D78" s="74" t="s">
        <v>219</v>
      </c>
      <c r="E78" s="9" t="s">
        <v>116</v>
      </c>
      <c r="F78" s="8">
        <f>(INT(Table_Tajikistan14[[#This Row],[Date]]) - DATE(1970, 1, 1)) * 86400000</f>
        <v>1727049600000</v>
      </c>
      <c r="G78">
        <f>'GMT Glossary'!$B$12</f>
        <v>8</v>
      </c>
      <c r="H78" s="2" t="str">
        <f>TEXT(IF(B78&lt;0, A78+1+((B78+(G78/24))-(INT(B78+(G78/24)))), A78+(B78+(G78/24))), "yyyy-mm-dd")</f>
        <v>2024-09-24</v>
      </c>
      <c r="I78" s="2" t="str">
        <f>TEXT(IF(B78&lt;0, A78+1+((B78+(G78/24))-(INT(B78+(G78/24)))), A78+(B78+(G78/24))), "hh:mm")</f>
        <v>05:00</v>
      </c>
    </row>
    <row r="79" spans="1:9" x14ac:dyDescent="0.25">
      <c r="A79" s="78">
        <v>45558</v>
      </c>
      <c r="B79" s="88">
        <v>0.95833333333333337</v>
      </c>
      <c r="C79" s="86" t="s">
        <v>8</v>
      </c>
      <c r="D79" s="74" t="s">
        <v>345</v>
      </c>
      <c r="E79" s="9" t="s">
        <v>116</v>
      </c>
      <c r="F79" s="8">
        <f>(INT(Table_Tajikistan14[[#This Row],[Date]]) - DATE(1970, 1, 1)) * 86400000</f>
        <v>1727049600000</v>
      </c>
      <c r="G79">
        <f>'GMT Glossary'!$B$12</f>
        <v>8</v>
      </c>
      <c r="H79" s="2" t="str">
        <f>TEXT(IF(B79&lt;0, A79+1+((B79+(G79/24))-(INT(B79+(G79/24)))), A79+(B79+(G79/24))), "yyyy-mm-dd")</f>
        <v>2024-09-24</v>
      </c>
      <c r="I79" s="2" t="str">
        <f>TEXT(IF(B79&lt;0, A79+1+((B79+(G79/24))-(INT(B79+(G79/24)))), A79+(B79+(G79/24))), "hh:mm")</f>
        <v>07:00</v>
      </c>
    </row>
    <row r="80" spans="1:9" x14ac:dyDescent="0.25">
      <c r="A80" s="78">
        <v>45559</v>
      </c>
      <c r="B80" s="88">
        <v>4.1666666666666664E-2</v>
      </c>
      <c r="C80" s="86" t="s">
        <v>8</v>
      </c>
      <c r="D80" s="74" t="s">
        <v>346</v>
      </c>
      <c r="E80" s="9" t="s">
        <v>116</v>
      </c>
      <c r="F80" s="8">
        <f>(INT(Table_Tajikistan14[[#This Row],[Date]]) - DATE(1970, 1, 1)) * 86400000</f>
        <v>1727136000000</v>
      </c>
      <c r="G80">
        <f>'GMT Glossary'!$B$12</f>
        <v>8</v>
      </c>
      <c r="H80" s="2" t="str">
        <f>TEXT(IF(B80&lt;0, A80+1+((B80+(G80/24))-(INT(B80+(G80/24)))), A80+(B80+(G80/24))), "yyyy-mm-dd")</f>
        <v>2024-09-24</v>
      </c>
      <c r="I80" s="2" t="str">
        <f>TEXT(IF(B80&lt;0, A80+1+((B80+(G80/24))-(INT(B80+(G80/24)))), A80+(B80+(G80/24))), "hh:mm")</f>
        <v>09:00</v>
      </c>
    </row>
    <row r="81" spans="1:9" x14ac:dyDescent="0.25">
      <c r="A81" s="78">
        <v>45559</v>
      </c>
      <c r="B81" s="88">
        <v>0.125</v>
      </c>
      <c r="C81" s="86" t="s">
        <v>8</v>
      </c>
      <c r="D81" s="74" t="s">
        <v>347</v>
      </c>
      <c r="E81" s="9" t="s">
        <v>116</v>
      </c>
      <c r="F81" s="8">
        <f>(INT(Table_Tajikistan14[[#This Row],[Date]]) - DATE(1970, 1, 1)) * 86400000</f>
        <v>1727136000000</v>
      </c>
      <c r="G81">
        <f>'GMT Glossary'!$B$12</f>
        <v>8</v>
      </c>
      <c r="H81" s="2" t="str">
        <f>TEXT(IF(B81&lt;0, A81+1+((B81+(G81/24))-(INT(B81+(G81/24)))), A81+(B81+(G81/24))), "yyyy-mm-dd")</f>
        <v>2024-09-24</v>
      </c>
      <c r="I81" s="2" t="str">
        <f>TEXT(IF(B81&lt;0, A81+1+((B81+(G81/24))-(INT(B81+(G81/24)))), A81+(B81+(G81/24))), "hh:mm")</f>
        <v>11:00</v>
      </c>
    </row>
    <row r="82" spans="1:9" x14ac:dyDescent="0.25">
      <c r="A82" s="78">
        <v>45559</v>
      </c>
      <c r="B82" s="88">
        <v>0.20833333333333334</v>
      </c>
      <c r="C82" s="86" t="s">
        <v>8</v>
      </c>
      <c r="D82" s="74" t="s">
        <v>351</v>
      </c>
      <c r="E82" s="9" t="s">
        <v>116</v>
      </c>
      <c r="F82" s="8">
        <f>(INT(Table_Tajikistan14[[#This Row],[Date]]) - DATE(1970, 1, 1)) * 86400000</f>
        <v>1727136000000</v>
      </c>
      <c r="G82">
        <f>'GMT Glossary'!$B$12</f>
        <v>8</v>
      </c>
      <c r="H82" s="2" t="str">
        <f>TEXT(IF(B82&lt;0, A82+1+((B82+(G82/24))-(INT(B82+(G82/24)))), A82+(B82+(G82/24))), "yyyy-mm-dd")</f>
        <v>2024-09-24</v>
      </c>
      <c r="I82" s="2" t="str">
        <f>TEXT(IF(B82&lt;0, A82+1+((B82+(G82/24))-(INT(B82+(G82/24)))), A82+(B82+(G82/24))), "hh:mm")</f>
        <v>13:00</v>
      </c>
    </row>
    <row r="83" spans="1:9" x14ac:dyDescent="0.25">
      <c r="A83" s="78">
        <v>45559</v>
      </c>
      <c r="B83" s="88">
        <v>0.29166666666666669</v>
      </c>
      <c r="C83" s="86" t="s">
        <v>8</v>
      </c>
      <c r="D83" s="74" t="s">
        <v>224</v>
      </c>
      <c r="E83" s="9" t="s">
        <v>116</v>
      </c>
      <c r="F83" s="8">
        <f>(INT(Table_Tajikistan14[[#This Row],[Date]]) - DATE(1970, 1, 1)) * 86400000</f>
        <v>1727136000000</v>
      </c>
      <c r="G83">
        <f>'GMT Glossary'!$B$12</f>
        <v>8</v>
      </c>
      <c r="H83" s="2" t="str">
        <f>TEXT(IF(B83&lt;0, A83+1+((B83+(G83/24))-(INT(B83+(G83/24)))), A83+(B83+(G83/24))), "yyyy-mm-dd")</f>
        <v>2024-09-24</v>
      </c>
      <c r="I83" s="2" t="str">
        <f>TEXT(IF(B83&lt;0, A83+1+((B83+(G83/24))-(INT(B83+(G83/24)))), A83+(B83+(G83/24))), "hh:mm")</f>
        <v>15:00</v>
      </c>
    </row>
  </sheetData>
  <sortState ref="A2:I83">
    <sortCondition ref="A2:A83"/>
    <sortCondition ref="B2:B83"/>
  </sortState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7A33EF85093D44AE52E97FC48EB6C7" ma:contentTypeVersion="7" ma:contentTypeDescription="Create a new document." ma:contentTypeScope="" ma:versionID="6d592631231d6e01cf1173f2d626ce46">
  <xsd:schema xmlns:xsd="http://www.w3.org/2001/XMLSchema" xmlns:xs="http://www.w3.org/2001/XMLSchema" xmlns:p="http://schemas.microsoft.com/office/2006/metadata/properties" xmlns:ns3="deb8c065-16f3-49e7-9bae-4d66e86f7027" xmlns:ns4="bf34633c-7175-40b3-a371-b1d844713082" targetNamespace="http://schemas.microsoft.com/office/2006/metadata/properties" ma:root="true" ma:fieldsID="1ed0dcadd6af09b5fa923bb253ab5e0b" ns3:_="" ns4:_="">
    <xsd:import namespace="deb8c065-16f3-49e7-9bae-4d66e86f7027"/>
    <xsd:import namespace="bf34633c-7175-40b3-a371-b1d84471308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b8c065-16f3-49e7-9bae-4d66e86f702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34633c-7175-40b3-a371-b1d84471308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eb8c065-16f3-49e7-9bae-4d66e86f702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F747CC-8A75-4B35-A84D-2F8110B31C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eb8c065-16f3-49e7-9bae-4d66e86f7027"/>
    <ds:schemaRef ds:uri="bf34633c-7175-40b3-a371-b1d8447130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28C1B0-5783-44FB-B7DF-82E438C11B60}">
  <ds:schemaRefs>
    <ds:schemaRef ds:uri="bf34633c-7175-40b3-a371-b1d844713082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deb8c065-16f3-49e7-9bae-4d66e86f702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6E9F64-867C-46D3-93B9-358A5D8F29F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Sheet_Template</vt:lpstr>
      <vt:lpstr>GMT Glossary</vt:lpstr>
      <vt:lpstr>Sheet_Estonia</vt:lpstr>
      <vt:lpstr>Sheet_Latvia</vt:lpstr>
      <vt:lpstr>Sheet_Lithuania</vt:lpstr>
      <vt:lpstr>Sheet_Azerbaijan</vt:lpstr>
      <vt:lpstr>Sheet_Kazakhstan</vt:lpstr>
      <vt:lpstr>Sheet_Ukraine</vt:lpstr>
      <vt:lpstr>Sheet_Kyrgyzstan</vt:lpstr>
      <vt:lpstr>Sheet_Moldova</vt:lpstr>
      <vt:lpstr>Sheet_Uzbekistan</vt:lpstr>
      <vt:lpstr>Sheet_Turkmenistan</vt:lpstr>
      <vt:lpstr>Sheet_Tajikistan</vt:lpstr>
      <vt:lpstr>Sheet_Philippines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Luka Lortkipanidze</dc:creator>
  <cp:keywords/>
  <dc:description/>
  <cp:lastModifiedBy>Nika Chighladze</cp:lastModifiedBy>
  <cp:revision/>
  <dcterms:created xsi:type="dcterms:W3CDTF">2023-05-11T11:30:00Z</dcterms:created>
  <dcterms:modified xsi:type="dcterms:W3CDTF">2024-09-19T09:11:28Z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0x0101005E7A33EF85093D44AE52E97FC48EB6C7</vt:lpwstr>
  </property>
</Properties>
</file>