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3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.chighladze\Desktop\"/>
    </mc:Choice>
  </mc:AlternateContent>
  <xr:revisionPtr revIDLastSave="0" documentId="13_ncr:1_{82367BDF-F2F4-4D17-9D6F-1DB617B13D54}" xr6:coauthVersionLast="36" xr6:coauthVersionMax="36" xr10:uidLastSave="{00000000-0000-0000-0000-000000000000}"/>
  <bookViews>
    <workbookView xWindow="28680" yWindow="-15" windowWidth="29040" windowHeight="15840" tabRatio="670" firstSheet="1" activeTab="5" xr2:uid="{00000000-000D-0000-FFFF-FFFF00000000}"/>
  </bookViews>
  <sheets>
    <sheet name="Sheet_Template" sheetId="362" r:id="rId1"/>
    <sheet name="GMT Glossary" sheetId="347" r:id="rId2"/>
    <sheet name="Sheet_Kyrgyzstan" sheetId="352" r:id="rId3"/>
    <sheet name="Sheet_Azerbaijan" sheetId="349" r:id="rId4"/>
    <sheet name="Sheet_Kazakhstan" sheetId="366" r:id="rId5"/>
    <sheet name="Sheet_Moldova" sheetId="355" r:id="rId6"/>
    <sheet name="Sheet_Uzbekistan" sheetId="357" r:id="rId7"/>
    <sheet name="Sheet_Turkmenistan" sheetId="363" r:id="rId8"/>
    <sheet name="Sheet_Tajikistan" sheetId="364" r:id="rId9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8" i="357" l="1"/>
  <c r="F89" i="357"/>
  <c r="F90" i="357"/>
  <c r="F91" i="357"/>
  <c r="F92" i="357"/>
  <c r="F93" i="357"/>
  <c r="F94" i="357"/>
  <c r="F95" i="357"/>
  <c r="F96" i="357"/>
  <c r="F97" i="357"/>
  <c r="F98" i="357"/>
  <c r="F99" i="357"/>
  <c r="F100" i="357"/>
  <c r="F101" i="357"/>
  <c r="F102" i="357"/>
  <c r="F103" i="357"/>
  <c r="F104" i="357"/>
  <c r="F105" i="357"/>
  <c r="F106" i="357"/>
  <c r="F107" i="357"/>
  <c r="F108" i="357"/>
  <c r="F109" i="357"/>
  <c r="F110" i="357"/>
  <c r="F111" i="357"/>
  <c r="F112" i="357"/>
  <c r="F113" i="357"/>
  <c r="F114" i="357"/>
  <c r="F115" i="357"/>
  <c r="F116" i="357"/>
  <c r="F117" i="357"/>
  <c r="F118" i="357"/>
  <c r="F119" i="357"/>
  <c r="F120" i="357"/>
  <c r="F121" i="357"/>
  <c r="F122" i="357"/>
  <c r="F123" i="357"/>
  <c r="F124" i="357"/>
  <c r="F125" i="357"/>
  <c r="F126" i="357"/>
  <c r="F127" i="357"/>
  <c r="F128" i="357"/>
  <c r="F129" i="357"/>
  <c r="F130" i="357"/>
  <c r="F131" i="357"/>
  <c r="F132" i="357"/>
  <c r="F133" i="357"/>
  <c r="F134" i="357"/>
  <c r="F135" i="357"/>
  <c r="F136" i="357"/>
  <c r="F137" i="357"/>
  <c r="F138" i="357"/>
  <c r="F139" i="357"/>
  <c r="F140" i="357"/>
  <c r="F141" i="357"/>
  <c r="F142" i="357"/>
  <c r="F143" i="357"/>
  <c r="F144" i="357"/>
  <c r="F145" i="357"/>
  <c r="F146" i="357"/>
  <c r="F147" i="357"/>
  <c r="F148" i="357"/>
  <c r="F149" i="357"/>
  <c r="F150" i="357"/>
  <c r="F151" i="357"/>
  <c r="F152" i="357"/>
  <c r="F153" i="357"/>
  <c r="F154" i="357"/>
  <c r="F155" i="357"/>
  <c r="F156" i="357"/>
  <c r="F157" i="357"/>
  <c r="F158" i="357"/>
  <c r="F159" i="357"/>
  <c r="F160" i="357"/>
  <c r="F161" i="357"/>
  <c r="F162" i="357"/>
  <c r="F163" i="357"/>
  <c r="F164" i="357"/>
  <c r="F165" i="357"/>
  <c r="G88" i="357"/>
  <c r="G89" i="357"/>
  <c r="I89" i="357" s="1"/>
  <c r="G90" i="357"/>
  <c r="G91" i="357"/>
  <c r="G92" i="357"/>
  <c r="G93" i="357"/>
  <c r="G94" i="357"/>
  <c r="G95" i="357"/>
  <c r="G96" i="357"/>
  <c r="G97" i="357"/>
  <c r="I97" i="357" s="1"/>
  <c r="G98" i="357"/>
  <c r="G99" i="357"/>
  <c r="G100" i="357"/>
  <c r="G101" i="357"/>
  <c r="G102" i="357"/>
  <c r="G103" i="357"/>
  <c r="G104" i="357"/>
  <c r="G105" i="357"/>
  <c r="I105" i="357" s="1"/>
  <c r="G106" i="357"/>
  <c r="G107" i="357"/>
  <c r="G108" i="357"/>
  <c r="G109" i="357"/>
  <c r="G110" i="357"/>
  <c r="G111" i="357"/>
  <c r="G112" i="357"/>
  <c r="G113" i="357"/>
  <c r="I113" i="357" s="1"/>
  <c r="G114" i="357"/>
  <c r="G115" i="357"/>
  <c r="G116" i="357"/>
  <c r="G117" i="357"/>
  <c r="G118" i="357"/>
  <c r="G119" i="357"/>
  <c r="G120" i="357"/>
  <c r="G121" i="357"/>
  <c r="I121" i="357" s="1"/>
  <c r="G122" i="357"/>
  <c r="G123" i="357"/>
  <c r="G124" i="357"/>
  <c r="G125" i="357"/>
  <c r="G126" i="357"/>
  <c r="G127" i="357"/>
  <c r="G128" i="357"/>
  <c r="G129" i="357"/>
  <c r="I129" i="357" s="1"/>
  <c r="G130" i="357"/>
  <c r="G131" i="357"/>
  <c r="G132" i="357"/>
  <c r="G133" i="357"/>
  <c r="G134" i="357"/>
  <c r="G135" i="357"/>
  <c r="G136" i="357"/>
  <c r="G137" i="357"/>
  <c r="I137" i="357" s="1"/>
  <c r="G138" i="357"/>
  <c r="G139" i="357"/>
  <c r="G140" i="357"/>
  <c r="G141" i="357"/>
  <c r="G142" i="357"/>
  <c r="G143" i="357"/>
  <c r="G144" i="357"/>
  <c r="G145" i="357"/>
  <c r="I145" i="357" s="1"/>
  <c r="G146" i="357"/>
  <c r="G147" i="357"/>
  <c r="G148" i="357"/>
  <c r="G149" i="357"/>
  <c r="G150" i="357"/>
  <c r="G151" i="357"/>
  <c r="G152" i="357"/>
  <c r="G153" i="357"/>
  <c r="I153" i="357" s="1"/>
  <c r="G154" i="357"/>
  <c r="G155" i="357"/>
  <c r="G156" i="357"/>
  <c r="G157" i="357"/>
  <c r="G158" i="357"/>
  <c r="G159" i="357"/>
  <c r="G160" i="357"/>
  <c r="G161" i="357"/>
  <c r="I161" i="357" s="1"/>
  <c r="G162" i="357"/>
  <c r="G163" i="357"/>
  <c r="G164" i="357"/>
  <c r="G165" i="357"/>
  <c r="H88" i="357"/>
  <c r="H90" i="357"/>
  <c r="H91" i="357"/>
  <c r="H92" i="357"/>
  <c r="H93" i="357"/>
  <c r="H94" i="357"/>
  <c r="H95" i="357"/>
  <c r="H96" i="357"/>
  <c r="H98" i="357"/>
  <c r="H99" i="357"/>
  <c r="H100" i="357"/>
  <c r="H101" i="357"/>
  <c r="H102" i="357"/>
  <c r="H103" i="357"/>
  <c r="H104" i="357"/>
  <c r="H106" i="357"/>
  <c r="H107" i="357"/>
  <c r="H108" i="357"/>
  <c r="H109" i="357"/>
  <c r="H110" i="357"/>
  <c r="H111" i="357"/>
  <c r="H112" i="357"/>
  <c r="H114" i="357"/>
  <c r="H115" i="357"/>
  <c r="H116" i="357"/>
  <c r="H117" i="357"/>
  <c r="H118" i="357"/>
  <c r="H119" i="357"/>
  <c r="H120" i="357"/>
  <c r="H122" i="357"/>
  <c r="H123" i="357"/>
  <c r="H124" i="357"/>
  <c r="H125" i="357"/>
  <c r="H126" i="357"/>
  <c r="H127" i="357"/>
  <c r="H128" i="357"/>
  <c r="H130" i="357"/>
  <c r="H131" i="357"/>
  <c r="H132" i="357"/>
  <c r="H133" i="357"/>
  <c r="H134" i="357"/>
  <c r="H135" i="357"/>
  <c r="H136" i="357"/>
  <c r="H138" i="357"/>
  <c r="H139" i="357"/>
  <c r="H140" i="357"/>
  <c r="H141" i="357"/>
  <c r="H142" i="357"/>
  <c r="H143" i="357"/>
  <c r="H144" i="357"/>
  <c r="H146" i="357"/>
  <c r="H147" i="357"/>
  <c r="H148" i="357"/>
  <c r="H149" i="357"/>
  <c r="H150" i="357"/>
  <c r="H151" i="357"/>
  <c r="H152" i="357"/>
  <c r="H154" i="357"/>
  <c r="H155" i="357"/>
  <c r="H156" i="357"/>
  <c r="H157" i="357"/>
  <c r="H158" i="357"/>
  <c r="H159" i="357"/>
  <c r="H160" i="357"/>
  <c r="H162" i="357"/>
  <c r="H163" i="357"/>
  <c r="H164" i="357"/>
  <c r="H165" i="357"/>
  <c r="I88" i="357"/>
  <c r="I90" i="357"/>
  <c r="I91" i="357"/>
  <c r="I92" i="357"/>
  <c r="I93" i="357"/>
  <c r="I94" i="357"/>
  <c r="I95" i="357"/>
  <c r="I96" i="357"/>
  <c r="I98" i="357"/>
  <c r="I99" i="357"/>
  <c r="I100" i="357"/>
  <c r="I101" i="357"/>
  <c r="I102" i="357"/>
  <c r="I103" i="357"/>
  <c r="I104" i="357"/>
  <c r="I106" i="357"/>
  <c r="I107" i="357"/>
  <c r="I108" i="357"/>
  <c r="I109" i="357"/>
  <c r="I110" i="357"/>
  <c r="I111" i="357"/>
  <c r="I112" i="357"/>
  <c r="I114" i="357"/>
  <c r="I115" i="357"/>
  <c r="I116" i="357"/>
  <c r="I117" i="357"/>
  <c r="I118" i="357"/>
  <c r="I119" i="357"/>
  <c r="I120" i="357"/>
  <c r="I122" i="357"/>
  <c r="I123" i="357"/>
  <c r="I124" i="357"/>
  <c r="I125" i="357"/>
  <c r="I126" i="357"/>
  <c r="I127" i="357"/>
  <c r="I128" i="357"/>
  <c r="I130" i="357"/>
  <c r="I131" i="357"/>
  <c r="I132" i="357"/>
  <c r="I133" i="357"/>
  <c r="I134" i="357"/>
  <c r="I135" i="357"/>
  <c r="I136" i="357"/>
  <c r="I138" i="357"/>
  <c r="I139" i="357"/>
  <c r="I140" i="357"/>
  <c r="I141" i="357"/>
  <c r="I142" i="357"/>
  <c r="I143" i="357"/>
  <c r="I144" i="357"/>
  <c r="I146" i="357"/>
  <c r="I147" i="357"/>
  <c r="I148" i="357"/>
  <c r="I149" i="357"/>
  <c r="I150" i="357"/>
  <c r="I151" i="357"/>
  <c r="I152" i="357"/>
  <c r="I154" i="357"/>
  <c r="I155" i="357"/>
  <c r="I156" i="357"/>
  <c r="I157" i="357"/>
  <c r="I158" i="357"/>
  <c r="I159" i="357"/>
  <c r="I160" i="357"/>
  <c r="I162" i="357"/>
  <c r="I163" i="357"/>
  <c r="I164" i="357"/>
  <c r="I165" i="357"/>
  <c r="F2" i="357"/>
  <c r="F3" i="357"/>
  <c r="F4" i="357"/>
  <c r="F5" i="357"/>
  <c r="F6" i="357"/>
  <c r="F7" i="357"/>
  <c r="F8" i="357"/>
  <c r="F9" i="357"/>
  <c r="F10" i="357"/>
  <c r="F11" i="357"/>
  <c r="F12" i="357"/>
  <c r="F13" i="357"/>
  <c r="F14" i="357"/>
  <c r="F15" i="357"/>
  <c r="F16" i="357"/>
  <c r="F17" i="357"/>
  <c r="F18" i="357"/>
  <c r="F19" i="357"/>
  <c r="F20" i="357"/>
  <c r="F21" i="357"/>
  <c r="F22" i="357"/>
  <c r="F23" i="357"/>
  <c r="F24" i="357"/>
  <c r="F25" i="357"/>
  <c r="F26" i="357"/>
  <c r="F27" i="357"/>
  <c r="F28" i="357"/>
  <c r="F29" i="357"/>
  <c r="F30" i="357"/>
  <c r="F31" i="357"/>
  <c r="F32" i="357"/>
  <c r="F33" i="357"/>
  <c r="F34" i="357"/>
  <c r="F35" i="357"/>
  <c r="F36" i="357"/>
  <c r="F37" i="357"/>
  <c r="F38" i="357"/>
  <c r="F39" i="357"/>
  <c r="F40" i="357"/>
  <c r="F41" i="357"/>
  <c r="F42" i="357"/>
  <c r="F43" i="357"/>
  <c r="F44" i="357"/>
  <c r="F45" i="357"/>
  <c r="F46" i="357"/>
  <c r="F47" i="357"/>
  <c r="F48" i="357"/>
  <c r="F49" i="357"/>
  <c r="F50" i="357"/>
  <c r="F51" i="357"/>
  <c r="F52" i="357"/>
  <c r="F53" i="357"/>
  <c r="F54" i="357"/>
  <c r="F55" i="357"/>
  <c r="F56" i="357"/>
  <c r="F57" i="357"/>
  <c r="F58" i="357"/>
  <c r="F59" i="357"/>
  <c r="F60" i="357"/>
  <c r="F61" i="357"/>
  <c r="F62" i="357"/>
  <c r="F63" i="357"/>
  <c r="F64" i="357"/>
  <c r="F65" i="357"/>
  <c r="F66" i="357"/>
  <c r="F67" i="357"/>
  <c r="F68" i="357"/>
  <c r="F69" i="357"/>
  <c r="F70" i="357"/>
  <c r="F71" i="357"/>
  <c r="F72" i="357"/>
  <c r="F73" i="357"/>
  <c r="F74" i="357"/>
  <c r="F75" i="357"/>
  <c r="F76" i="357"/>
  <c r="F77" i="357"/>
  <c r="F78" i="357"/>
  <c r="F79" i="357"/>
  <c r="F80" i="357"/>
  <c r="F81" i="357"/>
  <c r="F82" i="357"/>
  <c r="F83" i="357"/>
  <c r="F84" i="357"/>
  <c r="F85" i="357"/>
  <c r="F86" i="357"/>
  <c r="F87" i="357"/>
  <c r="G2" i="357"/>
  <c r="I2" i="357" s="1"/>
  <c r="G3" i="357"/>
  <c r="I3" i="357" s="1"/>
  <c r="G4" i="357"/>
  <c r="G5" i="357"/>
  <c r="G6" i="357"/>
  <c r="G7" i="357"/>
  <c r="G8" i="357"/>
  <c r="G9" i="357"/>
  <c r="G10" i="357"/>
  <c r="I10" i="357" s="1"/>
  <c r="G11" i="357"/>
  <c r="I11" i="357" s="1"/>
  <c r="G12" i="357"/>
  <c r="G13" i="357"/>
  <c r="G14" i="357"/>
  <c r="G15" i="357"/>
  <c r="G16" i="357"/>
  <c r="G17" i="357"/>
  <c r="G18" i="357"/>
  <c r="I18" i="357" s="1"/>
  <c r="G19" i="357"/>
  <c r="I19" i="357" s="1"/>
  <c r="G20" i="357"/>
  <c r="G21" i="357"/>
  <c r="G22" i="357"/>
  <c r="G23" i="357"/>
  <c r="G24" i="357"/>
  <c r="G25" i="357"/>
  <c r="G26" i="357"/>
  <c r="I26" i="357" s="1"/>
  <c r="G27" i="357"/>
  <c r="I27" i="357" s="1"/>
  <c r="G28" i="357"/>
  <c r="G29" i="357"/>
  <c r="G30" i="357"/>
  <c r="G31" i="357"/>
  <c r="G32" i="357"/>
  <c r="G33" i="357"/>
  <c r="G34" i="357"/>
  <c r="I34" i="357" s="1"/>
  <c r="G35" i="357"/>
  <c r="I35" i="357" s="1"/>
  <c r="G36" i="357"/>
  <c r="G37" i="357"/>
  <c r="G38" i="357"/>
  <c r="G39" i="357"/>
  <c r="G40" i="357"/>
  <c r="G41" i="357"/>
  <c r="G42" i="357"/>
  <c r="I42" i="357" s="1"/>
  <c r="G43" i="357"/>
  <c r="I43" i="357" s="1"/>
  <c r="G44" i="357"/>
  <c r="G45" i="357"/>
  <c r="G46" i="357"/>
  <c r="G47" i="357"/>
  <c r="G48" i="357"/>
  <c r="G49" i="357"/>
  <c r="G50" i="357"/>
  <c r="I50" i="357" s="1"/>
  <c r="G51" i="357"/>
  <c r="I51" i="357" s="1"/>
  <c r="G52" i="357"/>
  <c r="G53" i="357"/>
  <c r="G54" i="357"/>
  <c r="G55" i="357"/>
  <c r="G56" i="357"/>
  <c r="G57" i="357"/>
  <c r="G58" i="357"/>
  <c r="I58" i="357" s="1"/>
  <c r="G59" i="357"/>
  <c r="I59" i="357" s="1"/>
  <c r="G60" i="357"/>
  <c r="G61" i="357"/>
  <c r="G62" i="357"/>
  <c r="G63" i="357"/>
  <c r="G64" i="357"/>
  <c r="G65" i="357"/>
  <c r="G66" i="357"/>
  <c r="I66" i="357" s="1"/>
  <c r="G67" i="357"/>
  <c r="I67" i="357" s="1"/>
  <c r="G68" i="357"/>
  <c r="G69" i="357"/>
  <c r="G70" i="357"/>
  <c r="G71" i="357"/>
  <c r="G72" i="357"/>
  <c r="G73" i="357"/>
  <c r="G74" i="357"/>
  <c r="I74" i="357" s="1"/>
  <c r="G75" i="357"/>
  <c r="I75" i="357" s="1"/>
  <c r="G76" i="357"/>
  <c r="G77" i="357"/>
  <c r="G78" i="357"/>
  <c r="G79" i="357"/>
  <c r="G80" i="357"/>
  <c r="G81" i="357"/>
  <c r="G82" i="357"/>
  <c r="I82" i="357" s="1"/>
  <c r="G83" i="357"/>
  <c r="I83" i="357" s="1"/>
  <c r="G84" i="357"/>
  <c r="G85" i="357"/>
  <c r="G86" i="357"/>
  <c r="G87" i="357"/>
  <c r="H4" i="357"/>
  <c r="H5" i="357"/>
  <c r="H6" i="357"/>
  <c r="H7" i="357"/>
  <c r="H8" i="357"/>
  <c r="H9" i="357"/>
  <c r="H12" i="357"/>
  <c r="H13" i="357"/>
  <c r="H14" i="357"/>
  <c r="H15" i="357"/>
  <c r="H16" i="357"/>
  <c r="H17" i="357"/>
  <c r="H20" i="357"/>
  <c r="H21" i="357"/>
  <c r="H22" i="357"/>
  <c r="H23" i="357"/>
  <c r="H24" i="357"/>
  <c r="H25" i="357"/>
  <c r="H28" i="357"/>
  <c r="H29" i="357"/>
  <c r="H30" i="357"/>
  <c r="H31" i="357"/>
  <c r="H32" i="357"/>
  <c r="H33" i="357"/>
  <c r="H36" i="357"/>
  <c r="H37" i="357"/>
  <c r="H38" i="357"/>
  <c r="H39" i="357"/>
  <c r="H40" i="357"/>
  <c r="H41" i="357"/>
  <c r="H44" i="357"/>
  <c r="H45" i="357"/>
  <c r="H46" i="357"/>
  <c r="H47" i="357"/>
  <c r="H48" i="357"/>
  <c r="H49" i="357"/>
  <c r="H52" i="357"/>
  <c r="H53" i="357"/>
  <c r="H54" i="357"/>
  <c r="H55" i="357"/>
  <c r="H56" i="357"/>
  <c r="H57" i="357"/>
  <c r="H60" i="357"/>
  <c r="H61" i="357"/>
  <c r="H62" i="357"/>
  <c r="H63" i="357"/>
  <c r="H64" i="357"/>
  <c r="H65" i="357"/>
  <c r="H68" i="357"/>
  <c r="H69" i="357"/>
  <c r="H70" i="357"/>
  <c r="H71" i="357"/>
  <c r="H72" i="357"/>
  <c r="H73" i="357"/>
  <c r="H76" i="357"/>
  <c r="H77" i="357"/>
  <c r="H78" i="357"/>
  <c r="H79" i="357"/>
  <c r="H80" i="357"/>
  <c r="H81" i="357"/>
  <c r="H84" i="357"/>
  <c r="H85" i="357"/>
  <c r="H86" i="357"/>
  <c r="H87" i="357"/>
  <c r="I4" i="357"/>
  <c r="I5" i="357"/>
  <c r="I6" i="357"/>
  <c r="I7" i="357"/>
  <c r="I8" i="357"/>
  <c r="I9" i="357"/>
  <c r="I12" i="357"/>
  <c r="I13" i="357"/>
  <c r="I14" i="357"/>
  <c r="I15" i="357"/>
  <c r="I16" i="357"/>
  <c r="I17" i="357"/>
  <c r="I20" i="357"/>
  <c r="I21" i="357"/>
  <c r="I22" i="357"/>
  <c r="I23" i="357"/>
  <c r="I24" i="357"/>
  <c r="I25" i="357"/>
  <c r="I28" i="357"/>
  <c r="I29" i="357"/>
  <c r="I30" i="357"/>
  <c r="I31" i="357"/>
  <c r="I32" i="357"/>
  <c r="I33" i="357"/>
  <c r="I36" i="357"/>
  <c r="I37" i="357"/>
  <c r="I38" i="357"/>
  <c r="I39" i="357"/>
  <c r="I40" i="357"/>
  <c r="I41" i="357"/>
  <c r="I44" i="357"/>
  <c r="I45" i="357"/>
  <c r="I46" i="357"/>
  <c r="I47" i="357"/>
  <c r="I48" i="357"/>
  <c r="I49" i="357"/>
  <c r="I52" i="357"/>
  <c r="I53" i="357"/>
  <c r="I54" i="357"/>
  <c r="I55" i="357"/>
  <c r="I56" i="357"/>
  <c r="I57" i="357"/>
  <c r="I60" i="357"/>
  <c r="I61" i="357"/>
  <c r="I62" i="357"/>
  <c r="I63" i="357"/>
  <c r="I64" i="357"/>
  <c r="I65" i="357"/>
  <c r="I68" i="357"/>
  <c r="I69" i="357"/>
  <c r="I70" i="357"/>
  <c r="I71" i="357"/>
  <c r="I72" i="357"/>
  <c r="I73" i="357"/>
  <c r="I76" i="357"/>
  <c r="I77" i="357"/>
  <c r="I78" i="357"/>
  <c r="I79" i="357"/>
  <c r="I80" i="357"/>
  <c r="I81" i="357"/>
  <c r="I84" i="357"/>
  <c r="I85" i="357"/>
  <c r="I86" i="357"/>
  <c r="I87" i="357"/>
  <c r="F2" i="349"/>
  <c r="F3" i="349"/>
  <c r="F4" i="349"/>
  <c r="F5" i="349"/>
  <c r="F6" i="349"/>
  <c r="F7" i="349"/>
  <c r="F8" i="349"/>
  <c r="F9" i="349"/>
  <c r="F10" i="349"/>
  <c r="F11" i="349"/>
  <c r="F12" i="349"/>
  <c r="F13" i="349"/>
  <c r="F14" i="349"/>
  <c r="F15" i="349"/>
  <c r="F16" i="349"/>
  <c r="F17" i="349"/>
  <c r="F18" i="349"/>
  <c r="F19" i="349"/>
  <c r="F20" i="349"/>
  <c r="F21" i="349"/>
  <c r="F22" i="349"/>
  <c r="F23" i="349"/>
  <c r="F24" i="349"/>
  <c r="F25" i="349"/>
  <c r="F26" i="349"/>
  <c r="F27" i="349"/>
  <c r="F28" i="349"/>
  <c r="F29" i="349"/>
  <c r="F30" i="349"/>
  <c r="F31" i="349"/>
  <c r="F32" i="349"/>
  <c r="F33" i="349"/>
  <c r="F34" i="349"/>
  <c r="F35" i="349"/>
  <c r="F36" i="349"/>
  <c r="F37" i="349"/>
  <c r="F38" i="349"/>
  <c r="F39" i="349"/>
  <c r="F40" i="349"/>
  <c r="F41" i="349"/>
  <c r="F42" i="349"/>
  <c r="F43" i="349"/>
  <c r="F44" i="349"/>
  <c r="F45" i="349"/>
  <c r="F46" i="349"/>
  <c r="F47" i="349"/>
  <c r="F48" i="349"/>
  <c r="F49" i="349"/>
  <c r="F50" i="349"/>
  <c r="F51" i="349"/>
  <c r="F52" i="349"/>
  <c r="F53" i="349"/>
  <c r="F54" i="349"/>
  <c r="F55" i="349"/>
  <c r="F56" i="349"/>
  <c r="F57" i="349"/>
  <c r="F58" i="349"/>
  <c r="F59" i="349"/>
  <c r="F60" i="349"/>
  <c r="F61" i="349"/>
  <c r="F62" i="349"/>
  <c r="F63" i="349"/>
  <c r="F64" i="349"/>
  <c r="F65" i="349"/>
  <c r="F66" i="349"/>
  <c r="F67" i="349"/>
  <c r="F68" i="349"/>
  <c r="F69" i="349"/>
  <c r="F70" i="349"/>
  <c r="F71" i="349"/>
  <c r="F72" i="349"/>
  <c r="F73" i="349"/>
  <c r="F74" i="349"/>
  <c r="F75" i="349"/>
  <c r="F76" i="349"/>
  <c r="F77" i="349"/>
  <c r="F78" i="349"/>
  <c r="F79" i="349"/>
  <c r="F80" i="349"/>
  <c r="F81" i="349"/>
  <c r="F82" i="349"/>
  <c r="F83" i="349"/>
  <c r="F84" i="349"/>
  <c r="F85" i="349"/>
  <c r="F86" i="349"/>
  <c r="F87" i="349"/>
  <c r="F88" i="349"/>
  <c r="F89" i="349"/>
  <c r="F90" i="349"/>
  <c r="F91" i="349"/>
  <c r="F92" i="349"/>
  <c r="F93" i="349"/>
  <c r="F94" i="349"/>
  <c r="F95" i="349"/>
  <c r="F96" i="349"/>
  <c r="F97" i="349"/>
  <c r="F98" i="349"/>
  <c r="F99" i="349"/>
  <c r="F100" i="349"/>
  <c r="F101" i="349"/>
  <c r="F102" i="349"/>
  <c r="F103" i="349"/>
  <c r="F104" i="349"/>
  <c r="F105" i="349"/>
  <c r="F106" i="349"/>
  <c r="F107" i="349"/>
  <c r="F108" i="349"/>
  <c r="F109" i="349"/>
  <c r="F110" i="349"/>
  <c r="F111" i="349"/>
  <c r="F112" i="349"/>
  <c r="F113" i="349"/>
  <c r="F114" i="349"/>
  <c r="F115" i="349"/>
  <c r="F116" i="349"/>
  <c r="F117" i="349"/>
  <c r="F118" i="349"/>
  <c r="F119" i="349"/>
  <c r="F120" i="349"/>
  <c r="F121" i="349"/>
  <c r="F122" i="349"/>
  <c r="F123" i="349"/>
  <c r="F124" i="349"/>
  <c r="F125" i="349"/>
  <c r="F126" i="349"/>
  <c r="F127" i="349"/>
  <c r="F128" i="349"/>
  <c r="F129" i="349"/>
  <c r="F130" i="349"/>
  <c r="F131" i="349"/>
  <c r="F132" i="349"/>
  <c r="F133" i="349"/>
  <c r="F134" i="349"/>
  <c r="F135" i="349"/>
  <c r="F136" i="349"/>
  <c r="F137" i="349"/>
  <c r="F138" i="349"/>
  <c r="F139" i="349"/>
  <c r="F140" i="349"/>
  <c r="F141" i="349"/>
  <c r="F142" i="349"/>
  <c r="F143" i="349"/>
  <c r="F144" i="349"/>
  <c r="F145" i="349"/>
  <c r="F146" i="349"/>
  <c r="F147" i="349"/>
  <c r="F148" i="349"/>
  <c r="F149" i="349"/>
  <c r="F150" i="349"/>
  <c r="F151" i="349"/>
  <c r="F152" i="349"/>
  <c r="F153" i="349"/>
  <c r="F154" i="349"/>
  <c r="F155" i="349"/>
  <c r="F156" i="349"/>
  <c r="F157" i="349"/>
  <c r="F158" i="349"/>
  <c r="F159" i="349"/>
  <c r="F160" i="349"/>
  <c r="F161" i="349"/>
  <c r="F162" i="349"/>
  <c r="F163" i="349"/>
  <c r="F164" i="349"/>
  <c r="F165" i="349"/>
  <c r="F2" i="366"/>
  <c r="F3" i="366"/>
  <c r="F4" i="366"/>
  <c r="F5" i="366"/>
  <c r="F6" i="366"/>
  <c r="F7" i="366"/>
  <c r="F8" i="366"/>
  <c r="F9" i="366"/>
  <c r="F10" i="366"/>
  <c r="F11" i="366"/>
  <c r="F12" i="366"/>
  <c r="F13" i="366"/>
  <c r="F14" i="366"/>
  <c r="F15" i="366"/>
  <c r="F16" i="366"/>
  <c r="F17" i="366"/>
  <c r="F18" i="366"/>
  <c r="F19" i="366"/>
  <c r="F20" i="366"/>
  <c r="F21" i="366"/>
  <c r="F22" i="366"/>
  <c r="F23" i="366"/>
  <c r="F24" i="366"/>
  <c r="F25" i="366"/>
  <c r="F26" i="366"/>
  <c r="F27" i="366"/>
  <c r="F28" i="366"/>
  <c r="F29" i="366"/>
  <c r="F30" i="366"/>
  <c r="F31" i="366"/>
  <c r="F32" i="366"/>
  <c r="F33" i="366"/>
  <c r="F34" i="366"/>
  <c r="F35" i="366"/>
  <c r="F36" i="366"/>
  <c r="F37" i="366"/>
  <c r="F38" i="366"/>
  <c r="F39" i="366"/>
  <c r="F40" i="366"/>
  <c r="F41" i="366"/>
  <c r="F42" i="366"/>
  <c r="F43" i="366"/>
  <c r="F44" i="366"/>
  <c r="F45" i="366"/>
  <c r="F46" i="366"/>
  <c r="F47" i="366"/>
  <c r="F48" i="366"/>
  <c r="F49" i="366"/>
  <c r="F50" i="366"/>
  <c r="F51" i="366"/>
  <c r="F52" i="366"/>
  <c r="F53" i="366"/>
  <c r="F54" i="366"/>
  <c r="F55" i="366"/>
  <c r="F56" i="366"/>
  <c r="F57" i="366"/>
  <c r="F58" i="366"/>
  <c r="F59" i="366"/>
  <c r="F60" i="366"/>
  <c r="F61" i="366"/>
  <c r="F62" i="366"/>
  <c r="F63" i="366"/>
  <c r="F64" i="366"/>
  <c r="F65" i="366"/>
  <c r="F66" i="366"/>
  <c r="F67" i="366"/>
  <c r="F68" i="366"/>
  <c r="F69" i="366"/>
  <c r="F70" i="366"/>
  <c r="F71" i="366"/>
  <c r="F72" i="366"/>
  <c r="F73" i="366"/>
  <c r="F74" i="366"/>
  <c r="F75" i="366"/>
  <c r="F76" i="366"/>
  <c r="F77" i="366"/>
  <c r="F78" i="366"/>
  <c r="F79" i="366"/>
  <c r="F80" i="366"/>
  <c r="F81" i="366"/>
  <c r="F82" i="366"/>
  <c r="F83" i="366"/>
  <c r="F84" i="366"/>
  <c r="F85" i="366"/>
  <c r="F86" i="366"/>
  <c r="F87" i="366"/>
  <c r="F88" i="366"/>
  <c r="F89" i="366"/>
  <c r="F90" i="366"/>
  <c r="F91" i="366"/>
  <c r="F92" i="366"/>
  <c r="F93" i="366"/>
  <c r="F94" i="366"/>
  <c r="F95" i="366"/>
  <c r="F96" i="366"/>
  <c r="F97" i="366"/>
  <c r="F98" i="366"/>
  <c r="F99" i="366"/>
  <c r="F100" i="366"/>
  <c r="F101" i="366"/>
  <c r="F102" i="366"/>
  <c r="F103" i="366"/>
  <c r="F104" i="366"/>
  <c r="F105" i="366"/>
  <c r="F106" i="366"/>
  <c r="F107" i="366"/>
  <c r="F108" i="366"/>
  <c r="F109" i="366"/>
  <c r="F110" i="366"/>
  <c r="F111" i="366"/>
  <c r="F112" i="366"/>
  <c r="F113" i="366"/>
  <c r="F114" i="366"/>
  <c r="F115" i="366"/>
  <c r="F116" i="366"/>
  <c r="F117" i="366"/>
  <c r="F118" i="366"/>
  <c r="F119" i="366"/>
  <c r="F120" i="366"/>
  <c r="F121" i="366"/>
  <c r="F122" i="366"/>
  <c r="F123" i="366"/>
  <c r="F124" i="366"/>
  <c r="F125" i="366"/>
  <c r="F126" i="366"/>
  <c r="F127" i="366"/>
  <c r="F128" i="366"/>
  <c r="F129" i="366"/>
  <c r="F130" i="366"/>
  <c r="F131" i="366"/>
  <c r="F132" i="366"/>
  <c r="F133" i="366"/>
  <c r="F134" i="366"/>
  <c r="F135" i="366"/>
  <c r="F136" i="366"/>
  <c r="F137" i="366"/>
  <c r="F138" i="366"/>
  <c r="F139" i="366"/>
  <c r="F140" i="366"/>
  <c r="F141" i="366"/>
  <c r="F142" i="366"/>
  <c r="F143" i="366"/>
  <c r="F144" i="366"/>
  <c r="F145" i="366"/>
  <c r="F146" i="366"/>
  <c r="F147" i="366"/>
  <c r="F148" i="366"/>
  <c r="F149" i="366"/>
  <c r="F150" i="366"/>
  <c r="F151" i="366"/>
  <c r="F152" i="366"/>
  <c r="F153" i="366"/>
  <c r="F154" i="366"/>
  <c r="F155" i="366"/>
  <c r="F156" i="366"/>
  <c r="F157" i="366"/>
  <c r="F158" i="366"/>
  <c r="F159" i="366"/>
  <c r="F160" i="366"/>
  <c r="F161" i="366"/>
  <c r="F162" i="366"/>
  <c r="F163" i="366"/>
  <c r="F164" i="366"/>
  <c r="F165" i="366"/>
  <c r="F2" i="355"/>
  <c r="F3" i="355"/>
  <c r="F4" i="355"/>
  <c r="F5" i="355"/>
  <c r="F6" i="355"/>
  <c r="F7" i="355"/>
  <c r="F8" i="355"/>
  <c r="F9" i="355"/>
  <c r="F10" i="355"/>
  <c r="F11" i="355"/>
  <c r="F12" i="355"/>
  <c r="F13" i="355"/>
  <c r="F14" i="355"/>
  <c r="F15" i="355"/>
  <c r="F16" i="355"/>
  <c r="F17" i="355"/>
  <c r="F18" i="355"/>
  <c r="F19" i="355"/>
  <c r="F20" i="355"/>
  <c r="F21" i="355"/>
  <c r="F22" i="355"/>
  <c r="F23" i="355"/>
  <c r="F24" i="355"/>
  <c r="F25" i="355"/>
  <c r="F26" i="355"/>
  <c r="F27" i="355"/>
  <c r="F28" i="355"/>
  <c r="F29" i="355"/>
  <c r="F30" i="355"/>
  <c r="F31" i="355"/>
  <c r="F32" i="355"/>
  <c r="F33" i="355"/>
  <c r="F34" i="355"/>
  <c r="F35" i="355"/>
  <c r="F36" i="355"/>
  <c r="F37" i="355"/>
  <c r="F38" i="355"/>
  <c r="F39" i="355"/>
  <c r="F40" i="355"/>
  <c r="F41" i="355"/>
  <c r="F42" i="355"/>
  <c r="F43" i="355"/>
  <c r="F44" i="355"/>
  <c r="F45" i="355"/>
  <c r="F46" i="355"/>
  <c r="F47" i="355"/>
  <c r="F48" i="355"/>
  <c r="F49" i="355"/>
  <c r="F50" i="355"/>
  <c r="F51" i="355"/>
  <c r="F52" i="355"/>
  <c r="F53" i="355"/>
  <c r="F54" i="355"/>
  <c r="F55" i="355"/>
  <c r="F56" i="355"/>
  <c r="F57" i="355"/>
  <c r="F58" i="355"/>
  <c r="F59" i="355"/>
  <c r="F60" i="355"/>
  <c r="F61" i="355"/>
  <c r="F62" i="355"/>
  <c r="F63" i="355"/>
  <c r="F64" i="355"/>
  <c r="F65" i="355"/>
  <c r="F66" i="355"/>
  <c r="F67" i="355"/>
  <c r="F68" i="355"/>
  <c r="F69" i="355"/>
  <c r="F70" i="355"/>
  <c r="F71" i="355"/>
  <c r="F72" i="355"/>
  <c r="F73" i="355"/>
  <c r="F74" i="355"/>
  <c r="F75" i="355"/>
  <c r="F76" i="355"/>
  <c r="F77" i="355"/>
  <c r="F78" i="355"/>
  <c r="F79" i="355"/>
  <c r="F80" i="355"/>
  <c r="F81" i="355"/>
  <c r="F82" i="355"/>
  <c r="F83" i="355"/>
  <c r="F84" i="355"/>
  <c r="F85" i="355"/>
  <c r="F86" i="355"/>
  <c r="F87" i="355"/>
  <c r="F88" i="355"/>
  <c r="F89" i="355"/>
  <c r="F90" i="355"/>
  <c r="F91" i="355"/>
  <c r="F92" i="355"/>
  <c r="F93" i="355"/>
  <c r="F94" i="355"/>
  <c r="F95" i="355"/>
  <c r="F96" i="355"/>
  <c r="F97" i="355"/>
  <c r="F98" i="355"/>
  <c r="F99" i="355"/>
  <c r="F100" i="355"/>
  <c r="F101" i="355"/>
  <c r="F102" i="355"/>
  <c r="F103" i="355"/>
  <c r="F104" i="355"/>
  <c r="F105" i="355"/>
  <c r="F106" i="355"/>
  <c r="F107" i="355"/>
  <c r="F108" i="355"/>
  <c r="F109" i="355"/>
  <c r="F110" i="355"/>
  <c r="F111" i="355"/>
  <c r="F112" i="355"/>
  <c r="F113" i="355"/>
  <c r="F114" i="355"/>
  <c r="F115" i="355"/>
  <c r="F116" i="355"/>
  <c r="F117" i="355"/>
  <c r="F118" i="355"/>
  <c r="F119" i="355"/>
  <c r="F120" i="355"/>
  <c r="F121" i="355"/>
  <c r="F122" i="355"/>
  <c r="F123" i="355"/>
  <c r="F124" i="355"/>
  <c r="F125" i="355"/>
  <c r="F126" i="355"/>
  <c r="F127" i="355"/>
  <c r="F128" i="355"/>
  <c r="F129" i="355"/>
  <c r="F130" i="355"/>
  <c r="F131" i="355"/>
  <c r="F132" i="355"/>
  <c r="F133" i="355"/>
  <c r="F134" i="355"/>
  <c r="F135" i="355"/>
  <c r="F136" i="355"/>
  <c r="F137" i="355"/>
  <c r="F138" i="355"/>
  <c r="F139" i="355"/>
  <c r="F140" i="355"/>
  <c r="F141" i="355"/>
  <c r="F142" i="355"/>
  <c r="F143" i="355"/>
  <c r="F144" i="355"/>
  <c r="F145" i="355"/>
  <c r="F146" i="355"/>
  <c r="F147" i="355"/>
  <c r="F148" i="355"/>
  <c r="F149" i="355"/>
  <c r="F150" i="355"/>
  <c r="F151" i="355"/>
  <c r="F152" i="355"/>
  <c r="F153" i="355"/>
  <c r="F154" i="355"/>
  <c r="F155" i="355"/>
  <c r="F156" i="355"/>
  <c r="F157" i="355"/>
  <c r="F158" i="355"/>
  <c r="F159" i="355"/>
  <c r="F160" i="355"/>
  <c r="F161" i="355"/>
  <c r="F162" i="355"/>
  <c r="F163" i="355"/>
  <c r="F164" i="355"/>
  <c r="F165" i="355"/>
  <c r="F166" i="355"/>
  <c r="F167" i="355"/>
  <c r="F168" i="355"/>
  <c r="F169" i="355"/>
  <c r="F170" i="355"/>
  <c r="F171" i="355"/>
  <c r="F172" i="355"/>
  <c r="F173" i="355"/>
  <c r="F174" i="355"/>
  <c r="F175" i="355"/>
  <c r="F176" i="355"/>
  <c r="F177" i="355"/>
  <c r="F178" i="355"/>
  <c r="F179" i="355"/>
  <c r="F180" i="355"/>
  <c r="F181" i="355"/>
  <c r="F182" i="355"/>
  <c r="F183" i="355"/>
  <c r="F184" i="355"/>
  <c r="F185" i="355"/>
  <c r="F186" i="355"/>
  <c r="F187" i="355"/>
  <c r="F188" i="355"/>
  <c r="F189" i="355"/>
  <c r="F190" i="355"/>
  <c r="F191" i="355"/>
  <c r="F192" i="355"/>
  <c r="F193" i="355"/>
  <c r="F194" i="355"/>
  <c r="F195" i="355"/>
  <c r="F196" i="355"/>
  <c r="F197" i="355"/>
  <c r="F198" i="355"/>
  <c r="F199" i="355"/>
  <c r="F200" i="355"/>
  <c r="F201" i="355"/>
  <c r="F202" i="355"/>
  <c r="F203" i="355"/>
  <c r="F204" i="355"/>
  <c r="F205" i="355"/>
  <c r="F206" i="355"/>
  <c r="F207" i="355"/>
  <c r="F208" i="355"/>
  <c r="F209" i="355"/>
  <c r="F210" i="355"/>
  <c r="F211" i="355"/>
  <c r="F212" i="355"/>
  <c r="F213" i="355"/>
  <c r="F214" i="355"/>
  <c r="F215" i="355"/>
  <c r="F216" i="355"/>
  <c r="F217" i="355"/>
  <c r="F218" i="355"/>
  <c r="F219" i="355"/>
  <c r="F220" i="355"/>
  <c r="F221" i="355"/>
  <c r="F222" i="355"/>
  <c r="F223" i="355"/>
  <c r="F224" i="355"/>
  <c r="F225" i="355"/>
  <c r="F226" i="355"/>
  <c r="F227" i="355"/>
  <c r="F228" i="355"/>
  <c r="F229" i="355"/>
  <c r="F230" i="355"/>
  <c r="F231" i="355"/>
  <c r="F232" i="355"/>
  <c r="F233" i="355"/>
  <c r="F234" i="355"/>
  <c r="F235" i="355"/>
  <c r="F236" i="355"/>
  <c r="F237" i="355"/>
  <c r="F238" i="355"/>
  <c r="F239" i="355"/>
  <c r="F240" i="355"/>
  <c r="F241" i="355"/>
  <c r="F242" i="355"/>
  <c r="F243" i="355"/>
  <c r="F244" i="355"/>
  <c r="F245" i="355"/>
  <c r="F246" i="355"/>
  <c r="F247" i="355"/>
  <c r="F248" i="355"/>
  <c r="F249" i="355"/>
  <c r="F250" i="355"/>
  <c r="F251" i="355"/>
  <c r="G166" i="355"/>
  <c r="I166" i="355" s="1"/>
  <c r="G167" i="355"/>
  <c r="I167" i="355" s="1"/>
  <c r="G168" i="355"/>
  <c r="G169" i="355"/>
  <c r="G170" i="355"/>
  <c r="G171" i="355"/>
  <c r="G172" i="355"/>
  <c r="G173" i="355"/>
  <c r="G174" i="355"/>
  <c r="I174" i="355" s="1"/>
  <c r="G175" i="355"/>
  <c r="I175" i="355" s="1"/>
  <c r="G176" i="355"/>
  <c r="G177" i="355"/>
  <c r="G178" i="355"/>
  <c r="G179" i="355"/>
  <c r="G180" i="355"/>
  <c r="G181" i="355"/>
  <c r="G182" i="355"/>
  <c r="I182" i="355" s="1"/>
  <c r="G183" i="355"/>
  <c r="I183" i="355" s="1"/>
  <c r="G184" i="355"/>
  <c r="G185" i="355"/>
  <c r="G186" i="355"/>
  <c r="G187" i="355"/>
  <c r="G188" i="355"/>
  <c r="G189" i="355"/>
  <c r="G190" i="355"/>
  <c r="I190" i="355" s="1"/>
  <c r="G191" i="355"/>
  <c r="I191" i="355" s="1"/>
  <c r="G192" i="355"/>
  <c r="G193" i="355"/>
  <c r="G194" i="355"/>
  <c r="G195" i="355"/>
  <c r="G196" i="355"/>
  <c r="G197" i="355"/>
  <c r="G198" i="355"/>
  <c r="I198" i="355" s="1"/>
  <c r="G199" i="355"/>
  <c r="I199" i="355" s="1"/>
  <c r="G200" i="355"/>
  <c r="G201" i="355"/>
  <c r="G202" i="355"/>
  <c r="G203" i="355"/>
  <c r="G204" i="355"/>
  <c r="G205" i="355"/>
  <c r="G206" i="355"/>
  <c r="I206" i="355" s="1"/>
  <c r="G207" i="355"/>
  <c r="I207" i="355" s="1"/>
  <c r="G208" i="355"/>
  <c r="G209" i="355"/>
  <c r="G210" i="355"/>
  <c r="G211" i="355"/>
  <c r="G212" i="355"/>
  <c r="G213" i="355"/>
  <c r="G214" i="355"/>
  <c r="I214" i="355" s="1"/>
  <c r="G215" i="355"/>
  <c r="I215" i="355" s="1"/>
  <c r="G216" i="355"/>
  <c r="G217" i="355"/>
  <c r="G218" i="355"/>
  <c r="G219" i="355"/>
  <c r="G220" i="355"/>
  <c r="G221" i="355"/>
  <c r="G222" i="355"/>
  <c r="I222" i="355" s="1"/>
  <c r="G223" i="355"/>
  <c r="I223" i="355" s="1"/>
  <c r="G224" i="355"/>
  <c r="G225" i="355"/>
  <c r="G226" i="355"/>
  <c r="G227" i="355"/>
  <c r="G228" i="355"/>
  <c r="G229" i="355"/>
  <c r="G230" i="355"/>
  <c r="I230" i="355" s="1"/>
  <c r="G231" i="355"/>
  <c r="I231" i="355" s="1"/>
  <c r="G232" i="355"/>
  <c r="G233" i="355"/>
  <c r="G234" i="355"/>
  <c r="G235" i="355"/>
  <c r="G236" i="355"/>
  <c r="G237" i="355"/>
  <c r="G238" i="355"/>
  <c r="I238" i="355" s="1"/>
  <c r="G239" i="355"/>
  <c r="I239" i="355" s="1"/>
  <c r="G240" i="355"/>
  <c r="G241" i="355"/>
  <c r="G242" i="355"/>
  <c r="G243" i="355"/>
  <c r="G244" i="355"/>
  <c r="G245" i="355"/>
  <c r="G246" i="355"/>
  <c r="I246" i="355" s="1"/>
  <c r="G247" i="355"/>
  <c r="I247" i="355" s="1"/>
  <c r="G248" i="355"/>
  <c r="G249" i="355"/>
  <c r="G250" i="355"/>
  <c r="G251" i="355"/>
  <c r="H168" i="355"/>
  <c r="H169" i="355"/>
  <c r="H170" i="355"/>
  <c r="H171" i="355"/>
  <c r="H172" i="355"/>
  <c r="H173" i="355"/>
  <c r="H176" i="355"/>
  <c r="H177" i="355"/>
  <c r="H178" i="355"/>
  <c r="H179" i="355"/>
  <c r="H180" i="355"/>
  <c r="H181" i="355"/>
  <c r="H184" i="355"/>
  <c r="H185" i="355"/>
  <c r="H186" i="355"/>
  <c r="H187" i="355"/>
  <c r="H188" i="355"/>
  <c r="H189" i="355"/>
  <c r="H192" i="355"/>
  <c r="H193" i="355"/>
  <c r="H194" i="355"/>
  <c r="H195" i="355"/>
  <c r="H196" i="355"/>
  <c r="H197" i="355"/>
  <c r="H200" i="355"/>
  <c r="H201" i="355"/>
  <c r="H202" i="355"/>
  <c r="H203" i="355"/>
  <c r="H204" i="355"/>
  <c r="H205" i="355"/>
  <c r="H208" i="355"/>
  <c r="H209" i="355"/>
  <c r="H210" i="355"/>
  <c r="H211" i="355"/>
  <c r="H212" i="355"/>
  <c r="H213" i="355"/>
  <c r="H216" i="355"/>
  <c r="H217" i="355"/>
  <c r="H218" i="355"/>
  <c r="H219" i="355"/>
  <c r="H220" i="355"/>
  <c r="H221" i="355"/>
  <c r="H224" i="355"/>
  <c r="H225" i="355"/>
  <c r="H226" i="355"/>
  <c r="H227" i="355"/>
  <c r="H228" i="355"/>
  <c r="H229" i="355"/>
  <c r="H232" i="355"/>
  <c r="H233" i="355"/>
  <c r="H234" i="355"/>
  <c r="H235" i="355"/>
  <c r="H236" i="355"/>
  <c r="H237" i="355"/>
  <c r="H240" i="355"/>
  <c r="H241" i="355"/>
  <c r="H242" i="355"/>
  <c r="H243" i="355"/>
  <c r="H244" i="355"/>
  <c r="H245" i="355"/>
  <c r="H248" i="355"/>
  <c r="H249" i="355"/>
  <c r="H250" i="355"/>
  <c r="H251" i="355"/>
  <c r="I168" i="355"/>
  <c r="I169" i="355"/>
  <c r="I170" i="355"/>
  <c r="I171" i="355"/>
  <c r="I172" i="355"/>
  <c r="I173" i="355"/>
  <c r="I176" i="355"/>
  <c r="I177" i="355"/>
  <c r="I178" i="355"/>
  <c r="I179" i="355"/>
  <c r="I180" i="355"/>
  <c r="I181" i="355"/>
  <c r="I184" i="355"/>
  <c r="I185" i="355"/>
  <c r="I186" i="355"/>
  <c r="I187" i="355"/>
  <c r="I188" i="355"/>
  <c r="I189" i="355"/>
  <c r="I192" i="355"/>
  <c r="I193" i="355"/>
  <c r="I194" i="355"/>
  <c r="I195" i="355"/>
  <c r="I196" i="355"/>
  <c r="I197" i="355"/>
  <c r="I200" i="355"/>
  <c r="I201" i="355"/>
  <c r="I202" i="355"/>
  <c r="I203" i="355"/>
  <c r="I204" i="355"/>
  <c r="I205" i="355"/>
  <c r="I208" i="355"/>
  <c r="I209" i="355"/>
  <c r="I210" i="355"/>
  <c r="I211" i="355"/>
  <c r="I212" i="355"/>
  <c r="I213" i="355"/>
  <c r="I216" i="355"/>
  <c r="I217" i="355"/>
  <c r="I218" i="355"/>
  <c r="I219" i="355"/>
  <c r="I220" i="355"/>
  <c r="I221" i="355"/>
  <c r="I224" i="355"/>
  <c r="I225" i="355"/>
  <c r="I226" i="355"/>
  <c r="I227" i="355"/>
  <c r="I228" i="355"/>
  <c r="I229" i="355"/>
  <c r="I232" i="355"/>
  <c r="I233" i="355"/>
  <c r="I234" i="355"/>
  <c r="I235" i="355"/>
  <c r="I236" i="355"/>
  <c r="I237" i="355"/>
  <c r="I240" i="355"/>
  <c r="I241" i="355"/>
  <c r="I242" i="355"/>
  <c r="I243" i="355"/>
  <c r="I244" i="355"/>
  <c r="I245" i="355"/>
  <c r="I248" i="355"/>
  <c r="I249" i="355"/>
  <c r="I250" i="355"/>
  <c r="I251" i="355"/>
  <c r="G165" i="364"/>
  <c r="I165" i="364" s="1"/>
  <c r="F165" i="364"/>
  <c r="G164" i="364"/>
  <c r="I164" i="364" s="1"/>
  <c r="F164" i="364"/>
  <c r="I163" i="364"/>
  <c r="H163" i="364"/>
  <c r="G163" i="364"/>
  <c r="F163" i="364"/>
  <c r="G162" i="364"/>
  <c r="I162" i="364" s="1"/>
  <c r="F162" i="364"/>
  <c r="I161" i="364"/>
  <c r="H161" i="364"/>
  <c r="G161" i="364"/>
  <c r="F161" i="364"/>
  <c r="G160" i="364"/>
  <c r="I160" i="364" s="1"/>
  <c r="F160" i="364"/>
  <c r="I159" i="364"/>
  <c r="H159" i="364"/>
  <c r="G159" i="364"/>
  <c r="F159" i="364"/>
  <c r="G158" i="364"/>
  <c r="I158" i="364" s="1"/>
  <c r="F158" i="364"/>
  <c r="I157" i="364"/>
  <c r="H157" i="364"/>
  <c r="G157" i="364"/>
  <c r="F157" i="364"/>
  <c r="G156" i="364"/>
  <c r="I156" i="364" s="1"/>
  <c r="F156" i="364"/>
  <c r="I155" i="364"/>
  <c r="H155" i="364"/>
  <c r="G155" i="364"/>
  <c r="F155" i="364"/>
  <c r="H154" i="364"/>
  <c r="G154" i="364"/>
  <c r="I154" i="364" s="1"/>
  <c r="F154" i="364"/>
  <c r="I153" i="364"/>
  <c r="H153" i="364"/>
  <c r="G153" i="364"/>
  <c r="F153" i="364"/>
  <c r="H152" i="364"/>
  <c r="G152" i="364"/>
  <c r="I152" i="364" s="1"/>
  <c r="F152" i="364"/>
  <c r="I151" i="364"/>
  <c r="H151" i="364"/>
  <c r="G151" i="364"/>
  <c r="F151" i="364"/>
  <c r="H150" i="364"/>
  <c r="G150" i="364"/>
  <c r="I150" i="364" s="1"/>
  <c r="F150" i="364"/>
  <c r="I149" i="364"/>
  <c r="H149" i="364"/>
  <c r="G149" i="364"/>
  <c r="F149" i="364"/>
  <c r="H148" i="364"/>
  <c r="G148" i="364"/>
  <c r="I148" i="364" s="1"/>
  <c r="F148" i="364"/>
  <c r="I147" i="364"/>
  <c r="H147" i="364"/>
  <c r="G147" i="364"/>
  <c r="F147" i="364"/>
  <c r="H146" i="364"/>
  <c r="G146" i="364"/>
  <c r="I146" i="364" s="1"/>
  <c r="F146" i="364"/>
  <c r="I145" i="364"/>
  <c r="H145" i="364"/>
  <c r="G145" i="364"/>
  <c r="F145" i="364"/>
  <c r="H144" i="364"/>
  <c r="G144" i="364"/>
  <c r="I144" i="364" s="1"/>
  <c r="F144" i="364"/>
  <c r="I143" i="364"/>
  <c r="H143" i="364"/>
  <c r="G143" i="364"/>
  <c r="F143" i="364"/>
  <c r="H142" i="364"/>
  <c r="G142" i="364"/>
  <c r="I142" i="364" s="1"/>
  <c r="F142" i="364"/>
  <c r="I141" i="364"/>
  <c r="H141" i="364"/>
  <c r="G141" i="364"/>
  <c r="F141" i="364"/>
  <c r="H140" i="364"/>
  <c r="G140" i="364"/>
  <c r="I140" i="364" s="1"/>
  <c r="F140" i="364"/>
  <c r="I139" i="364"/>
  <c r="H139" i="364"/>
  <c r="G139" i="364"/>
  <c r="F139" i="364"/>
  <c r="H138" i="364"/>
  <c r="G138" i="364"/>
  <c r="I138" i="364" s="1"/>
  <c r="F138" i="364"/>
  <c r="I137" i="364"/>
  <c r="H137" i="364"/>
  <c r="G137" i="364"/>
  <c r="F137" i="364"/>
  <c r="H136" i="364"/>
  <c r="G136" i="364"/>
  <c r="I136" i="364" s="1"/>
  <c r="F136" i="364"/>
  <c r="I135" i="364"/>
  <c r="H135" i="364"/>
  <c r="G135" i="364"/>
  <c r="F135" i="364"/>
  <c r="H134" i="364"/>
  <c r="G134" i="364"/>
  <c r="I134" i="364" s="1"/>
  <c r="F134" i="364"/>
  <c r="I133" i="364"/>
  <c r="H133" i="364"/>
  <c r="G133" i="364"/>
  <c r="F133" i="364"/>
  <c r="H132" i="364"/>
  <c r="G132" i="364"/>
  <c r="I132" i="364" s="1"/>
  <c r="F132" i="364"/>
  <c r="I131" i="364"/>
  <c r="H131" i="364"/>
  <c r="G131" i="364"/>
  <c r="F131" i="364"/>
  <c r="H130" i="364"/>
  <c r="G130" i="364"/>
  <c r="I130" i="364" s="1"/>
  <c r="F130" i="364"/>
  <c r="I129" i="364"/>
  <c r="H129" i="364"/>
  <c r="G129" i="364"/>
  <c r="F129" i="364"/>
  <c r="I128" i="364"/>
  <c r="H128" i="364"/>
  <c r="G128" i="364"/>
  <c r="F128" i="364"/>
  <c r="I127" i="364"/>
  <c r="H127" i="364"/>
  <c r="G127" i="364"/>
  <c r="F127" i="364"/>
  <c r="I126" i="364"/>
  <c r="H126" i="364"/>
  <c r="G126" i="364"/>
  <c r="F126" i="364"/>
  <c r="I125" i="364"/>
  <c r="H125" i="364"/>
  <c r="G125" i="364"/>
  <c r="F125" i="364"/>
  <c r="I124" i="364"/>
  <c r="H124" i="364"/>
  <c r="G124" i="364"/>
  <c r="F124" i="364"/>
  <c r="I123" i="364"/>
  <c r="H123" i="364"/>
  <c r="G123" i="364"/>
  <c r="F123" i="364"/>
  <c r="I122" i="364"/>
  <c r="H122" i="364"/>
  <c r="G122" i="364"/>
  <c r="F122" i="364"/>
  <c r="I121" i="364"/>
  <c r="H121" i="364"/>
  <c r="G121" i="364"/>
  <c r="F121" i="364"/>
  <c r="I120" i="364"/>
  <c r="H120" i="364"/>
  <c r="G120" i="364"/>
  <c r="F120" i="364"/>
  <c r="I119" i="364"/>
  <c r="H119" i="364"/>
  <c r="G119" i="364"/>
  <c r="F119" i="364"/>
  <c r="I118" i="364"/>
  <c r="H118" i="364"/>
  <c r="G118" i="364"/>
  <c r="F118" i="364"/>
  <c r="I117" i="364"/>
  <c r="H117" i="364"/>
  <c r="G117" i="364"/>
  <c r="F117" i="364"/>
  <c r="I116" i="364"/>
  <c r="H116" i="364"/>
  <c r="G116" i="364"/>
  <c r="F116" i="364"/>
  <c r="I115" i="364"/>
  <c r="H115" i="364"/>
  <c r="G115" i="364"/>
  <c r="F115" i="364"/>
  <c r="I114" i="364"/>
  <c r="H114" i="364"/>
  <c r="G114" i="364"/>
  <c r="F114" i="364"/>
  <c r="I113" i="364"/>
  <c r="H113" i="364"/>
  <c r="G113" i="364"/>
  <c r="F113" i="364"/>
  <c r="I112" i="364"/>
  <c r="H112" i="364"/>
  <c r="G112" i="364"/>
  <c r="F112" i="364"/>
  <c r="I111" i="364"/>
  <c r="H111" i="364"/>
  <c r="G111" i="364"/>
  <c r="F111" i="364"/>
  <c r="I110" i="364"/>
  <c r="H110" i="364"/>
  <c r="G110" i="364"/>
  <c r="F110" i="364"/>
  <c r="I109" i="364"/>
  <c r="H109" i="364"/>
  <c r="G109" i="364"/>
  <c r="F109" i="364"/>
  <c r="I108" i="364"/>
  <c r="H108" i="364"/>
  <c r="G108" i="364"/>
  <c r="F108" i="364"/>
  <c r="I107" i="364"/>
  <c r="H107" i="364"/>
  <c r="G107" i="364"/>
  <c r="F107" i="364"/>
  <c r="I106" i="364"/>
  <c r="H106" i="364"/>
  <c r="G106" i="364"/>
  <c r="F106" i="364"/>
  <c r="I105" i="364"/>
  <c r="H105" i="364"/>
  <c r="G105" i="364"/>
  <c r="F105" i="364"/>
  <c r="I104" i="364"/>
  <c r="H104" i="364"/>
  <c r="G104" i="364"/>
  <c r="F104" i="364"/>
  <c r="I103" i="364"/>
  <c r="H103" i="364"/>
  <c r="G103" i="364"/>
  <c r="F103" i="364"/>
  <c r="I102" i="364"/>
  <c r="H102" i="364"/>
  <c r="G102" i="364"/>
  <c r="F102" i="364"/>
  <c r="I101" i="364"/>
  <c r="H101" i="364"/>
  <c r="G101" i="364"/>
  <c r="F101" i="364"/>
  <c r="I100" i="364"/>
  <c r="H100" i="364"/>
  <c r="G100" i="364"/>
  <c r="F100" i="364"/>
  <c r="I99" i="364"/>
  <c r="H99" i="364"/>
  <c r="G99" i="364"/>
  <c r="F99" i="364"/>
  <c r="I98" i="364"/>
  <c r="H98" i="364"/>
  <c r="G98" i="364"/>
  <c r="F98" i="364"/>
  <c r="I97" i="364"/>
  <c r="H97" i="364"/>
  <c r="G97" i="364"/>
  <c r="F97" i="364"/>
  <c r="I96" i="364"/>
  <c r="H96" i="364"/>
  <c r="G96" i="364"/>
  <c r="F96" i="364"/>
  <c r="I95" i="364"/>
  <c r="H95" i="364"/>
  <c r="G95" i="364"/>
  <c r="F95" i="364"/>
  <c r="I94" i="364"/>
  <c r="H94" i="364"/>
  <c r="G94" i="364"/>
  <c r="F94" i="364"/>
  <c r="I93" i="364"/>
  <c r="H93" i="364"/>
  <c r="G93" i="364"/>
  <c r="F93" i="364"/>
  <c r="I92" i="364"/>
  <c r="H92" i="364"/>
  <c r="G92" i="364"/>
  <c r="F92" i="364"/>
  <c r="I91" i="364"/>
  <c r="H91" i="364"/>
  <c r="G91" i="364"/>
  <c r="F91" i="364"/>
  <c r="I90" i="364"/>
  <c r="H90" i="364"/>
  <c r="G90" i="364"/>
  <c r="F90" i="364"/>
  <c r="I89" i="364"/>
  <c r="H89" i="364"/>
  <c r="G89" i="364"/>
  <c r="F89" i="364"/>
  <c r="I88" i="364"/>
  <c r="H88" i="364"/>
  <c r="G88" i="364"/>
  <c r="F88" i="364"/>
  <c r="I87" i="364"/>
  <c r="H87" i="364"/>
  <c r="G87" i="364"/>
  <c r="F87" i="364"/>
  <c r="I86" i="364"/>
  <c r="H86" i="364"/>
  <c r="G86" i="364"/>
  <c r="F86" i="364"/>
  <c r="I85" i="364"/>
  <c r="H85" i="364"/>
  <c r="G85" i="364"/>
  <c r="F85" i="364"/>
  <c r="I84" i="364"/>
  <c r="H84" i="364"/>
  <c r="G84" i="364"/>
  <c r="F84" i="364"/>
  <c r="I83" i="364"/>
  <c r="H83" i="364"/>
  <c r="G83" i="364"/>
  <c r="F83" i="364"/>
  <c r="I82" i="364"/>
  <c r="H82" i="364"/>
  <c r="G82" i="364"/>
  <c r="F82" i="364"/>
  <c r="I81" i="364"/>
  <c r="H81" i="364"/>
  <c r="G81" i="364"/>
  <c r="F81" i="364"/>
  <c r="I80" i="364"/>
  <c r="H80" i="364"/>
  <c r="G80" i="364"/>
  <c r="F80" i="364"/>
  <c r="I79" i="364"/>
  <c r="H79" i="364"/>
  <c r="G79" i="364"/>
  <c r="F79" i="364"/>
  <c r="I78" i="364"/>
  <c r="H78" i="364"/>
  <c r="G78" i="364"/>
  <c r="F78" i="364"/>
  <c r="I77" i="364"/>
  <c r="H77" i="364"/>
  <c r="G77" i="364"/>
  <c r="F77" i="364"/>
  <c r="I76" i="364"/>
  <c r="H76" i="364"/>
  <c r="G76" i="364"/>
  <c r="F76" i="364"/>
  <c r="I75" i="364"/>
  <c r="H75" i="364"/>
  <c r="G75" i="364"/>
  <c r="F75" i="364"/>
  <c r="I74" i="364"/>
  <c r="H74" i="364"/>
  <c r="G74" i="364"/>
  <c r="F74" i="364"/>
  <c r="I73" i="364"/>
  <c r="H73" i="364"/>
  <c r="G73" i="364"/>
  <c r="F73" i="364"/>
  <c r="I72" i="364"/>
  <c r="H72" i="364"/>
  <c r="G72" i="364"/>
  <c r="F72" i="364"/>
  <c r="I71" i="364"/>
  <c r="H71" i="364"/>
  <c r="G71" i="364"/>
  <c r="F71" i="364"/>
  <c r="I70" i="364"/>
  <c r="H70" i="364"/>
  <c r="G70" i="364"/>
  <c r="F70" i="364"/>
  <c r="I69" i="364"/>
  <c r="H69" i="364"/>
  <c r="G69" i="364"/>
  <c r="F69" i="364"/>
  <c r="I68" i="364"/>
  <c r="H68" i="364"/>
  <c r="G68" i="364"/>
  <c r="F68" i="364"/>
  <c r="I67" i="364"/>
  <c r="H67" i="364"/>
  <c r="G67" i="364"/>
  <c r="F67" i="364"/>
  <c r="I66" i="364"/>
  <c r="H66" i="364"/>
  <c r="G66" i="364"/>
  <c r="F66" i="364"/>
  <c r="I65" i="364"/>
  <c r="H65" i="364"/>
  <c r="G65" i="364"/>
  <c r="F65" i="364"/>
  <c r="I64" i="364"/>
  <c r="H64" i="364"/>
  <c r="G64" i="364"/>
  <c r="F64" i="364"/>
  <c r="I63" i="364"/>
  <c r="H63" i="364"/>
  <c r="G63" i="364"/>
  <c r="F63" i="364"/>
  <c r="I62" i="364"/>
  <c r="H62" i="364"/>
  <c r="G62" i="364"/>
  <c r="F62" i="364"/>
  <c r="I61" i="364"/>
  <c r="H61" i="364"/>
  <c r="G61" i="364"/>
  <c r="F61" i="364"/>
  <c r="I60" i="364"/>
  <c r="H60" i="364"/>
  <c r="G60" i="364"/>
  <c r="F60" i="364"/>
  <c r="I59" i="364"/>
  <c r="H59" i="364"/>
  <c r="G59" i="364"/>
  <c r="F59" i="364"/>
  <c r="I58" i="364"/>
  <c r="H58" i="364"/>
  <c r="G58" i="364"/>
  <c r="F58" i="364"/>
  <c r="I57" i="364"/>
  <c r="H57" i="364"/>
  <c r="G57" i="364"/>
  <c r="F57" i="364"/>
  <c r="I56" i="364"/>
  <c r="H56" i="364"/>
  <c r="G56" i="364"/>
  <c r="F56" i="364"/>
  <c r="I55" i="364"/>
  <c r="H55" i="364"/>
  <c r="G55" i="364"/>
  <c r="F55" i="364"/>
  <c r="I54" i="364"/>
  <c r="H54" i="364"/>
  <c r="G54" i="364"/>
  <c r="F54" i="364"/>
  <c r="I53" i="364"/>
  <c r="H53" i="364"/>
  <c r="G53" i="364"/>
  <c r="F53" i="364"/>
  <c r="I52" i="364"/>
  <c r="H52" i="364"/>
  <c r="G52" i="364"/>
  <c r="F52" i="364"/>
  <c r="I51" i="364"/>
  <c r="H51" i="364"/>
  <c r="G51" i="364"/>
  <c r="F51" i="364"/>
  <c r="I50" i="364"/>
  <c r="H50" i="364"/>
  <c r="G50" i="364"/>
  <c r="F50" i="364"/>
  <c r="I49" i="364"/>
  <c r="H49" i="364"/>
  <c r="G49" i="364"/>
  <c r="F49" i="364"/>
  <c r="I48" i="364"/>
  <c r="H48" i="364"/>
  <c r="G48" i="364"/>
  <c r="F48" i="364"/>
  <c r="I47" i="364"/>
  <c r="H47" i="364"/>
  <c r="G47" i="364"/>
  <c r="F47" i="364"/>
  <c r="I46" i="364"/>
  <c r="H46" i="364"/>
  <c r="G46" i="364"/>
  <c r="F46" i="364"/>
  <c r="I45" i="364"/>
  <c r="H45" i="364"/>
  <c r="G45" i="364"/>
  <c r="F45" i="364"/>
  <c r="I44" i="364"/>
  <c r="H44" i="364"/>
  <c r="G44" i="364"/>
  <c r="F44" i="364"/>
  <c r="I43" i="364"/>
  <c r="H43" i="364"/>
  <c r="G43" i="364"/>
  <c r="F43" i="364"/>
  <c r="I42" i="364"/>
  <c r="H42" i="364"/>
  <c r="G42" i="364"/>
  <c r="F42" i="364"/>
  <c r="I41" i="364"/>
  <c r="H41" i="364"/>
  <c r="G41" i="364"/>
  <c r="F41" i="364"/>
  <c r="I40" i="364"/>
  <c r="H40" i="364"/>
  <c r="G40" i="364"/>
  <c r="F40" i="364"/>
  <c r="I39" i="364"/>
  <c r="H39" i="364"/>
  <c r="G39" i="364"/>
  <c r="F39" i="364"/>
  <c r="I38" i="364"/>
  <c r="H38" i="364"/>
  <c r="G38" i="364"/>
  <c r="F38" i="364"/>
  <c r="I37" i="364"/>
  <c r="H37" i="364"/>
  <c r="G37" i="364"/>
  <c r="F37" i="364"/>
  <c r="I36" i="364"/>
  <c r="H36" i="364"/>
  <c r="G36" i="364"/>
  <c r="F36" i="364"/>
  <c r="I35" i="364"/>
  <c r="H35" i="364"/>
  <c r="G35" i="364"/>
  <c r="F35" i="364"/>
  <c r="I34" i="364"/>
  <c r="H34" i="364"/>
  <c r="G34" i="364"/>
  <c r="F34" i="364"/>
  <c r="I33" i="364"/>
  <c r="H33" i="364"/>
  <c r="G33" i="364"/>
  <c r="F33" i="364"/>
  <c r="I32" i="364"/>
  <c r="H32" i="364"/>
  <c r="G32" i="364"/>
  <c r="F32" i="364"/>
  <c r="I31" i="364"/>
  <c r="H31" i="364"/>
  <c r="G31" i="364"/>
  <c r="F31" i="364"/>
  <c r="I30" i="364"/>
  <c r="H30" i="364"/>
  <c r="G30" i="364"/>
  <c r="F30" i="364"/>
  <c r="I29" i="364"/>
  <c r="H29" i="364"/>
  <c r="G29" i="364"/>
  <c r="F29" i="364"/>
  <c r="I28" i="364"/>
  <c r="H28" i="364"/>
  <c r="G28" i="364"/>
  <c r="F28" i="364"/>
  <c r="I27" i="364"/>
  <c r="H27" i="364"/>
  <c r="G27" i="364"/>
  <c r="F27" i="364"/>
  <c r="I26" i="364"/>
  <c r="H26" i="364"/>
  <c r="G26" i="364"/>
  <c r="F26" i="364"/>
  <c r="I25" i="364"/>
  <c r="H25" i="364"/>
  <c r="G25" i="364"/>
  <c r="F25" i="364"/>
  <c r="I24" i="364"/>
  <c r="H24" i="364"/>
  <c r="G24" i="364"/>
  <c r="F24" i="364"/>
  <c r="I23" i="364"/>
  <c r="H23" i="364"/>
  <c r="G23" i="364"/>
  <c r="F23" i="364"/>
  <c r="I22" i="364"/>
  <c r="H22" i="364"/>
  <c r="G22" i="364"/>
  <c r="F22" i="364"/>
  <c r="I21" i="364"/>
  <c r="H21" i="364"/>
  <c r="G21" i="364"/>
  <c r="F21" i="364"/>
  <c r="I20" i="364"/>
  <c r="H20" i="364"/>
  <c r="G20" i="364"/>
  <c r="F20" i="364"/>
  <c r="I19" i="364"/>
  <c r="H19" i="364"/>
  <c r="G19" i="364"/>
  <c r="F19" i="364"/>
  <c r="I18" i="364"/>
  <c r="H18" i="364"/>
  <c r="G18" i="364"/>
  <c r="F18" i="364"/>
  <c r="I17" i="364"/>
  <c r="H17" i="364"/>
  <c r="G17" i="364"/>
  <c r="F17" i="364"/>
  <c r="I16" i="364"/>
  <c r="H16" i="364"/>
  <c r="G16" i="364"/>
  <c r="F16" i="364"/>
  <c r="I15" i="364"/>
  <c r="H15" i="364"/>
  <c r="G15" i="364"/>
  <c r="F15" i="364"/>
  <c r="I14" i="364"/>
  <c r="H14" i="364"/>
  <c r="G14" i="364"/>
  <c r="F14" i="364"/>
  <c r="I13" i="364"/>
  <c r="H13" i="364"/>
  <c r="G13" i="364"/>
  <c r="F13" i="364"/>
  <c r="I12" i="364"/>
  <c r="H12" i="364"/>
  <c r="G12" i="364"/>
  <c r="F12" i="364"/>
  <c r="I11" i="364"/>
  <c r="H11" i="364"/>
  <c r="G11" i="364"/>
  <c r="F11" i="364"/>
  <c r="I10" i="364"/>
  <c r="H10" i="364"/>
  <c r="G10" i="364"/>
  <c r="F10" i="364"/>
  <c r="I9" i="364"/>
  <c r="H9" i="364"/>
  <c r="G9" i="364"/>
  <c r="F9" i="364"/>
  <c r="I8" i="364"/>
  <c r="H8" i="364"/>
  <c r="G8" i="364"/>
  <c r="F8" i="364"/>
  <c r="I7" i="364"/>
  <c r="H7" i="364"/>
  <c r="G7" i="364"/>
  <c r="F7" i="364"/>
  <c r="I6" i="364"/>
  <c r="H6" i="364"/>
  <c r="G6" i="364"/>
  <c r="F6" i="364"/>
  <c r="I5" i="364"/>
  <c r="H5" i="364"/>
  <c r="G5" i="364"/>
  <c r="F5" i="364"/>
  <c r="I4" i="364"/>
  <c r="H4" i="364"/>
  <c r="G4" i="364"/>
  <c r="F4" i="364"/>
  <c r="I3" i="364"/>
  <c r="H3" i="364"/>
  <c r="G3" i="364"/>
  <c r="F3" i="364"/>
  <c r="I2" i="364"/>
  <c r="H2" i="364"/>
  <c r="G2" i="364"/>
  <c r="F2" i="364"/>
  <c r="G165" i="363"/>
  <c r="I165" i="363" s="1"/>
  <c r="F165" i="363"/>
  <c r="G164" i="363"/>
  <c r="I164" i="363" s="1"/>
  <c r="F164" i="363"/>
  <c r="I163" i="363"/>
  <c r="H163" i="363"/>
  <c r="G163" i="363"/>
  <c r="F163" i="363"/>
  <c r="G162" i="363"/>
  <c r="I162" i="363" s="1"/>
  <c r="F162" i="363"/>
  <c r="I161" i="363"/>
  <c r="H161" i="363"/>
  <c r="G161" i="363"/>
  <c r="F161" i="363"/>
  <c r="G160" i="363"/>
  <c r="I160" i="363" s="1"/>
  <c r="F160" i="363"/>
  <c r="I159" i="363"/>
  <c r="H159" i="363"/>
  <c r="G159" i="363"/>
  <c r="F159" i="363"/>
  <c r="G158" i="363"/>
  <c r="I158" i="363" s="1"/>
  <c r="F158" i="363"/>
  <c r="I157" i="363"/>
  <c r="H157" i="363"/>
  <c r="G157" i="363"/>
  <c r="F157" i="363"/>
  <c r="G156" i="363"/>
  <c r="I156" i="363" s="1"/>
  <c r="F156" i="363"/>
  <c r="I155" i="363"/>
  <c r="H155" i="363"/>
  <c r="G155" i="363"/>
  <c r="F155" i="363"/>
  <c r="G154" i="363"/>
  <c r="I154" i="363" s="1"/>
  <c r="F154" i="363"/>
  <c r="I153" i="363"/>
  <c r="H153" i="363"/>
  <c r="G153" i="363"/>
  <c r="F153" i="363"/>
  <c r="G152" i="363"/>
  <c r="I152" i="363" s="1"/>
  <c r="F152" i="363"/>
  <c r="I151" i="363"/>
  <c r="H151" i="363"/>
  <c r="G151" i="363"/>
  <c r="F151" i="363"/>
  <c r="G150" i="363"/>
  <c r="I150" i="363" s="1"/>
  <c r="F150" i="363"/>
  <c r="I149" i="363"/>
  <c r="H149" i="363"/>
  <c r="G149" i="363"/>
  <c r="F149" i="363"/>
  <c r="G148" i="363"/>
  <c r="I148" i="363" s="1"/>
  <c r="F148" i="363"/>
  <c r="I147" i="363"/>
  <c r="H147" i="363"/>
  <c r="G147" i="363"/>
  <c r="F147" i="363"/>
  <c r="G146" i="363"/>
  <c r="I146" i="363" s="1"/>
  <c r="F146" i="363"/>
  <c r="I145" i="363"/>
  <c r="H145" i="363"/>
  <c r="G145" i="363"/>
  <c r="F145" i="363"/>
  <c r="G144" i="363"/>
  <c r="I144" i="363" s="1"/>
  <c r="F144" i="363"/>
  <c r="I143" i="363"/>
  <c r="H143" i="363"/>
  <c r="G143" i="363"/>
  <c r="F143" i="363"/>
  <c r="G142" i="363"/>
  <c r="I142" i="363" s="1"/>
  <c r="F142" i="363"/>
  <c r="I141" i="363"/>
  <c r="H141" i="363"/>
  <c r="G141" i="363"/>
  <c r="F141" i="363"/>
  <c r="G140" i="363"/>
  <c r="I140" i="363" s="1"/>
  <c r="F140" i="363"/>
  <c r="I139" i="363"/>
  <c r="H139" i="363"/>
  <c r="G139" i="363"/>
  <c r="F139" i="363"/>
  <c r="G138" i="363"/>
  <c r="I138" i="363" s="1"/>
  <c r="F138" i="363"/>
  <c r="I137" i="363"/>
  <c r="H137" i="363"/>
  <c r="G137" i="363"/>
  <c r="F137" i="363"/>
  <c r="G136" i="363"/>
  <c r="I136" i="363" s="1"/>
  <c r="F136" i="363"/>
  <c r="I135" i="363"/>
  <c r="H135" i="363"/>
  <c r="G135" i="363"/>
  <c r="F135" i="363"/>
  <c r="G134" i="363"/>
  <c r="I134" i="363" s="1"/>
  <c r="F134" i="363"/>
  <c r="I133" i="363"/>
  <c r="H133" i="363"/>
  <c r="G133" i="363"/>
  <c r="F133" i="363"/>
  <c r="G132" i="363"/>
  <c r="I132" i="363" s="1"/>
  <c r="F132" i="363"/>
  <c r="I131" i="363"/>
  <c r="H131" i="363"/>
  <c r="G131" i="363"/>
  <c r="F131" i="363"/>
  <c r="G130" i="363"/>
  <c r="I130" i="363" s="1"/>
  <c r="F130" i="363"/>
  <c r="I129" i="363"/>
  <c r="H129" i="363"/>
  <c r="G129" i="363"/>
  <c r="F129" i="363"/>
  <c r="G128" i="363"/>
  <c r="I128" i="363" s="1"/>
  <c r="F128" i="363"/>
  <c r="I127" i="363"/>
  <c r="H127" i="363"/>
  <c r="G127" i="363"/>
  <c r="F127" i="363"/>
  <c r="G126" i="363"/>
  <c r="I126" i="363" s="1"/>
  <c r="F126" i="363"/>
  <c r="I125" i="363"/>
  <c r="H125" i="363"/>
  <c r="G125" i="363"/>
  <c r="F125" i="363"/>
  <c r="G124" i="363"/>
  <c r="I124" i="363" s="1"/>
  <c r="F124" i="363"/>
  <c r="I123" i="363"/>
  <c r="H123" i="363"/>
  <c r="G123" i="363"/>
  <c r="F123" i="363"/>
  <c r="G122" i="363"/>
  <c r="I122" i="363" s="1"/>
  <c r="F122" i="363"/>
  <c r="I121" i="363"/>
  <c r="H121" i="363"/>
  <c r="G121" i="363"/>
  <c r="F121" i="363"/>
  <c r="G120" i="363"/>
  <c r="I120" i="363" s="1"/>
  <c r="F120" i="363"/>
  <c r="I119" i="363"/>
  <c r="H119" i="363"/>
  <c r="G119" i="363"/>
  <c r="F119" i="363"/>
  <c r="G118" i="363"/>
  <c r="I118" i="363" s="1"/>
  <c r="F118" i="363"/>
  <c r="I117" i="363"/>
  <c r="H117" i="363"/>
  <c r="G117" i="363"/>
  <c r="F117" i="363"/>
  <c r="G116" i="363"/>
  <c r="I116" i="363" s="1"/>
  <c r="F116" i="363"/>
  <c r="I115" i="363"/>
  <c r="H115" i="363"/>
  <c r="G115" i="363"/>
  <c r="F115" i="363"/>
  <c r="G114" i="363"/>
  <c r="I114" i="363" s="1"/>
  <c r="F114" i="363"/>
  <c r="I113" i="363"/>
  <c r="H113" i="363"/>
  <c r="G113" i="363"/>
  <c r="F113" i="363"/>
  <c r="G112" i="363"/>
  <c r="I112" i="363" s="1"/>
  <c r="F112" i="363"/>
  <c r="I111" i="363"/>
  <c r="H111" i="363"/>
  <c r="G111" i="363"/>
  <c r="F111" i="363"/>
  <c r="G110" i="363"/>
  <c r="I110" i="363" s="1"/>
  <c r="F110" i="363"/>
  <c r="I109" i="363"/>
  <c r="H109" i="363"/>
  <c r="G109" i="363"/>
  <c r="F109" i="363"/>
  <c r="G108" i="363"/>
  <c r="I108" i="363" s="1"/>
  <c r="F108" i="363"/>
  <c r="I107" i="363"/>
  <c r="H107" i="363"/>
  <c r="G107" i="363"/>
  <c r="F107" i="363"/>
  <c r="G106" i="363"/>
  <c r="I106" i="363" s="1"/>
  <c r="F106" i="363"/>
  <c r="I105" i="363"/>
  <c r="H105" i="363"/>
  <c r="G105" i="363"/>
  <c r="F105" i="363"/>
  <c r="I104" i="363"/>
  <c r="G104" i="363"/>
  <c r="H104" i="363" s="1"/>
  <c r="F104" i="363"/>
  <c r="I103" i="363"/>
  <c r="H103" i="363"/>
  <c r="G103" i="363"/>
  <c r="F103" i="363"/>
  <c r="I102" i="363"/>
  <c r="G102" i="363"/>
  <c r="H102" i="363" s="1"/>
  <c r="F102" i="363"/>
  <c r="I101" i="363"/>
  <c r="H101" i="363"/>
  <c r="G101" i="363"/>
  <c r="F101" i="363"/>
  <c r="I100" i="363"/>
  <c r="G100" i="363"/>
  <c r="H100" i="363" s="1"/>
  <c r="F100" i="363"/>
  <c r="I99" i="363"/>
  <c r="H99" i="363"/>
  <c r="G99" i="363"/>
  <c r="F99" i="363"/>
  <c r="I98" i="363"/>
  <c r="G98" i="363"/>
  <c r="H98" i="363" s="1"/>
  <c r="F98" i="363"/>
  <c r="I97" i="363"/>
  <c r="H97" i="363"/>
  <c r="G97" i="363"/>
  <c r="F97" i="363"/>
  <c r="I96" i="363"/>
  <c r="H96" i="363"/>
  <c r="G96" i="363"/>
  <c r="F96" i="363"/>
  <c r="I95" i="363"/>
  <c r="H95" i="363"/>
  <c r="G95" i="363"/>
  <c r="F95" i="363"/>
  <c r="I94" i="363"/>
  <c r="H94" i="363"/>
  <c r="G94" i="363"/>
  <c r="F94" i="363"/>
  <c r="I93" i="363"/>
  <c r="H93" i="363"/>
  <c r="G93" i="363"/>
  <c r="F93" i="363"/>
  <c r="I92" i="363"/>
  <c r="H92" i="363"/>
  <c r="G92" i="363"/>
  <c r="F92" i="363"/>
  <c r="I91" i="363"/>
  <c r="H91" i="363"/>
  <c r="G91" i="363"/>
  <c r="F91" i="363"/>
  <c r="I90" i="363"/>
  <c r="H90" i="363"/>
  <c r="G90" i="363"/>
  <c r="F90" i="363"/>
  <c r="I89" i="363"/>
  <c r="H89" i="363"/>
  <c r="G89" i="363"/>
  <c r="F89" i="363"/>
  <c r="I88" i="363"/>
  <c r="H88" i="363"/>
  <c r="G88" i="363"/>
  <c r="F88" i="363"/>
  <c r="I87" i="363"/>
  <c r="H87" i="363"/>
  <c r="G87" i="363"/>
  <c r="F87" i="363"/>
  <c r="I86" i="363"/>
  <c r="H86" i="363"/>
  <c r="G86" i="363"/>
  <c r="F86" i="363"/>
  <c r="I85" i="363"/>
  <c r="H85" i="363"/>
  <c r="G85" i="363"/>
  <c r="F85" i="363"/>
  <c r="I84" i="363"/>
  <c r="H84" i="363"/>
  <c r="G84" i="363"/>
  <c r="F84" i="363"/>
  <c r="I83" i="363"/>
  <c r="H83" i="363"/>
  <c r="G83" i="363"/>
  <c r="F83" i="363"/>
  <c r="I82" i="363"/>
  <c r="H82" i="363"/>
  <c r="G82" i="363"/>
  <c r="F82" i="363"/>
  <c r="I81" i="363"/>
  <c r="H81" i="363"/>
  <c r="G81" i="363"/>
  <c r="F81" i="363"/>
  <c r="I80" i="363"/>
  <c r="H80" i="363"/>
  <c r="G80" i="363"/>
  <c r="F80" i="363"/>
  <c r="I79" i="363"/>
  <c r="H79" i="363"/>
  <c r="G79" i="363"/>
  <c r="F79" i="363"/>
  <c r="I78" i="363"/>
  <c r="H78" i="363"/>
  <c r="G78" i="363"/>
  <c r="F78" i="363"/>
  <c r="I77" i="363"/>
  <c r="H77" i="363"/>
  <c r="G77" i="363"/>
  <c r="F77" i="363"/>
  <c r="I76" i="363"/>
  <c r="H76" i="363"/>
  <c r="G76" i="363"/>
  <c r="F76" i="363"/>
  <c r="I75" i="363"/>
  <c r="H75" i="363"/>
  <c r="G75" i="363"/>
  <c r="F75" i="363"/>
  <c r="I74" i="363"/>
  <c r="H74" i="363"/>
  <c r="G74" i="363"/>
  <c r="F74" i="363"/>
  <c r="I73" i="363"/>
  <c r="H73" i="363"/>
  <c r="G73" i="363"/>
  <c r="F73" i="363"/>
  <c r="I72" i="363"/>
  <c r="H72" i="363"/>
  <c r="G72" i="363"/>
  <c r="F72" i="363"/>
  <c r="I71" i="363"/>
  <c r="H71" i="363"/>
  <c r="G71" i="363"/>
  <c r="F71" i="363"/>
  <c r="I70" i="363"/>
  <c r="H70" i="363"/>
  <c r="G70" i="363"/>
  <c r="F70" i="363"/>
  <c r="I69" i="363"/>
  <c r="H69" i="363"/>
  <c r="G69" i="363"/>
  <c r="F69" i="363"/>
  <c r="I68" i="363"/>
  <c r="H68" i="363"/>
  <c r="G68" i="363"/>
  <c r="F68" i="363"/>
  <c r="I67" i="363"/>
  <c r="H67" i="363"/>
  <c r="G67" i="363"/>
  <c r="F67" i="363"/>
  <c r="I66" i="363"/>
  <c r="H66" i="363"/>
  <c r="G66" i="363"/>
  <c r="F66" i="363"/>
  <c r="I65" i="363"/>
  <c r="H65" i="363"/>
  <c r="G65" i="363"/>
  <c r="F65" i="363"/>
  <c r="I64" i="363"/>
  <c r="H64" i="363"/>
  <c r="G64" i="363"/>
  <c r="F64" i="363"/>
  <c r="I63" i="363"/>
  <c r="H63" i="363"/>
  <c r="G63" i="363"/>
  <c r="F63" i="363"/>
  <c r="I62" i="363"/>
  <c r="H62" i="363"/>
  <c r="G62" i="363"/>
  <c r="F62" i="363"/>
  <c r="I61" i="363"/>
  <c r="H61" i="363"/>
  <c r="G61" i="363"/>
  <c r="F61" i="363"/>
  <c r="I60" i="363"/>
  <c r="H60" i="363"/>
  <c r="G60" i="363"/>
  <c r="F60" i="363"/>
  <c r="I59" i="363"/>
  <c r="H59" i="363"/>
  <c r="G59" i="363"/>
  <c r="F59" i="363"/>
  <c r="I58" i="363"/>
  <c r="H58" i="363"/>
  <c r="G58" i="363"/>
  <c r="F58" i="363"/>
  <c r="I57" i="363"/>
  <c r="H57" i="363"/>
  <c r="G57" i="363"/>
  <c r="F57" i="363"/>
  <c r="I56" i="363"/>
  <c r="H56" i="363"/>
  <c r="G56" i="363"/>
  <c r="F56" i="363"/>
  <c r="I55" i="363"/>
  <c r="H55" i="363"/>
  <c r="G55" i="363"/>
  <c r="F55" i="363"/>
  <c r="I54" i="363"/>
  <c r="H54" i="363"/>
  <c r="G54" i="363"/>
  <c r="F54" i="363"/>
  <c r="I53" i="363"/>
  <c r="H53" i="363"/>
  <c r="G53" i="363"/>
  <c r="F53" i="363"/>
  <c r="I52" i="363"/>
  <c r="H52" i="363"/>
  <c r="G52" i="363"/>
  <c r="F52" i="363"/>
  <c r="I51" i="363"/>
  <c r="H51" i="363"/>
  <c r="G51" i="363"/>
  <c r="F51" i="363"/>
  <c r="I50" i="363"/>
  <c r="H50" i="363"/>
  <c r="G50" i="363"/>
  <c r="F50" i="363"/>
  <c r="I49" i="363"/>
  <c r="H49" i="363"/>
  <c r="G49" i="363"/>
  <c r="F49" i="363"/>
  <c r="I48" i="363"/>
  <c r="H48" i="363"/>
  <c r="G48" i="363"/>
  <c r="F48" i="363"/>
  <c r="I47" i="363"/>
  <c r="H47" i="363"/>
  <c r="G47" i="363"/>
  <c r="F47" i="363"/>
  <c r="I46" i="363"/>
  <c r="H46" i="363"/>
  <c r="G46" i="363"/>
  <c r="F46" i="363"/>
  <c r="I45" i="363"/>
  <c r="H45" i="363"/>
  <c r="G45" i="363"/>
  <c r="F45" i="363"/>
  <c r="I44" i="363"/>
  <c r="H44" i="363"/>
  <c r="G44" i="363"/>
  <c r="F44" i="363"/>
  <c r="I43" i="363"/>
  <c r="H43" i="363"/>
  <c r="G43" i="363"/>
  <c r="F43" i="363"/>
  <c r="I42" i="363"/>
  <c r="H42" i="363"/>
  <c r="G42" i="363"/>
  <c r="F42" i="363"/>
  <c r="I41" i="363"/>
  <c r="H41" i="363"/>
  <c r="G41" i="363"/>
  <c r="F41" i="363"/>
  <c r="I40" i="363"/>
  <c r="H40" i="363"/>
  <c r="G40" i="363"/>
  <c r="F40" i="363"/>
  <c r="I39" i="363"/>
  <c r="H39" i="363"/>
  <c r="G39" i="363"/>
  <c r="F39" i="363"/>
  <c r="I38" i="363"/>
  <c r="H38" i="363"/>
  <c r="G38" i="363"/>
  <c r="F38" i="363"/>
  <c r="I37" i="363"/>
  <c r="H37" i="363"/>
  <c r="G37" i="363"/>
  <c r="F37" i="363"/>
  <c r="I36" i="363"/>
  <c r="H36" i="363"/>
  <c r="G36" i="363"/>
  <c r="F36" i="363"/>
  <c r="I35" i="363"/>
  <c r="H35" i="363"/>
  <c r="G35" i="363"/>
  <c r="F35" i="363"/>
  <c r="I34" i="363"/>
  <c r="H34" i="363"/>
  <c r="G34" i="363"/>
  <c r="F34" i="363"/>
  <c r="I33" i="363"/>
  <c r="H33" i="363"/>
  <c r="G33" i="363"/>
  <c r="F33" i="363"/>
  <c r="I32" i="363"/>
  <c r="H32" i="363"/>
  <c r="G32" i="363"/>
  <c r="F32" i="363"/>
  <c r="I31" i="363"/>
  <c r="H31" i="363"/>
  <c r="G31" i="363"/>
  <c r="F31" i="363"/>
  <c r="I30" i="363"/>
  <c r="H30" i="363"/>
  <c r="G30" i="363"/>
  <c r="F30" i="363"/>
  <c r="I29" i="363"/>
  <c r="H29" i="363"/>
  <c r="G29" i="363"/>
  <c r="F29" i="363"/>
  <c r="I28" i="363"/>
  <c r="H28" i="363"/>
  <c r="G28" i="363"/>
  <c r="F28" i="363"/>
  <c r="I27" i="363"/>
  <c r="H27" i="363"/>
  <c r="G27" i="363"/>
  <c r="F27" i="363"/>
  <c r="I26" i="363"/>
  <c r="H26" i="363"/>
  <c r="G26" i="363"/>
  <c r="F26" i="363"/>
  <c r="I25" i="363"/>
  <c r="H25" i="363"/>
  <c r="G25" i="363"/>
  <c r="F25" i="363"/>
  <c r="I24" i="363"/>
  <c r="H24" i="363"/>
  <c r="G24" i="363"/>
  <c r="F24" i="363"/>
  <c r="I23" i="363"/>
  <c r="H23" i="363"/>
  <c r="G23" i="363"/>
  <c r="F23" i="363"/>
  <c r="I22" i="363"/>
  <c r="H22" i="363"/>
  <c r="G22" i="363"/>
  <c r="F22" i="363"/>
  <c r="I21" i="363"/>
  <c r="H21" i="363"/>
  <c r="G21" i="363"/>
  <c r="F21" i="363"/>
  <c r="I20" i="363"/>
  <c r="H20" i="363"/>
  <c r="G20" i="363"/>
  <c r="F20" i="363"/>
  <c r="I19" i="363"/>
  <c r="H19" i="363"/>
  <c r="G19" i="363"/>
  <c r="F19" i="363"/>
  <c r="I18" i="363"/>
  <c r="H18" i="363"/>
  <c r="G18" i="363"/>
  <c r="F18" i="363"/>
  <c r="I17" i="363"/>
  <c r="H17" i="363"/>
  <c r="G17" i="363"/>
  <c r="F17" i="363"/>
  <c r="I16" i="363"/>
  <c r="H16" i="363"/>
  <c r="G16" i="363"/>
  <c r="F16" i="363"/>
  <c r="I15" i="363"/>
  <c r="H15" i="363"/>
  <c r="G15" i="363"/>
  <c r="F15" i="363"/>
  <c r="I14" i="363"/>
  <c r="H14" i="363"/>
  <c r="G14" i="363"/>
  <c r="F14" i="363"/>
  <c r="I13" i="363"/>
  <c r="H13" i="363"/>
  <c r="G13" i="363"/>
  <c r="F13" i="363"/>
  <c r="I12" i="363"/>
  <c r="H12" i="363"/>
  <c r="G12" i="363"/>
  <c r="F12" i="363"/>
  <c r="I11" i="363"/>
  <c r="H11" i="363"/>
  <c r="G11" i="363"/>
  <c r="F11" i="363"/>
  <c r="I10" i="363"/>
  <c r="H10" i="363"/>
  <c r="G10" i="363"/>
  <c r="F10" i="363"/>
  <c r="I9" i="363"/>
  <c r="H9" i="363"/>
  <c r="G9" i="363"/>
  <c r="F9" i="363"/>
  <c r="I8" i="363"/>
  <c r="H8" i="363"/>
  <c r="G8" i="363"/>
  <c r="F8" i="363"/>
  <c r="I7" i="363"/>
  <c r="H7" i="363"/>
  <c r="G7" i="363"/>
  <c r="F7" i="363"/>
  <c r="I6" i="363"/>
  <c r="H6" i="363"/>
  <c r="G6" i="363"/>
  <c r="F6" i="363"/>
  <c r="I5" i="363"/>
  <c r="H5" i="363"/>
  <c r="G5" i="363"/>
  <c r="F5" i="363"/>
  <c r="I4" i="363"/>
  <c r="H4" i="363"/>
  <c r="G4" i="363"/>
  <c r="F4" i="363"/>
  <c r="I3" i="363"/>
  <c r="H3" i="363"/>
  <c r="G3" i="363"/>
  <c r="F3" i="363"/>
  <c r="I2" i="363"/>
  <c r="H2" i="363"/>
  <c r="G2" i="363"/>
  <c r="F2" i="363"/>
  <c r="G2" i="355"/>
  <c r="G3" i="355"/>
  <c r="G4" i="355"/>
  <c r="G5" i="355"/>
  <c r="I5" i="355" s="1"/>
  <c r="G6" i="355"/>
  <c r="G7" i="355"/>
  <c r="G8" i="355"/>
  <c r="G9" i="355"/>
  <c r="I9" i="355" s="1"/>
  <c r="G10" i="355"/>
  <c r="G11" i="355"/>
  <c r="G12" i="355"/>
  <c r="G13" i="355"/>
  <c r="I13" i="355" s="1"/>
  <c r="G14" i="355"/>
  <c r="G15" i="355"/>
  <c r="G16" i="355"/>
  <c r="G17" i="355"/>
  <c r="I17" i="355" s="1"/>
  <c r="G18" i="355"/>
  <c r="G19" i="355"/>
  <c r="G20" i="355"/>
  <c r="G21" i="355"/>
  <c r="I21" i="355" s="1"/>
  <c r="G22" i="355"/>
  <c r="G23" i="355"/>
  <c r="G24" i="355"/>
  <c r="G25" i="355"/>
  <c r="I25" i="355" s="1"/>
  <c r="G26" i="355"/>
  <c r="G27" i="355"/>
  <c r="G28" i="355"/>
  <c r="G29" i="355"/>
  <c r="I29" i="355" s="1"/>
  <c r="G30" i="355"/>
  <c r="G31" i="355"/>
  <c r="G32" i="355"/>
  <c r="G33" i="355"/>
  <c r="I33" i="355" s="1"/>
  <c r="G34" i="355"/>
  <c r="G35" i="355"/>
  <c r="G36" i="355"/>
  <c r="G37" i="355"/>
  <c r="I37" i="355" s="1"/>
  <c r="G38" i="355"/>
  <c r="G39" i="355"/>
  <c r="G40" i="355"/>
  <c r="G41" i="355"/>
  <c r="I41" i="355" s="1"/>
  <c r="G42" i="355"/>
  <c r="G43" i="355"/>
  <c r="G44" i="355"/>
  <c r="G45" i="355"/>
  <c r="I45" i="355" s="1"/>
  <c r="G46" i="355"/>
  <c r="G47" i="355"/>
  <c r="G48" i="355"/>
  <c r="G49" i="355"/>
  <c r="I49" i="355" s="1"/>
  <c r="G50" i="355"/>
  <c r="G51" i="355"/>
  <c r="G52" i="355"/>
  <c r="G53" i="355"/>
  <c r="I53" i="355" s="1"/>
  <c r="G54" i="355"/>
  <c r="G55" i="355"/>
  <c r="G56" i="355"/>
  <c r="G57" i="355"/>
  <c r="I57" i="355" s="1"/>
  <c r="G58" i="355"/>
  <c r="G59" i="355"/>
  <c r="G60" i="355"/>
  <c r="G61" i="355"/>
  <c r="I61" i="355" s="1"/>
  <c r="G62" i="355"/>
  <c r="G63" i="355"/>
  <c r="G64" i="355"/>
  <c r="G65" i="355"/>
  <c r="I65" i="355" s="1"/>
  <c r="G66" i="355"/>
  <c r="G67" i="355"/>
  <c r="G68" i="355"/>
  <c r="G69" i="355"/>
  <c r="I69" i="355" s="1"/>
  <c r="G70" i="355"/>
  <c r="G71" i="355"/>
  <c r="G72" i="355"/>
  <c r="G73" i="355"/>
  <c r="I73" i="355" s="1"/>
  <c r="G74" i="355"/>
  <c r="G75" i="355"/>
  <c r="G76" i="355"/>
  <c r="G77" i="355"/>
  <c r="I77" i="355" s="1"/>
  <c r="G78" i="355"/>
  <c r="G79" i="355"/>
  <c r="G80" i="355"/>
  <c r="G81" i="355"/>
  <c r="I81" i="355" s="1"/>
  <c r="G82" i="355"/>
  <c r="G83" i="355"/>
  <c r="G84" i="355"/>
  <c r="G85" i="355"/>
  <c r="I85" i="355" s="1"/>
  <c r="G86" i="355"/>
  <c r="G87" i="355"/>
  <c r="G88" i="355"/>
  <c r="G89" i="355"/>
  <c r="I89" i="355" s="1"/>
  <c r="G90" i="355"/>
  <c r="G91" i="355"/>
  <c r="G92" i="355"/>
  <c r="G93" i="355"/>
  <c r="I93" i="355" s="1"/>
  <c r="G94" i="355"/>
  <c r="G95" i="355"/>
  <c r="G96" i="355"/>
  <c r="G97" i="355"/>
  <c r="I97" i="355" s="1"/>
  <c r="G98" i="355"/>
  <c r="G99" i="355"/>
  <c r="G100" i="355"/>
  <c r="G101" i="355"/>
  <c r="I101" i="355" s="1"/>
  <c r="G102" i="355"/>
  <c r="G103" i="355"/>
  <c r="G104" i="355"/>
  <c r="G105" i="355"/>
  <c r="I105" i="355" s="1"/>
  <c r="G106" i="355"/>
  <c r="G107" i="355"/>
  <c r="G108" i="355"/>
  <c r="G109" i="355"/>
  <c r="I109" i="355" s="1"/>
  <c r="G110" i="355"/>
  <c r="G111" i="355"/>
  <c r="G112" i="355"/>
  <c r="G113" i="355"/>
  <c r="I113" i="355" s="1"/>
  <c r="G114" i="355"/>
  <c r="G115" i="355"/>
  <c r="G116" i="355"/>
  <c r="G117" i="355"/>
  <c r="I117" i="355" s="1"/>
  <c r="G118" i="355"/>
  <c r="G119" i="355"/>
  <c r="G120" i="355"/>
  <c r="G121" i="355"/>
  <c r="I121" i="355" s="1"/>
  <c r="G122" i="355"/>
  <c r="G123" i="355"/>
  <c r="G124" i="355"/>
  <c r="G125" i="355"/>
  <c r="I125" i="355" s="1"/>
  <c r="G126" i="355"/>
  <c r="G127" i="355"/>
  <c r="G128" i="355"/>
  <c r="G129" i="355"/>
  <c r="I129" i="355" s="1"/>
  <c r="G130" i="355"/>
  <c r="G131" i="355"/>
  <c r="G132" i="355"/>
  <c r="G133" i="355"/>
  <c r="I133" i="355" s="1"/>
  <c r="G134" i="355"/>
  <c r="G135" i="355"/>
  <c r="G136" i="355"/>
  <c r="G137" i="355"/>
  <c r="I137" i="355" s="1"/>
  <c r="G138" i="355"/>
  <c r="G139" i="355"/>
  <c r="G140" i="355"/>
  <c r="G141" i="355"/>
  <c r="I141" i="355" s="1"/>
  <c r="G142" i="355"/>
  <c r="G143" i="355"/>
  <c r="G144" i="355"/>
  <c r="G145" i="355"/>
  <c r="I145" i="355" s="1"/>
  <c r="G146" i="355"/>
  <c r="G147" i="355"/>
  <c r="G148" i="355"/>
  <c r="G149" i="355"/>
  <c r="I149" i="355" s="1"/>
  <c r="G150" i="355"/>
  <c r="G151" i="355"/>
  <c r="G152" i="355"/>
  <c r="G153" i="355"/>
  <c r="I153" i="355" s="1"/>
  <c r="G154" i="355"/>
  <c r="G155" i="355"/>
  <c r="G156" i="355"/>
  <c r="G157" i="355"/>
  <c r="I157" i="355" s="1"/>
  <c r="G158" i="355"/>
  <c r="G159" i="355"/>
  <c r="G160" i="355"/>
  <c r="G161" i="355"/>
  <c r="I161" i="355" s="1"/>
  <c r="G162" i="355"/>
  <c r="G163" i="355"/>
  <c r="G164" i="355"/>
  <c r="G165" i="355"/>
  <c r="I165" i="355" s="1"/>
  <c r="I164" i="355"/>
  <c r="H164" i="355"/>
  <c r="I163" i="355"/>
  <c r="H163" i="355"/>
  <c r="I162" i="355"/>
  <c r="H162" i="355"/>
  <c r="I160" i="355"/>
  <c r="H160" i="355"/>
  <c r="I159" i="355"/>
  <c r="H159" i="355"/>
  <c r="I158" i="355"/>
  <c r="H158" i="355"/>
  <c r="H157" i="355"/>
  <c r="I156" i="355"/>
  <c r="H156" i="355"/>
  <c r="I155" i="355"/>
  <c r="H155" i="355"/>
  <c r="I154" i="355"/>
  <c r="H154" i="355"/>
  <c r="I152" i="355"/>
  <c r="H152" i="355"/>
  <c r="I151" i="355"/>
  <c r="H151" i="355"/>
  <c r="I150" i="355"/>
  <c r="H150" i="355"/>
  <c r="I148" i="355"/>
  <c r="H148" i="355"/>
  <c r="I147" i="355"/>
  <c r="H147" i="355"/>
  <c r="I146" i="355"/>
  <c r="H146" i="355"/>
  <c r="I144" i="355"/>
  <c r="H144" i="355"/>
  <c r="I143" i="355"/>
  <c r="H143" i="355"/>
  <c r="I142" i="355"/>
  <c r="H142" i="355"/>
  <c r="I140" i="355"/>
  <c r="H140" i="355"/>
  <c r="I139" i="355"/>
  <c r="H139" i="355"/>
  <c r="I138" i="355"/>
  <c r="H138" i="355"/>
  <c r="I136" i="355"/>
  <c r="H136" i="355"/>
  <c r="I135" i="355"/>
  <c r="H135" i="355"/>
  <c r="I134" i="355"/>
  <c r="H134" i="355"/>
  <c r="I132" i="355"/>
  <c r="H132" i="355"/>
  <c r="I131" i="355"/>
  <c r="H131" i="355"/>
  <c r="I130" i="355"/>
  <c r="H130" i="355"/>
  <c r="I128" i="355"/>
  <c r="H128" i="355"/>
  <c r="I127" i="355"/>
  <c r="H127" i="355"/>
  <c r="I126" i="355"/>
  <c r="H126" i="355"/>
  <c r="H125" i="355"/>
  <c r="I124" i="355"/>
  <c r="H124" i="355"/>
  <c r="I123" i="355"/>
  <c r="H123" i="355"/>
  <c r="I122" i="355"/>
  <c r="H122" i="355"/>
  <c r="I120" i="355"/>
  <c r="H120" i="355"/>
  <c r="I119" i="355"/>
  <c r="H119" i="355"/>
  <c r="I118" i="355"/>
  <c r="H118" i="355"/>
  <c r="I116" i="355"/>
  <c r="H116" i="355"/>
  <c r="I115" i="355"/>
  <c r="H115" i="355"/>
  <c r="I114" i="355"/>
  <c r="H114" i="355"/>
  <c r="I112" i="355"/>
  <c r="H112" i="355"/>
  <c r="I111" i="355"/>
  <c r="H111" i="355"/>
  <c r="I110" i="355"/>
  <c r="H110" i="355"/>
  <c r="I108" i="355"/>
  <c r="H108" i="355"/>
  <c r="I107" i="355"/>
  <c r="H107" i="355"/>
  <c r="I106" i="355"/>
  <c r="H106" i="355"/>
  <c r="I104" i="355"/>
  <c r="H104" i="355"/>
  <c r="I103" i="355"/>
  <c r="H103" i="355"/>
  <c r="I102" i="355"/>
  <c r="H102" i="355"/>
  <c r="I100" i="355"/>
  <c r="H100" i="355"/>
  <c r="I99" i="355"/>
  <c r="H99" i="355"/>
  <c r="I98" i="355"/>
  <c r="H98" i="355"/>
  <c r="I96" i="355"/>
  <c r="H96" i="355"/>
  <c r="I95" i="355"/>
  <c r="H95" i="355"/>
  <c r="I94" i="355"/>
  <c r="H94" i="355"/>
  <c r="H93" i="355"/>
  <c r="I92" i="355"/>
  <c r="H92" i="355"/>
  <c r="I91" i="355"/>
  <c r="H91" i="355"/>
  <c r="I90" i="355"/>
  <c r="H90" i="355"/>
  <c r="I88" i="355"/>
  <c r="H88" i="355"/>
  <c r="I87" i="355"/>
  <c r="H87" i="355"/>
  <c r="I86" i="355"/>
  <c r="H86" i="355"/>
  <c r="I84" i="355"/>
  <c r="H84" i="355"/>
  <c r="I83" i="355"/>
  <c r="H83" i="355"/>
  <c r="I82" i="355"/>
  <c r="H82" i="355"/>
  <c r="I80" i="355"/>
  <c r="H80" i="355"/>
  <c r="I79" i="355"/>
  <c r="H79" i="355"/>
  <c r="I78" i="355"/>
  <c r="H78" i="355"/>
  <c r="I76" i="355"/>
  <c r="H76" i="355"/>
  <c r="I75" i="355"/>
  <c r="H75" i="355"/>
  <c r="I74" i="355"/>
  <c r="H74" i="355"/>
  <c r="I72" i="355"/>
  <c r="H72" i="355"/>
  <c r="I71" i="355"/>
  <c r="H71" i="355"/>
  <c r="I70" i="355"/>
  <c r="H70" i="355"/>
  <c r="I68" i="355"/>
  <c r="H68" i="355"/>
  <c r="I67" i="355"/>
  <c r="H67" i="355"/>
  <c r="I66" i="355"/>
  <c r="H66" i="355"/>
  <c r="I64" i="355"/>
  <c r="H64" i="355"/>
  <c r="I63" i="355"/>
  <c r="H63" i="355"/>
  <c r="I62" i="355"/>
  <c r="H62" i="355"/>
  <c r="H61" i="355"/>
  <c r="I60" i="355"/>
  <c r="H60" i="355"/>
  <c r="I59" i="355"/>
  <c r="H59" i="355"/>
  <c r="I58" i="355"/>
  <c r="H58" i="355"/>
  <c r="I56" i="355"/>
  <c r="H56" i="355"/>
  <c r="I55" i="355"/>
  <c r="H55" i="355"/>
  <c r="I54" i="355"/>
  <c r="H54" i="355"/>
  <c r="I52" i="355"/>
  <c r="H52" i="355"/>
  <c r="I51" i="355"/>
  <c r="H51" i="355"/>
  <c r="I50" i="355"/>
  <c r="H50" i="355"/>
  <c r="I48" i="355"/>
  <c r="H48" i="355"/>
  <c r="I47" i="355"/>
  <c r="H47" i="355"/>
  <c r="I46" i="355"/>
  <c r="H46" i="355"/>
  <c r="I44" i="355"/>
  <c r="H44" i="355"/>
  <c r="I43" i="355"/>
  <c r="H43" i="355"/>
  <c r="I42" i="355"/>
  <c r="H42" i="355"/>
  <c r="I40" i="355"/>
  <c r="H40" i="355"/>
  <c r="I39" i="355"/>
  <c r="H39" i="355"/>
  <c r="I38" i="355"/>
  <c r="H38" i="355"/>
  <c r="I36" i="355"/>
  <c r="H36" i="355"/>
  <c r="I35" i="355"/>
  <c r="H35" i="355"/>
  <c r="I34" i="355"/>
  <c r="H34" i="355"/>
  <c r="I32" i="355"/>
  <c r="H32" i="355"/>
  <c r="I31" i="355"/>
  <c r="H31" i="355"/>
  <c r="I30" i="355"/>
  <c r="H30" i="355"/>
  <c r="H29" i="355"/>
  <c r="I28" i="355"/>
  <c r="H28" i="355"/>
  <c r="I27" i="355"/>
  <c r="H27" i="355"/>
  <c r="I26" i="355"/>
  <c r="H26" i="355"/>
  <c r="I24" i="355"/>
  <c r="H24" i="355"/>
  <c r="I23" i="355"/>
  <c r="H23" i="355"/>
  <c r="I22" i="355"/>
  <c r="H22" i="355"/>
  <c r="I20" i="355"/>
  <c r="H20" i="355"/>
  <c r="I19" i="355"/>
  <c r="H19" i="355"/>
  <c r="I18" i="355"/>
  <c r="H18" i="355"/>
  <c r="I16" i="355"/>
  <c r="H16" i="355"/>
  <c r="I15" i="355"/>
  <c r="H15" i="355"/>
  <c r="I14" i="355"/>
  <c r="H14" i="355"/>
  <c r="H13" i="355"/>
  <c r="I12" i="355"/>
  <c r="H12" i="355"/>
  <c r="I11" i="355"/>
  <c r="H11" i="355"/>
  <c r="I10" i="355"/>
  <c r="H10" i="355"/>
  <c r="I8" i="355"/>
  <c r="H8" i="355"/>
  <c r="I7" i="355"/>
  <c r="H7" i="355"/>
  <c r="I6" i="355"/>
  <c r="H6" i="355"/>
  <c r="I4" i="355"/>
  <c r="H4" i="355"/>
  <c r="I3" i="355"/>
  <c r="H3" i="355"/>
  <c r="I2" i="355"/>
  <c r="H2" i="355"/>
  <c r="G165" i="366"/>
  <c r="I165" i="366" s="1"/>
  <c r="H164" i="366"/>
  <c r="G164" i="366"/>
  <c r="I164" i="366" s="1"/>
  <c r="G163" i="366"/>
  <c r="I163" i="366" s="1"/>
  <c r="H162" i="366"/>
  <c r="G162" i="366"/>
  <c r="I162" i="366" s="1"/>
  <c r="G161" i="366"/>
  <c r="I161" i="366" s="1"/>
  <c r="H160" i="366"/>
  <c r="G160" i="366"/>
  <c r="I160" i="366" s="1"/>
  <c r="G159" i="366"/>
  <c r="I159" i="366" s="1"/>
  <c r="H158" i="366"/>
  <c r="G158" i="366"/>
  <c r="I158" i="366" s="1"/>
  <c r="G157" i="366"/>
  <c r="I157" i="366" s="1"/>
  <c r="H156" i="366"/>
  <c r="G156" i="366"/>
  <c r="I156" i="366" s="1"/>
  <c r="G155" i="366"/>
  <c r="I155" i="366" s="1"/>
  <c r="H154" i="366"/>
  <c r="G154" i="366"/>
  <c r="I154" i="366" s="1"/>
  <c r="G153" i="366"/>
  <c r="I153" i="366" s="1"/>
  <c r="H152" i="366"/>
  <c r="G152" i="366"/>
  <c r="I152" i="366" s="1"/>
  <c r="G151" i="366"/>
  <c r="I151" i="366" s="1"/>
  <c r="H150" i="366"/>
  <c r="G150" i="366"/>
  <c r="I150" i="366" s="1"/>
  <c r="G149" i="366"/>
  <c r="I149" i="366" s="1"/>
  <c r="H148" i="366"/>
  <c r="G148" i="366"/>
  <c r="I148" i="366" s="1"/>
  <c r="G147" i="366"/>
  <c r="I147" i="366" s="1"/>
  <c r="I146" i="366"/>
  <c r="H146" i="366"/>
  <c r="G146" i="366"/>
  <c r="G145" i="366"/>
  <c r="I145" i="366" s="1"/>
  <c r="I144" i="366"/>
  <c r="H144" i="366"/>
  <c r="G144" i="366"/>
  <c r="G143" i="366"/>
  <c r="I143" i="366" s="1"/>
  <c r="I142" i="366"/>
  <c r="H142" i="366"/>
  <c r="G142" i="366"/>
  <c r="G141" i="366"/>
  <c r="I141" i="366" s="1"/>
  <c r="I140" i="366"/>
  <c r="H140" i="366"/>
  <c r="G140" i="366"/>
  <c r="G139" i="366"/>
  <c r="I139" i="366" s="1"/>
  <c r="I138" i="366"/>
  <c r="H138" i="366"/>
  <c r="G138" i="366"/>
  <c r="G137" i="366"/>
  <c r="I137" i="366" s="1"/>
  <c r="I136" i="366"/>
  <c r="H136" i="366"/>
  <c r="G136" i="366"/>
  <c r="G135" i="366"/>
  <c r="I135" i="366" s="1"/>
  <c r="I134" i="366"/>
  <c r="H134" i="366"/>
  <c r="G134" i="366"/>
  <c r="G133" i="366"/>
  <c r="I133" i="366" s="1"/>
  <c r="I132" i="366"/>
  <c r="H132" i="366"/>
  <c r="G132" i="366"/>
  <c r="G131" i="366"/>
  <c r="I131" i="366" s="1"/>
  <c r="I130" i="366"/>
  <c r="H130" i="366"/>
  <c r="G130" i="366"/>
  <c r="G129" i="366"/>
  <c r="I129" i="366" s="1"/>
  <c r="I128" i="366"/>
  <c r="H128" i="366"/>
  <c r="G128" i="366"/>
  <c r="G127" i="366"/>
  <c r="I127" i="366" s="1"/>
  <c r="I126" i="366"/>
  <c r="H126" i="366"/>
  <c r="G126" i="366"/>
  <c r="G125" i="366"/>
  <c r="I125" i="366" s="1"/>
  <c r="I124" i="366"/>
  <c r="H124" i="366"/>
  <c r="G124" i="366"/>
  <c r="G123" i="366"/>
  <c r="I123" i="366" s="1"/>
  <c r="I122" i="366"/>
  <c r="H122" i="366"/>
  <c r="G122" i="366"/>
  <c r="G121" i="366"/>
  <c r="I121" i="366" s="1"/>
  <c r="I120" i="366"/>
  <c r="H120" i="366"/>
  <c r="G120" i="366"/>
  <c r="G119" i="366"/>
  <c r="I119" i="366" s="1"/>
  <c r="I118" i="366"/>
  <c r="H118" i="366"/>
  <c r="G118" i="366"/>
  <c r="G117" i="366"/>
  <c r="I117" i="366" s="1"/>
  <c r="I116" i="366"/>
  <c r="H116" i="366"/>
  <c r="G116" i="366"/>
  <c r="G115" i="366"/>
  <c r="I115" i="366" s="1"/>
  <c r="I114" i="366"/>
  <c r="H114" i="366"/>
  <c r="G114" i="366"/>
  <c r="G113" i="366"/>
  <c r="I113" i="366" s="1"/>
  <c r="I112" i="366"/>
  <c r="H112" i="366"/>
  <c r="G112" i="366"/>
  <c r="G111" i="366"/>
  <c r="I111" i="366" s="1"/>
  <c r="I110" i="366"/>
  <c r="H110" i="366"/>
  <c r="G110" i="366"/>
  <c r="G109" i="366"/>
  <c r="I109" i="366" s="1"/>
  <c r="I108" i="366"/>
  <c r="H108" i="366"/>
  <c r="G108" i="366"/>
  <c r="G107" i="366"/>
  <c r="I107" i="366" s="1"/>
  <c r="I106" i="366"/>
  <c r="H106" i="366"/>
  <c r="G106" i="366"/>
  <c r="G105" i="366"/>
  <c r="I105" i="366" s="1"/>
  <c r="I104" i="366"/>
  <c r="H104" i="366"/>
  <c r="G104" i="366"/>
  <c r="G103" i="366"/>
  <c r="I103" i="366" s="1"/>
  <c r="I102" i="366"/>
  <c r="H102" i="366"/>
  <c r="G102" i="366"/>
  <c r="G101" i="366"/>
  <c r="I101" i="366" s="1"/>
  <c r="I100" i="366"/>
  <c r="H100" i="366"/>
  <c r="G100" i="366"/>
  <c r="G99" i="366"/>
  <c r="I99" i="366" s="1"/>
  <c r="I98" i="366"/>
  <c r="H98" i="366"/>
  <c r="G98" i="366"/>
  <c r="G97" i="366"/>
  <c r="I97" i="366" s="1"/>
  <c r="I96" i="366"/>
  <c r="H96" i="366"/>
  <c r="G96" i="366"/>
  <c r="G95" i="366"/>
  <c r="I95" i="366" s="1"/>
  <c r="I94" i="366"/>
  <c r="H94" i="366"/>
  <c r="G94" i="366"/>
  <c r="G93" i="366"/>
  <c r="I93" i="366" s="1"/>
  <c r="I92" i="366"/>
  <c r="H92" i="366"/>
  <c r="G92" i="366"/>
  <c r="G91" i="366"/>
  <c r="I91" i="366" s="1"/>
  <c r="I90" i="366"/>
  <c r="H90" i="366"/>
  <c r="G90" i="366"/>
  <c r="G89" i="366"/>
  <c r="I89" i="366" s="1"/>
  <c r="I88" i="366"/>
  <c r="H88" i="366"/>
  <c r="G88" i="366"/>
  <c r="G87" i="366"/>
  <c r="I87" i="366" s="1"/>
  <c r="I86" i="366"/>
  <c r="H86" i="366"/>
  <c r="G86" i="366"/>
  <c r="G85" i="366"/>
  <c r="I85" i="366" s="1"/>
  <c r="I84" i="366"/>
  <c r="H84" i="366"/>
  <c r="G84" i="366"/>
  <c r="G83" i="366"/>
  <c r="I83" i="366" s="1"/>
  <c r="I82" i="366"/>
  <c r="H82" i="366"/>
  <c r="G82" i="366"/>
  <c r="G81" i="366"/>
  <c r="I81" i="366" s="1"/>
  <c r="I80" i="366"/>
  <c r="H80" i="366"/>
  <c r="G80" i="366"/>
  <c r="G79" i="366"/>
  <c r="I79" i="366" s="1"/>
  <c r="I78" i="366"/>
  <c r="H78" i="366"/>
  <c r="G78" i="366"/>
  <c r="G77" i="366"/>
  <c r="I77" i="366" s="1"/>
  <c r="I76" i="366"/>
  <c r="H76" i="366"/>
  <c r="G76" i="366"/>
  <c r="G75" i="366"/>
  <c r="I75" i="366" s="1"/>
  <c r="I74" i="366"/>
  <c r="H74" i="366"/>
  <c r="G74" i="366"/>
  <c r="G73" i="366"/>
  <c r="I73" i="366" s="1"/>
  <c r="I72" i="366"/>
  <c r="H72" i="366"/>
  <c r="G72" i="366"/>
  <c r="G71" i="366"/>
  <c r="I71" i="366" s="1"/>
  <c r="I70" i="366"/>
  <c r="H70" i="366"/>
  <c r="G70" i="366"/>
  <c r="G69" i="366"/>
  <c r="I69" i="366" s="1"/>
  <c r="I68" i="366"/>
  <c r="H68" i="366"/>
  <c r="G68" i="366"/>
  <c r="G67" i="366"/>
  <c r="I67" i="366" s="1"/>
  <c r="I66" i="366"/>
  <c r="H66" i="366"/>
  <c r="G66" i="366"/>
  <c r="G65" i="366"/>
  <c r="I65" i="366" s="1"/>
  <c r="I64" i="366"/>
  <c r="H64" i="366"/>
  <c r="G64" i="366"/>
  <c r="G63" i="366"/>
  <c r="I63" i="366" s="1"/>
  <c r="I62" i="366"/>
  <c r="H62" i="366"/>
  <c r="G62" i="366"/>
  <c r="G61" i="366"/>
  <c r="I61" i="366" s="1"/>
  <c r="I60" i="366"/>
  <c r="H60" i="366"/>
  <c r="G60" i="366"/>
  <c r="G59" i="366"/>
  <c r="I59" i="366" s="1"/>
  <c r="I58" i="366"/>
  <c r="H58" i="366"/>
  <c r="G58" i="366"/>
  <c r="G57" i="366"/>
  <c r="I57" i="366" s="1"/>
  <c r="I56" i="366"/>
  <c r="H56" i="366"/>
  <c r="G56" i="366"/>
  <c r="G55" i="366"/>
  <c r="I55" i="366" s="1"/>
  <c r="I54" i="366"/>
  <c r="H54" i="366"/>
  <c r="G54" i="366"/>
  <c r="G53" i="366"/>
  <c r="I53" i="366" s="1"/>
  <c r="I52" i="366"/>
  <c r="H52" i="366"/>
  <c r="G52" i="366"/>
  <c r="G51" i="366"/>
  <c r="I51" i="366" s="1"/>
  <c r="I50" i="366"/>
  <c r="H50" i="366"/>
  <c r="G50" i="366"/>
  <c r="G49" i="366"/>
  <c r="I49" i="366" s="1"/>
  <c r="I48" i="366"/>
  <c r="H48" i="366"/>
  <c r="G48" i="366"/>
  <c r="G47" i="366"/>
  <c r="I47" i="366" s="1"/>
  <c r="I46" i="366"/>
  <c r="H46" i="366"/>
  <c r="G46" i="366"/>
  <c r="G45" i="366"/>
  <c r="I45" i="366" s="1"/>
  <c r="I44" i="366"/>
  <c r="H44" i="366"/>
  <c r="G44" i="366"/>
  <c r="G43" i="366"/>
  <c r="I43" i="366" s="1"/>
  <c r="I42" i="366"/>
  <c r="H42" i="366"/>
  <c r="G42" i="366"/>
  <c r="G41" i="366"/>
  <c r="I41" i="366" s="1"/>
  <c r="I40" i="366"/>
  <c r="H40" i="366"/>
  <c r="G40" i="366"/>
  <c r="G39" i="366"/>
  <c r="I39" i="366" s="1"/>
  <c r="I38" i="366"/>
  <c r="H38" i="366"/>
  <c r="G38" i="366"/>
  <c r="G37" i="366"/>
  <c r="I37" i="366" s="1"/>
  <c r="I36" i="366"/>
  <c r="H36" i="366"/>
  <c r="G36" i="366"/>
  <c r="G35" i="366"/>
  <c r="I35" i="366" s="1"/>
  <c r="I34" i="366"/>
  <c r="H34" i="366"/>
  <c r="G34" i="366"/>
  <c r="G33" i="366"/>
  <c r="I33" i="366" s="1"/>
  <c r="I32" i="366"/>
  <c r="H32" i="366"/>
  <c r="G32" i="366"/>
  <c r="G31" i="366"/>
  <c r="I31" i="366" s="1"/>
  <c r="I30" i="366"/>
  <c r="H30" i="366"/>
  <c r="G30" i="366"/>
  <c r="G29" i="366"/>
  <c r="I29" i="366" s="1"/>
  <c r="I28" i="366"/>
  <c r="H28" i="366"/>
  <c r="G28" i="366"/>
  <c r="G27" i="366"/>
  <c r="I27" i="366" s="1"/>
  <c r="I26" i="366"/>
  <c r="H26" i="366"/>
  <c r="G26" i="366"/>
  <c r="G25" i="366"/>
  <c r="I25" i="366" s="1"/>
  <c r="I24" i="366"/>
  <c r="H24" i="366"/>
  <c r="G24" i="366"/>
  <c r="G23" i="366"/>
  <c r="I23" i="366" s="1"/>
  <c r="I22" i="366"/>
  <c r="H22" i="366"/>
  <c r="G22" i="366"/>
  <c r="G21" i="366"/>
  <c r="I21" i="366" s="1"/>
  <c r="I20" i="366"/>
  <c r="H20" i="366"/>
  <c r="G20" i="366"/>
  <c r="G19" i="366"/>
  <c r="I19" i="366" s="1"/>
  <c r="I18" i="366"/>
  <c r="H18" i="366"/>
  <c r="G18" i="366"/>
  <c r="G17" i="366"/>
  <c r="I17" i="366" s="1"/>
  <c r="I16" i="366"/>
  <c r="H16" i="366"/>
  <c r="G16" i="366"/>
  <c r="G15" i="366"/>
  <c r="I15" i="366" s="1"/>
  <c r="I14" i="366"/>
  <c r="H14" i="366"/>
  <c r="G14" i="366"/>
  <c r="G13" i="366"/>
  <c r="I13" i="366" s="1"/>
  <c r="I12" i="366"/>
  <c r="H12" i="366"/>
  <c r="G12" i="366"/>
  <c r="G11" i="366"/>
  <c r="I11" i="366" s="1"/>
  <c r="I10" i="366"/>
  <c r="H10" i="366"/>
  <c r="G10" i="366"/>
  <c r="G9" i="366"/>
  <c r="I9" i="366" s="1"/>
  <c r="I8" i="366"/>
  <c r="H8" i="366"/>
  <c r="G8" i="366"/>
  <c r="G7" i="366"/>
  <c r="I7" i="366" s="1"/>
  <c r="I6" i="366"/>
  <c r="H6" i="366"/>
  <c r="G6" i="366"/>
  <c r="G5" i="366"/>
  <c r="I5" i="366" s="1"/>
  <c r="I4" i="366"/>
  <c r="H4" i="366"/>
  <c r="G4" i="366"/>
  <c r="G3" i="366"/>
  <c r="I3" i="366" s="1"/>
  <c r="I2" i="366"/>
  <c r="H2" i="366"/>
  <c r="G2" i="366"/>
  <c r="I165" i="349"/>
  <c r="H165" i="349"/>
  <c r="G165" i="349"/>
  <c r="H164" i="349"/>
  <c r="G164" i="349"/>
  <c r="I164" i="349" s="1"/>
  <c r="I163" i="349"/>
  <c r="H163" i="349"/>
  <c r="G163" i="349"/>
  <c r="I162" i="349"/>
  <c r="H162" i="349"/>
  <c r="G162" i="349"/>
  <c r="I161" i="349"/>
  <c r="H161" i="349"/>
  <c r="G161" i="349"/>
  <c r="I160" i="349"/>
  <c r="H160" i="349"/>
  <c r="G160" i="349"/>
  <c r="I159" i="349"/>
  <c r="H159" i="349"/>
  <c r="G159" i="349"/>
  <c r="I158" i="349"/>
  <c r="H158" i="349"/>
  <c r="G158" i="349"/>
  <c r="I157" i="349"/>
  <c r="H157" i="349"/>
  <c r="G157" i="349"/>
  <c r="I156" i="349"/>
  <c r="H156" i="349"/>
  <c r="G156" i="349"/>
  <c r="I155" i="349"/>
  <c r="H155" i="349"/>
  <c r="G155" i="349"/>
  <c r="I154" i="349"/>
  <c r="H154" i="349"/>
  <c r="G154" i="349"/>
  <c r="I153" i="349"/>
  <c r="H153" i="349"/>
  <c r="G153" i="349"/>
  <c r="I152" i="349"/>
  <c r="H152" i="349"/>
  <c r="G152" i="349"/>
  <c r="I151" i="349"/>
  <c r="H151" i="349"/>
  <c r="G151" i="349"/>
  <c r="I150" i="349"/>
  <c r="H150" i="349"/>
  <c r="G150" i="349"/>
  <c r="I149" i="349"/>
  <c r="H149" i="349"/>
  <c r="G149" i="349"/>
  <c r="I148" i="349"/>
  <c r="H148" i="349"/>
  <c r="G148" i="349"/>
  <c r="I147" i="349"/>
  <c r="H147" i="349"/>
  <c r="G147" i="349"/>
  <c r="I146" i="349"/>
  <c r="H146" i="349"/>
  <c r="G146" i="349"/>
  <c r="I145" i="349"/>
  <c r="H145" i="349"/>
  <c r="G145" i="349"/>
  <c r="I144" i="349"/>
  <c r="H144" i="349"/>
  <c r="G144" i="349"/>
  <c r="I143" i="349"/>
  <c r="H143" i="349"/>
  <c r="G143" i="349"/>
  <c r="I142" i="349"/>
  <c r="H142" i="349"/>
  <c r="G142" i="349"/>
  <c r="I141" i="349"/>
  <c r="H141" i="349"/>
  <c r="G141" i="349"/>
  <c r="I140" i="349"/>
  <c r="H140" i="349"/>
  <c r="G140" i="349"/>
  <c r="I139" i="349"/>
  <c r="H139" i="349"/>
  <c r="G139" i="349"/>
  <c r="I138" i="349"/>
  <c r="H138" i="349"/>
  <c r="G138" i="349"/>
  <c r="I137" i="349"/>
  <c r="H137" i="349"/>
  <c r="G137" i="349"/>
  <c r="I136" i="349"/>
  <c r="H136" i="349"/>
  <c r="G136" i="349"/>
  <c r="I135" i="349"/>
  <c r="H135" i="349"/>
  <c r="G135" i="349"/>
  <c r="I134" i="349"/>
  <c r="H134" i="349"/>
  <c r="G134" i="349"/>
  <c r="I133" i="349"/>
  <c r="H133" i="349"/>
  <c r="G133" i="349"/>
  <c r="I132" i="349"/>
  <c r="H132" i="349"/>
  <c r="G132" i="349"/>
  <c r="I131" i="349"/>
  <c r="H131" i="349"/>
  <c r="G131" i="349"/>
  <c r="I130" i="349"/>
  <c r="H130" i="349"/>
  <c r="G130" i="349"/>
  <c r="I129" i="349"/>
  <c r="H129" i="349"/>
  <c r="G129" i="349"/>
  <c r="I128" i="349"/>
  <c r="H128" i="349"/>
  <c r="G128" i="349"/>
  <c r="I127" i="349"/>
  <c r="H127" i="349"/>
  <c r="G127" i="349"/>
  <c r="I126" i="349"/>
  <c r="H126" i="349"/>
  <c r="G126" i="349"/>
  <c r="I125" i="349"/>
  <c r="H125" i="349"/>
  <c r="G125" i="349"/>
  <c r="I124" i="349"/>
  <c r="H124" i="349"/>
  <c r="G124" i="349"/>
  <c r="I123" i="349"/>
  <c r="H123" i="349"/>
  <c r="G123" i="349"/>
  <c r="I122" i="349"/>
  <c r="H122" i="349"/>
  <c r="G122" i="349"/>
  <c r="I121" i="349"/>
  <c r="H121" i="349"/>
  <c r="G121" i="349"/>
  <c r="I120" i="349"/>
  <c r="H120" i="349"/>
  <c r="G120" i="349"/>
  <c r="I119" i="349"/>
  <c r="H119" i="349"/>
  <c r="G119" i="349"/>
  <c r="I118" i="349"/>
  <c r="H118" i="349"/>
  <c r="G118" i="349"/>
  <c r="I117" i="349"/>
  <c r="H117" i="349"/>
  <c r="G117" i="349"/>
  <c r="I116" i="349"/>
  <c r="H116" i="349"/>
  <c r="G116" i="349"/>
  <c r="I115" i="349"/>
  <c r="H115" i="349"/>
  <c r="G115" i="349"/>
  <c r="I114" i="349"/>
  <c r="H114" i="349"/>
  <c r="G114" i="349"/>
  <c r="I113" i="349"/>
  <c r="H113" i="349"/>
  <c r="G113" i="349"/>
  <c r="I112" i="349"/>
  <c r="H112" i="349"/>
  <c r="G112" i="349"/>
  <c r="I111" i="349"/>
  <c r="H111" i="349"/>
  <c r="G111" i="349"/>
  <c r="I110" i="349"/>
  <c r="H110" i="349"/>
  <c r="G110" i="349"/>
  <c r="I109" i="349"/>
  <c r="H109" i="349"/>
  <c r="G109" i="349"/>
  <c r="I108" i="349"/>
  <c r="H108" i="349"/>
  <c r="G108" i="349"/>
  <c r="I107" i="349"/>
  <c r="H107" i="349"/>
  <c r="G107" i="349"/>
  <c r="I106" i="349"/>
  <c r="H106" i="349"/>
  <c r="G106" i="349"/>
  <c r="I105" i="349"/>
  <c r="H105" i="349"/>
  <c r="G105" i="349"/>
  <c r="I104" i="349"/>
  <c r="H104" i="349"/>
  <c r="G104" i="349"/>
  <c r="I103" i="349"/>
  <c r="H103" i="349"/>
  <c r="G103" i="349"/>
  <c r="I102" i="349"/>
  <c r="H102" i="349"/>
  <c r="G102" i="349"/>
  <c r="I101" i="349"/>
  <c r="H101" i="349"/>
  <c r="G101" i="349"/>
  <c r="I100" i="349"/>
  <c r="H100" i="349"/>
  <c r="G100" i="349"/>
  <c r="I99" i="349"/>
  <c r="H99" i="349"/>
  <c r="G99" i="349"/>
  <c r="I98" i="349"/>
  <c r="H98" i="349"/>
  <c r="G98" i="349"/>
  <c r="I97" i="349"/>
  <c r="H97" i="349"/>
  <c r="G97" i="349"/>
  <c r="I96" i="349"/>
  <c r="H96" i="349"/>
  <c r="G96" i="349"/>
  <c r="I95" i="349"/>
  <c r="H95" i="349"/>
  <c r="G95" i="349"/>
  <c r="I94" i="349"/>
  <c r="H94" i="349"/>
  <c r="G94" i="349"/>
  <c r="I93" i="349"/>
  <c r="H93" i="349"/>
  <c r="G93" i="349"/>
  <c r="I92" i="349"/>
  <c r="H92" i="349"/>
  <c r="G92" i="349"/>
  <c r="I91" i="349"/>
  <c r="H91" i="349"/>
  <c r="G91" i="349"/>
  <c r="I90" i="349"/>
  <c r="H90" i="349"/>
  <c r="G90" i="349"/>
  <c r="I89" i="349"/>
  <c r="H89" i="349"/>
  <c r="G89" i="349"/>
  <c r="I88" i="349"/>
  <c r="H88" i="349"/>
  <c r="G88" i="349"/>
  <c r="I87" i="349"/>
  <c r="H87" i="349"/>
  <c r="G87" i="349"/>
  <c r="I86" i="349"/>
  <c r="H86" i="349"/>
  <c r="G86" i="349"/>
  <c r="I85" i="349"/>
  <c r="H85" i="349"/>
  <c r="G85" i="349"/>
  <c r="I84" i="349"/>
  <c r="H84" i="349"/>
  <c r="G84" i="349"/>
  <c r="I83" i="349"/>
  <c r="H83" i="349"/>
  <c r="G83" i="349"/>
  <c r="I82" i="349"/>
  <c r="H82" i="349"/>
  <c r="G82" i="349"/>
  <c r="I81" i="349"/>
  <c r="H81" i="349"/>
  <c r="G81" i="349"/>
  <c r="I80" i="349"/>
  <c r="H80" i="349"/>
  <c r="G80" i="349"/>
  <c r="I79" i="349"/>
  <c r="H79" i="349"/>
  <c r="G79" i="349"/>
  <c r="I78" i="349"/>
  <c r="H78" i="349"/>
  <c r="G78" i="349"/>
  <c r="I77" i="349"/>
  <c r="H77" i="349"/>
  <c r="G77" i="349"/>
  <c r="I76" i="349"/>
  <c r="H76" i="349"/>
  <c r="G76" i="349"/>
  <c r="I75" i="349"/>
  <c r="H75" i="349"/>
  <c r="G75" i="349"/>
  <c r="I74" i="349"/>
  <c r="H74" i="349"/>
  <c r="G74" i="349"/>
  <c r="I73" i="349"/>
  <c r="H73" i="349"/>
  <c r="G73" i="349"/>
  <c r="I72" i="349"/>
  <c r="H72" i="349"/>
  <c r="G72" i="349"/>
  <c r="I71" i="349"/>
  <c r="H71" i="349"/>
  <c r="G71" i="349"/>
  <c r="I70" i="349"/>
  <c r="H70" i="349"/>
  <c r="G70" i="349"/>
  <c r="I69" i="349"/>
  <c r="H69" i="349"/>
  <c r="G69" i="349"/>
  <c r="I68" i="349"/>
  <c r="H68" i="349"/>
  <c r="G68" i="349"/>
  <c r="I67" i="349"/>
  <c r="H67" i="349"/>
  <c r="G67" i="349"/>
  <c r="I66" i="349"/>
  <c r="H66" i="349"/>
  <c r="G66" i="349"/>
  <c r="I65" i="349"/>
  <c r="H65" i="349"/>
  <c r="G65" i="349"/>
  <c r="I64" i="349"/>
  <c r="H64" i="349"/>
  <c r="G64" i="349"/>
  <c r="I63" i="349"/>
  <c r="H63" i="349"/>
  <c r="G63" i="349"/>
  <c r="I62" i="349"/>
  <c r="H62" i="349"/>
  <c r="G62" i="349"/>
  <c r="I61" i="349"/>
  <c r="H61" i="349"/>
  <c r="G61" i="349"/>
  <c r="I60" i="349"/>
  <c r="H60" i="349"/>
  <c r="G60" i="349"/>
  <c r="I59" i="349"/>
  <c r="H59" i="349"/>
  <c r="G59" i="349"/>
  <c r="I58" i="349"/>
  <c r="H58" i="349"/>
  <c r="G58" i="349"/>
  <c r="I57" i="349"/>
  <c r="H57" i="349"/>
  <c r="G57" i="349"/>
  <c r="I56" i="349"/>
  <c r="H56" i="349"/>
  <c r="G56" i="349"/>
  <c r="I55" i="349"/>
  <c r="H55" i="349"/>
  <c r="G55" i="349"/>
  <c r="I54" i="349"/>
  <c r="H54" i="349"/>
  <c r="G54" i="349"/>
  <c r="I53" i="349"/>
  <c r="H53" i="349"/>
  <c r="G53" i="349"/>
  <c r="I52" i="349"/>
  <c r="H52" i="349"/>
  <c r="G52" i="349"/>
  <c r="I51" i="349"/>
  <c r="H51" i="349"/>
  <c r="G51" i="349"/>
  <c r="I50" i="349"/>
  <c r="H50" i="349"/>
  <c r="G50" i="349"/>
  <c r="I49" i="349"/>
  <c r="H49" i="349"/>
  <c r="G49" i="349"/>
  <c r="I48" i="349"/>
  <c r="H48" i="349"/>
  <c r="G48" i="349"/>
  <c r="I47" i="349"/>
  <c r="H47" i="349"/>
  <c r="G47" i="349"/>
  <c r="I46" i="349"/>
  <c r="H46" i="349"/>
  <c r="G46" i="349"/>
  <c r="I45" i="349"/>
  <c r="H45" i="349"/>
  <c r="G45" i="349"/>
  <c r="I44" i="349"/>
  <c r="H44" i="349"/>
  <c r="G44" i="349"/>
  <c r="I43" i="349"/>
  <c r="H43" i="349"/>
  <c r="G43" i="349"/>
  <c r="I42" i="349"/>
  <c r="H42" i="349"/>
  <c r="G42" i="349"/>
  <c r="I41" i="349"/>
  <c r="H41" i="349"/>
  <c r="G41" i="349"/>
  <c r="I40" i="349"/>
  <c r="H40" i="349"/>
  <c r="G40" i="349"/>
  <c r="I39" i="349"/>
  <c r="H39" i="349"/>
  <c r="G39" i="349"/>
  <c r="I38" i="349"/>
  <c r="H38" i="349"/>
  <c r="G38" i="349"/>
  <c r="I37" i="349"/>
  <c r="H37" i="349"/>
  <c r="G37" i="349"/>
  <c r="I36" i="349"/>
  <c r="H36" i="349"/>
  <c r="G36" i="349"/>
  <c r="I35" i="349"/>
  <c r="H35" i="349"/>
  <c r="G35" i="349"/>
  <c r="I34" i="349"/>
  <c r="H34" i="349"/>
  <c r="G34" i="349"/>
  <c r="I33" i="349"/>
  <c r="H33" i="349"/>
  <c r="G33" i="349"/>
  <c r="I32" i="349"/>
  <c r="H32" i="349"/>
  <c r="G32" i="349"/>
  <c r="I31" i="349"/>
  <c r="H31" i="349"/>
  <c r="G31" i="349"/>
  <c r="I30" i="349"/>
  <c r="H30" i="349"/>
  <c r="G30" i="349"/>
  <c r="I29" i="349"/>
  <c r="H29" i="349"/>
  <c r="G29" i="349"/>
  <c r="I28" i="349"/>
  <c r="H28" i="349"/>
  <c r="G28" i="349"/>
  <c r="I27" i="349"/>
  <c r="H27" i="349"/>
  <c r="G27" i="349"/>
  <c r="I26" i="349"/>
  <c r="H26" i="349"/>
  <c r="G26" i="349"/>
  <c r="I25" i="349"/>
  <c r="H25" i="349"/>
  <c r="G25" i="349"/>
  <c r="I24" i="349"/>
  <c r="H24" i="349"/>
  <c r="G24" i="349"/>
  <c r="I23" i="349"/>
  <c r="H23" i="349"/>
  <c r="G23" i="349"/>
  <c r="I22" i="349"/>
  <c r="H22" i="349"/>
  <c r="G22" i="349"/>
  <c r="I21" i="349"/>
  <c r="H21" i="349"/>
  <c r="G21" i="349"/>
  <c r="I20" i="349"/>
  <c r="H20" i="349"/>
  <c r="G20" i="349"/>
  <c r="I19" i="349"/>
  <c r="H19" i="349"/>
  <c r="G19" i="349"/>
  <c r="I18" i="349"/>
  <c r="H18" i="349"/>
  <c r="G18" i="349"/>
  <c r="I17" i="349"/>
  <c r="H17" i="349"/>
  <c r="G17" i="349"/>
  <c r="I16" i="349"/>
  <c r="H16" i="349"/>
  <c r="G16" i="349"/>
  <c r="I15" i="349"/>
  <c r="H15" i="349"/>
  <c r="G15" i="349"/>
  <c r="I14" i="349"/>
  <c r="H14" i="349"/>
  <c r="G14" i="349"/>
  <c r="I13" i="349"/>
  <c r="H13" i="349"/>
  <c r="G13" i="349"/>
  <c r="I12" i="349"/>
  <c r="H12" i="349"/>
  <c r="G12" i="349"/>
  <c r="I11" i="349"/>
  <c r="H11" i="349"/>
  <c r="G11" i="349"/>
  <c r="I10" i="349"/>
  <c r="H10" i="349"/>
  <c r="G10" i="349"/>
  <c r="I9" i="349"/>
  <c r="H9" i="349"/>
  <c r="G9" i="349"/>
  <c r="I8" i="349"/>
  <c r="H8" i="349"/>
  <c r="G8" i="349"/>
  <c r="I7" i="349"/>
  <c r="H7" i="349"/>
  <c r="G7" i="349"/>
  <c r="I6" i="349"/>
  <c r="H6" i="349"/>
  <c r="G6" i="349"/>
  <c r="I5" i="349"/>
  <c r="H5" i="349"/>
  <c r="G5" i="349"/>
  <c r="I4" i="349"/>
  <c r="H4" i="349"/>
  <c r="G4" i="349"/>
  <c r="I3" i="349"/>
  <c r="H3" i="349"/>
  <c r="G3" i="349"/>
  <c r="I2" i="349"/>
  <c r="H2" i="349"/>
  <c r="G2" i="349"/>
  <c r="G2" i="352"/>
  <c r="G3" i="352"/>
  <c r="G4" i="352"/>
  <c r="G5" i="352"/>
  <c r="G6" i="352"/>
  <c r="G7" i="352"/>
  <c r="G8" i="352"/>
  <c r="G9" i="352"/>
  <c r="G10" i="352"/>
  <c r="G11" i="352"/>
  <c r="G12" i="352"/>
  <c r="G13" i="352"/>
  <c r="G14" i="352"/>
  <c r="G15" i="352"/>
  <c r="G16" i="352"/>
  <c r="G17" i="352"/>
  <c r="G18" i="352"/>
  <c r="G19" i="352"/>
  <c r="G20" i="352"/>
  <c r="G21" i="352"/>
  <c r="G22" i="352"/>
  <c r="G23" i="352"/>
  <c r="G24" i="352"/>
  <c r="G25" i="352"/>
  <c r="G26" i="352"/>
  <c r="G27" i="352"/>
  <c r="G28" i="352"/>
  <c r="G29" i="352"/>
  <c r="G30" i="352"/>
  <c r="G31" i="352"/>
  <c r="G32" i="352"/>
  <c r="G33" i="352"/>
  <c r="G34" i="352"/>
  <c r="G35" i="352"/>
  <c r="G36" i="352"/>
  <c r="G37" i="352"/>
  <c r="G38" i="352"/>
  <c r="G39" i="352"/>
  <c r="G40" i="352"/>
  <c r="G41" i="352"/>
  <c r="G42" i="352"/>
  <c r="G43" i="352"/>
  <c r="G44" i="352"/>
  <c r="G45" i="352"/>
  <c r="G46" i="352"/>
  <c r="G47" i="352"/>
  <c r="G48" i="352"/>
  <c r="G49" i="352"/>
  <c r="G50" i="352"/>
  <c r="G51" i="352"/>
  <c r="G52" i="352"/>
  <c r="G53" i="352"/>
  <c r="G54" i="352"/>
  <c r="G55" i="352"/>
  <c r="G56" i="352"/>
  <c r="G57" i="352"/>
  <c r="G58" i="352"/>
  <c r="G59" i="352"/>
  <c r="G60" i="352"/>
  <c r="G61" i="352"/>
  <c r="G62" i="352"/>
  <c r="G63" i="352"/>
  <c r="G64" i="352"/>
  <c r="G65" i="352"/>
  <c r="G66" i="352"/>
  <c r="G67" i="352"/>
  <c r="G68" i="352"/>
  <c r="G69" i="352"/>
  <c r="G70" i="352"/>
  <c r="G71" i="352"/>
  <c r="G72" i="352"/>
  <c r="G73" i="352"/>
  <c r="G74" i="352"/>
  <c r="G75" i="352"/>
  <c r="G76" i="352"/>
  <c r="G77" i="352"/>
  <c r="G78" i="352"/>
  <c r="G79" i="352"/>
  <c r="G80" i="352"/>
  <c r="G81" i="352"/>
  <c r="G82" i="352"/>
  <c r="G83" i="352"/>
  <c r="G84" i="352"/>
  <c r="G85" i="352"/>
  <c r="G86" i="352"/>
  <c r="G87" i="352"/>
  <c r="G88" i="352"/>
  <c r="G89" i="352"/>
  <c r="I89" i="352" s="1"/>
  <c r="G90" i="352"/>
  <c r="G91" i="352"/>
  <c r="G92" i="352"/>
  <c r="G93" i="352"/>
  <c r="G94" i="352"/>
  <c r="G95" i="352"/>
  <c r="I95" i="352" s="1"/>
  <c r="G96" i="352"/>
  <c r="G97" i="352"/>
  <c r="I97" i="352" s="1"/>
  <c r="G98" i="352"/>
  <c r="G99" i="352"/>
  <c r="G100" i="352"/>
  <c r="G101" i="352"/>
  <c r="G102" i="352"/>
  <c r="G103" i="352"/>
  <c r="G104" i="352"/>
  <c r="G105" i="352"/>
  <c r="H105" i="352" s="1"/>
  <c r="G106" i="352"/>
  <c r="G107" i="352"/>
  <c r="G108" i="352"/>
  <c r="G109" i="352"/>
  <c r="G110" i="352"/>
  <c r="G111" i="352"/>
  <c r="G112" i="352"/>
  <c r="G113" i="352"/>
  <c r="H113" i="352" s="1"/>
  <c r="G114" i="352"/>
  <c r="G115" i="352"/>
  <c r="G116" i="352"/>
  <c r="G117" i="352"/>
  <c r="G118" i="352"/>
  <c r="G119" i="352"/>
  <c r="G120" i="352"/>
  <c r="G121" i="352"/>
  <c r="I121" i="352" s="1"/>
  <c r="G122" i="352"/>
  <c r="G123" i="352"/>
  <c r="G124" i="352"/>
  <c r="G125" i="352"/>
  <c r="G126" i="352"/>
  <c r="G127" i="352"/>
  <c r="I127" i="352" s="1"/>
  <c r="G128" i="352"/>
  <c r="G129" i="352"/>
  <c r="H129" i="352" s="1"/>
  <c r="G130" i="352"/>
  <c r="G131" i="352"/>
  <c r="G132" i="352"/>
  <c r="G133" i="352"/>
  <c r="G134" i="352"/>
  <c r="G135" i="352"/>
  <c r="G136" i="352"/>
  <c r="G137" i="352"/>
  <c r="H137" i="352" s="1"/>
  <c r="G138" i="352"/>
  <c r="G139" i="352"/>
  <c r="G140" i="352"/>
  <c r="G141" i="352"/>
  <c r="G142" i="352"/>
  <c r="G143" i="352"/>
  <c r="G144" i="352"/>
  <c r="G145" i="352"/>
  <c r="H145" i="352" s="1"/>
  <c r="G146" i="352"/>
  <c r="G147" i="352"/>
  <c r="G148" i="352"/>
  <c r="G149" i="352"/>
  <c r="G150" i="352"/>
  <c r="G151" i="352"/>
  <c r="G152" i="352"/>
  <c r="G153" i="352"/>
  <c r="H153" i="352" s="1"/>
  <c r="G154" i="352"/>
  <c r="G155" i="352"/>
  <c r="G156" i="352"/>
  <c r="G157" i="352"/>
  <c r="G158" i="352"/>
  <c r="G159" i="352"/>
  <c r="I159" i="352" s="1"/>
  <c r="G160" i="352"/>
  <c r="G161" i="352"/>
  <c r="I161" i="352" s="1"/>
  <c r="G162" i="352"/>
  <c r="G163" i="352"/>
  <c r="G164" i="352"/>
  <c r="G165" i="352"/>
  <c r="F88" i="352"/>
  <c r="F89" i="352"/>
  <c r="F90" i="352"/>
  <c r="F91" i="352"/>
  <c r="F92" i="352"/>
  <c r="F93" i="352"/>
  <c r="F94" i="352"/>
  <c r="F95" i="352"/>
  <c r="F96" i="352"/>
  <c r="F97" i="352"/>
  <c r="F98" i="352"/>
  <c r="F99" i="352"/>
  <c r="F100" i="352"/>
  <c r="F101" i="352"/>
  <c r="F102" i="352"/>
  <c r="F103" i="352"/>
  <c r="F104" i="352"/>
  <c r="F105" i="352"/>
  <c r="F106" i="352"/>
  <c r="F107" i="352"/>
  <c r="F108" i="352"/>
  <c r="F109" i="352"/>
  <c r="F110" i="352"/>
  <c r="F111" i="352"/>
  <c r="F112" i="352"/>
  <c r="F113" i="352"/>
  <c r="F114" i="352"/>
  <c r="F115" i="352"/>
  <c r="F116" i="352"/>
  <c r="F117" i="352"/>
  <c r="F118" i="352"/>
  <c r="F119" i="352"/>
  <c r="F120" i="352"/>
  <c r="F121" i="352"/>
  <c r="F122" i="352"/>
  <c r="F123" i="352"/>
  <c r="F124" i="352"/>
  <c r="F125" i="352"/>
  <c r="F126" i="352"/>
  <c r="F127" i="352"/>
  <c r="F128" i="352"/>
  <c r="F129" i="352"/>
  <c r="F130" i="352"/>
  <c r="F131" i="352"/>
  <c r="F132" i="352"/>
  <c r="F133" i="352"/>
  <c r="F134" i="352"/>
  <c r="F135" i="352"/>
  <c r="F136" i="352"/>
  <c r="F137" i="352"/>
  <c r="F138" i="352"/>
  <c r="F139" i="352"/>
  <c r="F140" i="352"/>
  <c r="F141" i="352"/>
  <c r="F142" i="352"/>
  <c r="F143" i="352"/>
  <c r="F144" i="352"/>
  <c r="F145" i="352"/>
  <c r="F146" i="352"/>
  <c r="F147" i="352"/>
  <c r="F148" i="352"/>
  <c r="F149" i="352"/>
  <c r="F150" i="352"/>
  <c r="F151" i="352"/>
  <c r="F152" i="352"/>
  <c r="F153" i="352"/>
  <c r="F154" i="352"/>
  <c r="F155" i="352"/>
  <c r="F156" i="352"/>
  <c r="F157" i="352"/>
  <c r="F158" i="352"/>
  <c r="F159" i="352"/>
  <c r="F160" i="352"/>
  <c r="F161" i="352"/>
  <c r="F162" i="352"/>
  <c r="F163" i="352"/>
  <c r="F164" i="352"/>
  <c r="F165" i="352"/>
  <c r="H93" i="352"/>
  <c r="H101" i="352"/>
  <c r="I103" i="352"/>
  <c r="H109" i="352"/>
  <c r="I111" i="352"/>
  <c r="H117" i="352"/>
  <c r="I119" i="352"/>
  <c r="H125" i="352"/>
  <c r="H133" i="352"/>
  <c r="I135" i="352"/>
  <c r="H141" i="352"/>
  <c r="I143" i="352"/>
  <c r="H149" i="352"/>
  <c r="I151" i="352"/>
  <c r="H157" i="352"/>
  <c r="H165" i="352"/>
  <c r="H88" i="352"/>
  <c r="H90" i="352"/>
  <c r="H91" i="352"/>
  <c r="H92" i="352"/>
  <c r="H94" i="352"/>
  <c r="H96" i="352"/>
  <c r="H98" i="352"/>
  <c r="H99" i="352"/>
  <c r="H100" i="352"/>
  <c r="H102" i="352"/>
  <c r="H104" i="352"/>
  <c r="H106" i="352"/>
  <c r="H107" i="352"/>
  <c r="H108" i="352"/>
  <c r="H110" i="352"/>
  <c r="H112" i="352"/>
  <c r="H114" i="352"/>
  <c r="H115" i="352"/>
  <c r="H116" i="352"/>
  <c r="H118" i="352"/>
  <c r="H120" i="352"/>
  <c r="H122" i="352"/>
  <c r="H123" i="352"/>
  <c r="H124" i="352"/>
  <c r="H126" i="352"/>
  <c r="H128" i="352"/>
  <c r="H130" i="352"/>
  <c r="H131" i="352"/>
  <c r="H132" i="352"/>
  <c r="H134" i="352"/>
  <c r="H136" i="352"/>
  <c r="H138" i="352"/>
  <c r="H139" i="352"/>
  <c r="H140" i="352"/>
  <c r="H142" i="352"/>
  <c r="H144" i="352"/>
  <c r="H146" i="352"/>
  <c r="H147" i="352"/>
  <c r="H148" i="352"/>
  <c r="H150" i="352"/>
  <c r="H152" i="352"/>
  <c r="H154" i="352"/>
  <c r="H155" i="352"/>
  <c r="H156" i="352"/>
  <c r="H158" i="352"/>
  <c r="H160" i="352"/>
  <c r="H162" i="352"/>
  <c r="H163" i="352"/>
  <c r="H164" i="352"/>
  <c r="I88" i="352"/>
  <c r="I90" i="352"/>
  <c r="I91" i="352"/>
  <c r="I92" i="352"/>
  <c r="I93" i="352"/>
  <c r="I94" i="352"/>
  <c r="I96" i="352"/>
  <c r="I98" i="352"/>
  <c r="I99" i="352"/>
  <c r="I100" i="352"/>
  <c r="I101" i="352"/>
  <c r="I102" i="352"/>
  <c r="I104" i="352"/>
  <c r="I105" i="352"/>
  <c r="I106" i="352"/>
  <c r="I107" i="352"/>
  <c r="I108" i="352"/>
  <c r="I109" i="352"/>
  <c r="I110" i="352"/>
  <c r="I112" i="352"/>
  <c r="I114" i="352"/>
  <c r="I115" i="352"/>
  <c r="I116" i="352"/>
  <c r="I117" i="352"/>
  <c r="I118" i="352"/>
  <c r="I120" i="352"/>
  <c r="I122" i="352"/>
  <c r="I123" i="352"/>
  <c r="I124" i="352"/>
  <c r="I125" i="352"/>
  <c r="I126" i="352"/>
  <c r="I128" i="352"/>
  <c r="I130" i="352"/>
  <c r="I131" i="352"/>
  <c r="I132" i="352"/>
  <c r="I133" i="352"/>
  <c r="I134" i="352"/>
  <c r="I136" i="352"/>
  <c r="I138" i="352"/>
  <c r="I139" i="352"/>
  <c r="I140" i="352"/>
  <c r="I141" i="352"/>
  <c r="I142" i="352"/>
  <c r="I144" i="352"/>
  <c r="I145" i="352"/>
  <c r="I146" i="352"/>
  <c r="I147" i="352"/>
  <c r="I148" i="352"/>
  <c r="I149" i="352"/>
  <c r="I150" i="352"/>
  <c r="I152" i="352"/>
  <c r="I153" i="352"/>
  <c r="I154" i="352"/>
  <c r="I155" i="352"/>
  <c r="I156" i="352"/>
  <c r="I157" i="352"/>
  <c r="I158" i="352"/>
  <c r="I160" i="352"/>
  <c r="I162" i="352"/>
  <c r="I163" i="352"/>
  <c r="I164" i="352"/>
  <c r="I165" i="352"/>
  <c r="F2" i="352"/>
  <c r="F3" i="352"/>
  <c r="F4" i="352"/>
  <c r="F5" i="352"/>
  <c r="F6" i="352"/>
  <c r="F7" i="352"/>
  <c r="F8" i="352"/>
  <c r="F9" i="352"/>
  <c r="F10" i="352"/>
  <c r="F11" i="352"/>
  <c r="F12" i="352"/>
  <c r="F13" i="352"/>
  <c r="F14" i="352"/>
  <c r="F15" i="352"/>
  <c r="F16" i="352"/>
  <c r="F17" i="352"/>
  <c r="F18" i="352"/>
  <c r="F19" i="352"/>
  <c r="F20" i="352"/>
  <c r="F21" i="352"/>
  <c r="F22" i="352"/>
  <c r="F23" i="352"/>
  <c r="F24" i="352"/>
  <c r="F25" i="352"/>
  <c r="F26" i="352"/>
  <c r="F27" i="352"/>
  <c r="F28" i="352"/>
  <c r="F29" i="352"/>
  <c r="F30" i="352"/>
  <c r="F31" i="352"/>
  <c r="F32" i="352"/>
  <c r="F33" i="352"/>
  <c r="F34" i="352"/>
  <c r="F35" i="352"/>
  <c r="F36" i="352"/>
  <c r="F37" i="352"/>
  <c r="F38" i="352"/>
  <c r="F39" i="352"/>
  <c r="F40" i="352"/>
  <c r="F41" i="352"/>
  <c r="F42" i="352"/>
  <c r="F43" i="352"/>
  <c r="F44" i="352"/>
  <c r="F45" i="352"/>
  <c r="F46" i="352"/>
  <c r="F47" i="352"/>
  <c r="F48" i="352"/>
  <c r="F49" i="352"/>
  <c r="F50" i="352"/>
  <c r="F51" i="352"/>
  <c r="F52" i="352"/>
  <c r="F53" i="352"/>
  <c r="F54" i="352"/>
  <c r="F55" i="352"/>
  <c r="F56" i="352"/>
  <c r="F57" i="352"/>
  <c r="F58" i="352"/>
  <c r="F59" i="352"/>
  <c r="F60" i="352"/>
  <c r="F61" i="352"/>
  <c r="F62" i="352"/>
  <c r="F63" i="352"/>
  <c r="F64" i="352"/>
  <c r="F65" i="352"/>
  <c r="F66" i="352"/>
  <c r="F67" i="352"/>
  <c r="F68" i="352"/>
  <c r="F69" i="352"/>
  <c r="F70" i="352"/>
  <c r="F71" i="352"/>
  <c r="F72" i="352"/>
  <c r="F73" i="352"/>
  <c r="F74" i="352"/>
  <c r="F75" i="352"/>
  <c r="F76" i="352"/>
  <c r="F77" i="352"/>
  <c r="F78" i="352"/>
  <c r="F79" i="352"/>
  <c r="F80" i="352"/>
  <c r="F81" i="352"/>
  <c r="F82" i="352"/>
  <c r="F83" i="352"/>
  <c r="F84" i="352"/>
  <c r="F85" i="352"/>
  <c r="F86" i="352"/>
  <c r="F87" i="352"/>
  <c r="H161" i="357" l="1"/>
  <c r="H153" i="357"/>
  <c r="H145" i="357"/>
  <c r="H137" i="357"/>
  <c r="H129" i="357"/>
  <c r="H121" i="357"/>
  <c r="H113" i="357"/>
  <c r="H105" i="357"/>
  <c r="H97" i="357"/>
  <c r="H89" i="357"/>
  <c r="H83" i="357"/>
  <c r="H75" i="357"/>
  <c r="H67" i="357"/>
  <c r="H59" i="357"/>
  <c r="H51" i="357"/>
  <c r="H43" i="357"/>
  <c r="H35" i="357"/>
  <c r="H27" i="357"/>
  <c r="H19" i="357"/>
  <c r="H11" i="357"/>
  <c r="H3" i="357"/>
  <c r="H82" i="357"/>
  <c r="H74" i="357"/>
  <c r="H66" i="357"/>
  <c r="H58" i="357"/>
  <c r="H50" i="357"/>
  <c r="H42" i="357"/>
  <c r="H34" i="357"/>
  <c r="H26" i="357"/>
  <c r="H18" i="357"/>
  <c r="H10" i="357"/>
  <c r="H2" i="357"/>
  <c r="H247" i="355"/>
  <c r="H239" i="355"/>
  <c r="H231" i="355"/>
  <c r="H223" i="355"/>
  <c r="H215" i="355"/>
  <c r="H207" i="355"/>
  <c r="H199" i="355"/>
  <c r="H191" i="355"/>
  <c r="H183" i="355"/>
  <c r="H175" i="355"/>
  <c r="H167" i="355"/>
  <c r="H246" i="355"/>
  <c r="H238" i="355"/>
  <c r="H230" i="355"/>
  <c r="H222" i="355"/>
  <c r="H214" i="355"/>
  <c r="H206" i="355"/>
  <c r="H198" i="355"/>
  <c r="H190" i="355"/>
  <c r="H182" i="355"/>
  <c r="H174" i="355"/>
  <c r="H166" i="355"/>
  <c r="H156" i="364"/>
  <c r="H158" i="364"/>
  <c r="H160" i="364"/>
  <c r="H162" i="364"/>
  <c r="H164" i="364"/>
  <c r="H165" i="364"/>
  <c r="H106" i="363"/>
  <c r="H108" i="363"/>
  <c r="H110" i="363"/>
  <c r="H112" i="363"/>
  <c r="H114" i="363"/>
  <c r="H116" i="363"/>
  <c r="H118" i="363"/>
  <c r="H120" i="363"/>
  <c r="H122" i="363"/>
  <c r="H124" i="363"/>
  <c r="H126" i="363"/>
  <c r="H128" i="363"/>
  <c r="H130" i="363"/>
  <c r="H132" i="363"/>
  <c r="H134" i="363"/>
  <c r="H136" i="363"/>
  <c r="H138" i="363"/>
  <c r="H140" i="363"/>
  <c r="H142" i="363"/>
  <c r="H144" i="363"/>
  <c r="H146" i="363"/>
  <c r="H148" i="363"/>
  <c r="H150" i="363"/>
  <c r="H152" i="363"/>
  <c r="H154" i="363"/>
  <c r="H156" i="363"/>
  <c r="H158" i="363"/>
  <c r="H160" i="363"/>
  <c r="H162" i="363"/>
  <c r="H164" i="363"/>
  <c r="H165" i="363"/>
  <c r="H21" i="355"/>
  <c r="H53" i="355"/>
  <c r="H85" i="355"/>
  <c r="H117" i="355"/>
  <c r="H149" i="355"/>
  <c r="H77" i="355"/>
  <c r="H109" i="355"/>
  <c r="H141" i="355"/>
  <c r="H45" i="355"/>
  <c r="H5" i="355"/>
  <c r="H37" i="355"/>
  <c r="H69" i="355"/>
  <c r="H101" i="355"/>
  <c r="H133" i="355"/>
  <c r="H165" i="355"/>
  <c r="H9" i="355"/>
  <c r="H17" i="355"/>
  <c r="H25" i="355"/>
  <c r="H33" i="355"/>
  <c r="H41" i="355"/>
  <c r="H49" i="355"/>
  <c r="H57" i="355"/>
  <c r="H65" i="355"/>
  <c r="H73" i="355"/>
  <c r="H81" i="355"/>
  <c r="H89" i="355"/>
  <c r="H97" i="355"/>
  <c r="H105" i="355"/>
  <c r="H113" i="355"/>
  <c r="H121" i="355"/>
  <c r="H129" i="355"/>
  <c r="H137" i="355"/>
  <c r="H145" i="355"/>
  <c r="H153" i="355"/>
  <c r="H161" i="355"/>
  <c r="H3" i="366"/>
  <c r="H5" i="366"/>
  <c r="H7" i="366"/>
  <c r="H9" i="366"/>
  <c r="H11" i="366"/>
  <c r="H13" i="366"/>
  <c r="H15" i="366"/>
  <c r="H17" i="366"/>
  <c r="H19" i="366"/>
  <c r="H21" i="366"/>
  <c r="H23" i="366"/>
  <c r="H25" i="366"/>
  <c r="H27" i="366"/>
  <c r="H29" i="366"/>
  <c r="H31" i="366"/>
  <c r="H33" i="366"/>
  <c r="H35" i="366"/>
  <c r="H37" i="366"/>
  <c r="H39" i="366"/>
  <c r="H41" i="366"/>
  <c r="H43" i="366"/>
  <c r="H45" i="366"/>
  <c r="H47" i="366"/>
  <c r="H49" i="366"/>
  <c r="H51" i="366"/>
  <c r="H53" i="366"/>
  <c r="H55" i="366"/>
  <c r="H57" i="366"/>
  <c r="H59" i="366"/>
  <c r="H61" i="366"/>
  <c r="H63" i="366"/>
  <c r="H65" i="366"/>
  <c r="H67" i="366"/>
  <c r="H69" i="366"/>
  <c r="H71" i="366"/>
  <c r="H73" i="366"/>
  <c r="H75" i="366"/>
  <c r="H77" i="366"/>
  <c r="H79" i="366"/>
  <c r="H81" i="366"/>
  <c r="H83" i="366"/>
  <c r="H85" i="366"/>
  <c r="H87" i="366"/>
  <c r="H89" i="366"/>
  <c r="H91" i="366"/>
  <c r="H93" i="366"/>
  <c r="H95" i="366"/>
  <c r="H97" i="366"/>
  <c r="H99" i="366"/>
  <c r="H101" i="366"/>
  <c r="H103" i="366"/>
  <c r="H105" i="366"/>
  <c r="H107" i="366"/>
  <c r="H109" i="366"/>
  <c r="H111" i="366"/>
  <c r="H113" i="366"/>
  <c r="H115" i="366"/>
  <c r="H117" i="366"/>
  <c r="H119" i="366"/>
  <c r="H121" i="366"/>
  <c r="H123" i="366"/>
  <c r="H125" i="366"/>
  <c r="H127" i="366"/>
  <c r="H129" i="366"/>
  <c r="H131" i="366"/>
  <c r="H133" i="366"/>
  <c r="H135" i="366"/>
  <c r="H137" i="366"/>
  <c r="H139" i="366"/>
  <c r="H141" i="366"/>
  <c r="H143" i="366"/>
  <c r="H145" i="366"/>
  <c r="H147" i="366"/>
  <c r="H149" i="366"/>
  <c r="H151" i="366"/>
  <c r="H153" i="366"/>
  <c r="H155" i="366"/>
  <c r="H157" i="366"/>
  <c r="H159" i="366"/>
  <c r="H161" i="366"/>
  <c r="H163" i="366"/>
  <c r="H165" i="366"/>
  <c r="I113" i="352"/>
  <c r="H121" i="352"/>
  <c r="H89" i="352"/>
  <c r="I129" i="352"/>
  <c r="H161" i="352"/>
  <c r="H97" i="352"/>
  <c r="I137" i="352"/>
  <c r="H151" i="352"/>
  <c r="H135" i="352"/>
  <c r="H119" i="352"/>
  <c r="H103" i="352"/>
  <c r="H159" i="352"/>
  <c r="H143" i="352"/>
  <c r="H127" i="352"/>
  <c r="H111" i="352"/>
  <c r="H95" i="352"/>
  <c r="I87" i="352"/>
  <c r="I86" i="352"/>
  <c r="I85" i="352"/>
  <c r="I84" i="352"/>
  <c r="I83" i="352"/>
  <c r="I82" i="352"/>
  <c r="H82" i="352"/>
  <c r="I81" i="352"/>
  <c r="I80" i="352"/>
  <c r="H80" i="352"/>
  <c r="H79" i="352"/>
  <c r="I79" i="352"/>
  <c r="I78" i="352"/>
  <c r="H78" i="352"/>
  <c r="H77" i="352"/>
  <c r="I77" i="352"/>
  <c r="I76" i="352"/>
  <c r="H76" i="352"/>
  <c r="H75" i="352"/>
  <c r="I75" i="352"/>
  <c r="I74" i="352"/>
  <c r="H74" i="352"/>
  <c r="I73" i="352"/>
  <c r="I72" i="352"/>
  <c r="H72" i="352"/>
  <c r="I71" i="352"/>
  <c r="I70" i="352"/>
  <c r="I69" i="352"/>
  <c r="I68" i="352"/>
  <c r="I67" i="352"/>
  <c r="I66" i="352"/>
  <c r="H66" i="352"/>
  <c r="I65" i="352"/>
  <c r="I64" i="352"/>
  <c r="H64" i="352"/>
  <c r="H63" i="352"/>
  <c r="I63" i="352"/>
  <c r="I62" i="352"/>
  <c r="H62" i="352"/>
  <c r="H61" i="352"/>
  <c r="I61" i="352"/>
  <c r="I60" i="352"/>
  <c r="H60" i="352"/>
  <c r="H59" i="352"/>
  <c r="I59" i="352"/>
  <c r="I58" i="352"/>
  <c r="H58" i="352"/>
  <c r="I57" i="352"/>
  <c r="H57" i="352"/>
  <c r="I56" i="352"/>
  <c r="H56" i="352"/>
  <c r="I55" i="352"/>
  <c r="H55" i="352"/>
  <c r="I54" i="352"/>
  <c r="H54" i="352"/>
  <c r="I53" i="352"/>
  <c r="I52" i="352"/>
  <c r="I51" i="352"/>
  <c r="H51" i="352"/>
  <c r="I50" i="352"/>
  <c r="H50" i="352"/>
  <c r="I49" i="352"/>
  <c r="H49" i="352"/>
  <c r="I48" i="352"/>
  <c r="H48" i="352"/>
  <c r="I47" i="352"/>
  <c r="H47" i="352"/>
  <c r="I46" i="352"/>
  <c r="H46" i="352"/>
  <c r="I45" i="352"/>
  <c r="I44" i="352"/>
  <c r="I43" i="352"/>
  <c r="H43" i="352"/>
  <c r="I42" i="352"/>
  <c r="H42" i="352"/>
  <c r="I41" i="352"/>
  <c r="H41" i="352"/>
  <c r="I40" i="352"/>
  <c r="H40" i="352"/>
  <c r="I39" i="352"/>
  <c r="H39" i="352"/>
  <c r="I38" i="352"/>
  <c r="H38" i="352"/>
  <c r="I37" i="352"/>
  <c r="I36" i="352"/>
  <c r="I35" i="352"/>
  <c r="H35" i="352"/>
  <c r="I34" i="352"/>
  <c r="H34" i="352"/>
  <c r="I33" i="352"/>
  <c r="H33" i="352"/>
  <c r="I32" i="352"/>
  <c r="H32" i="352"/>
  <c r="I31" i="352"/>
  <c r="H31" i="352"/>
  <c r="I30" i="352"/>
  <c r="H30" i="352"/>
  <c r="I29" i="352"/>
  <c r="I28" i="352"/>
  <c r="I27" i="352"/>
  <c r="H27" i="352"/>
  <c r="I26" i="352"/>
  <c r="H26" i="352"/>
  <c r="H25" i="352"/>
  <c r="I25" i="352"/>
  <c r="I24" i="352"/>
  <c r="H24" i="352"/>
  <c r="I23" i="352"/>
  <c r="H23" i="352"/>
  <c r="I22" i="352"/>
  <c r="H22" i="352"/>
  <c r="I21" i="352"/>
  <c r="I20" i="352"/>
  <c r="I19" i="352"/>
  <c r="H19" i="352"/>
  <c r="I18" i="352"/>
  <c r="H18" i="352"/>
  <c r="H17" i="352"/>
  <c r="I17" i="352"/>
  <c r="I16" i="352"/>
  <c r="H16" i="352"/>
  <c r="I15" i="352"/>
  <c r="H15" i="352"/>
  <c r="I14" i="352"/>
  <c r="H14" i="352"/>
  <c r="I13" i="352"/>
  <c r="I12" i="352"/>
  <c r="I11" i="352"/>
  <c r="H11" i="352"/>
  <c r="I10" i="352"/>
  <c r="H10" i="352"/>
  <c r="H9" i="352"/>
  <c r="I9" i="352"/>
  <c r="I8" i="352"/>
  <c r="H8" i="352"/>
  <c r="I7" i="352"/>
  <c r="H7" i="352"/>
  <c r="I6" i="352"/>
  <c r="H6" i="352"/>
  <c r="I5" i="352"/>
  <c r="I4" i="352"/>
  <c r="I3" i="352"/>
  <c r="H3" i="352"/>
  <c r="I2" i="352"/>
  <c r="H2" i="352"/>
  <c r="H4" i="352" l="1"/>
  <c r="H12" i="352"/>
  <c r="H20" i="352"/>
  <c r="H28" i="352"/>
  <c r="H36" i="352"/>
  <c r="H44" i="352"/>
  <c r="H52" i="352"/>
  <c r="H70" i="352"/>
  <c r="H73" i="352"/>
  <c r="H86" i="352"/>
  <c r="H67" i="352"/>
  <c r="H83" i="352"/>
  <c r="H5" i="352"/>
  <c r="H13" i="352"/>
  <c r="H21" i="352"/>
  <c r="H29" i="352"/>
  <c r="H37" i="352"/>
  <c r="H45" i="352"/>
  <c r="H53" i="352"/>
  <c r="H68" i="352"/>
  <c r="H71" i="352"/>
  <c r="H84" i="352"/>
  <c r="H87" i="352"/>
  <c r="H65" i="352"/>
  <c r="H81" i="352"/>
  <c r="H69" i="352"/>
  <c r="H85" i="352"/>
  <c r="G2" i="362" l="1"/>
  <c r="H2" i="362" l="1"/>
  <c r="F2" i="362" s="1"/>
</calcChain>
</file>

<file path=xl/sharedStrings.xml><?xml version="1.0" encoding="utf-8"?>
<sst xmlns="http://schemas.openxmlformats.org/spreadsheetml/2006/main" count="3785" uniqueCount="200">
  <si>
    <t>Date</t>
  </si>
  <si>
    <t>Time</t>
  </si>
  <si>
    <t>Sport</t>
  </si>
  <si>
    <t>Match</t>
  </si>
  <si>
    <t>Channel</t>
  </si>
  <si>
    <t>[ DEVELOPMENT ] - Timestamp</t>
  </si>
  <si>
    <t>[ DEVELOPMENT ] - GMT</t>
  </si>
  <si>
    <t>[ DEVELOPMENT ] - GMT Time</t>
  </si>
  <si>
    <t>Football</t>
  </si>
  <si>
    <t>Premier League: Manchester City - Manchester United</t>
  </si>
  <si>
    <t>S1</t>
  </si>
  <si>
    <t>Azerbaijan</t>
  </si>
  <si>
    <t>Kazakhstan</t>
  </si>
  <si>
    <t>Kyrgyzstan</t>
  </si>
  <si>
    <t>Latvia</t>
  </si>
  <si>
    <t>Lithuania</t>
  </si>
  <si>
    <t>Moldova</t>
  </si>
  <si>
    <t>Uzbekistan</t>
  </si>
  <si>
    <t>UFC</t>
  </si>
  <si>
    <t>[ DEVELOPMENT ] - GMT Date</t>
  </si>
  <si>
    <t>Setanta Sports 1</t>
  </si>
  <si>
    <t>MMA</t>
  </si>
  <si>
    <t>Setanta Sports 2</t>
  </si>
  <si>
    <t>Setanta Moldova</t>
  </si>
  <si>
    <t>Tajikistan</t>
  </si>
  <si>
    <t>Turkmenistan</t>
  </si>
  <si>
    <t>Футбол</t>
  </si>
  <si>
    <t>Серия А: Классика</t>
  </si>
  <si>
    <t>Премьер Лига: Саутгемптон - Манчестер Юнайтед</t>
  </si>
  <si>
    <t>Премьер Лига: Манчестер Сити - Брентфорд</t>
  </si>
  <si>
    <t>Серия А: Эмполи - Ювентус</t>
  </si>
  <si>
    <t>Премьер Лига: Астон Вилла - Эвертон</t>
  </si>
  <si>
    <t>Премьер Лига: Борнмут - Челси</t>
  </si>
  <si>
    <t>Премьер Лига: Тоттенхэм - Арсенал</t>
  </si>
  <si>
    <t>Серия А: Монца - Интер</t>
  </si>
  <si>
    <t>Серия А: Дженоа - Рома</t>
  </si>
  <si>
    <t>Теннис</t>
  </si>
  <si>
    <t>Гонки</t>
  </si>
  <si>
    <t>Формула 1: Гран-при Бельгии - Гонка</t>
  </si>
  <si>
    <t>Формула 1: Гран-при Нидерландов - Гонка</t>
  </si>
  <si>
    <t>ЛаЛига: Реал Бетис - Леганес</t>
  </si>
  <si>
    <t>Формула 1: Гран-при Венгрии - Гонка</t>
  </si>
  <si>
    <t>ЛаЛига: Реал Сосьедад - Реал Мадрид</t>
  </si>
  <si>
    <t>Бундеслига: Хольштайн Киль - Бавария Мюнхен</t>
  </si>
  <si>
    <t>Бундеслига: Хоффенхайм - Байер Леверкузен</t>
  </si>
  <si>
    <t>ЛаЛига: Жирона - Барселона</t>
  </si>
  <si>
    <t>Формула 1: Гран-при Азербайджана - Гонка</t>
  </si>
  <si>
    <t>WTA 500 Гвадалахара: Финал</t>
  </si>
  <si>
    <t>ЛаЛига: Атлетико Мадрид - Валенсия</t>
  </si>
  <si>
    <t>Лига 1: ПСЖ - Брест</t>
  </si>
  <si>
    <t>Документальный</t>
  </si>
  <si>
    <t>ММА</t>
  </si>
  <si>
    <t>Бундеслига: Боруссия Дортмунд - Хайденхайм</t>
  </si>
  <si>
    <t>Лига 1: Сент-Этьен - Лилль</t>
  </si>
  <si>
    <t>Лига 1: Марсель - Ницца</t>
  </si>
  <si>
    <t>UFC 306: О'Мэлли против Двалишвили - Основная карта</t>
  </si>
  <si>
    <t>Серия А: Аталанта - Фиорентина</t>
  </si>
  <si>
    <t>Бундеслига: Майнц - Вердер Бремен</t>
  </si>
  <si>
    <t>Премьер Лига: Вулверхэмптон - Ньюкасл</t>
  </si>
  <si>
    <t>Серия А: Лацио - Верона</t>
  </si>
  <si>
    <t>Серия А: Парма - Удинезе</t>
  </si>
  <si>
    <t>LIVE. Кубок Английской Футбольной Лиги: Манчестер Юнайтед - Барнсли</t>
  </si>
  <si>
    <t>Серия А: Кальяри - Наполи</t>
  </si>
  <si>
    <t>Серия А: Милан - Венеция</t>
  </si>
  <si>
    <t>Премьер Лига: Тур 4 - Обзор</t>
  </si>
  <si>
    <t>Бундеслига: Тур 3 - Обзор</t>
  </si>
  <si>
    <t>Лига 1: Тур 4 - Обзор</t>
  </si>
  <si>
    <t>ЛаЛига: Тур 5 - Обзор</t>
  </si>
  <si>
    <t>Кубок Английской Футбольной Лиги: Манчестер Юнайтед - Барнсли</t>
  </si>
  <si>
    <t>Премьер Лига: Ливерпуль - Ноттингем</t>
  </si>
  <si>
    <t>LIVE. Кубок Английской Футбольной Лиги: Ковентри - Тоттенхэм</t>
  </si>
  <si>
    <t>Премьер Лига: Брайтон - Ипсвич</t>
  </si>
  <si>
    <t>Кубок Английской Футбольной Лиги: Ковентри - Тоттенхэм</t>
  </si>
  <si>
    <t>LIVE. Ла Лига: Леганес - Атлетик Бильбао</t>
  </si>
  <si>
    <t>LIVE. Серия А: Кальяри - Эмполи</t>
  </si>
  <si>
    <t>LIVE. Лига 1: Ницца - Сент-Этьен</t>
  </si>
  <si>
    <t>LIVE. Премьер Лига: Вест Хэм - Челси</t>
  </si>
  <si>
    <t>LIVE. Премьер Лига: Ливерпуль - Борнмут</t>
  </si>
  <si>
    <t>LIVE. Премьер Лига: Кристал Пэлас - Манчестер Юнайтед</t>
  </si>
  <si>
    <t>LIVE. Лига 1: Реймс - ПСЖ</t>
  </si>
  <si>
    <t>Серия А: Кальяри - Эмполи</t>
  </si>
  <si>
    <t>LIVE. Серия А: Фиорентина - Лацио</t>
  </si>
  <si>
    <t>LIVE. Премьер Лига: Брайтон - Ноттингем</t>
  </si>
  <si>
    <t>LIVE. Премьер Лига: Манчестер Сити - Арсенал</t>
  </si>
  <si>
    <t>LIVE. Серия А: Интер - Милан</t>
  </si>
  <si>
    <t>Премьер Лига: Вест Хэм - Челси</t>
  </si>
  <si>
    <t>Премьер Лига: Ливерпуль - Борнмут</t>
  </si>
  <si>
    <t>Серия А: Ювентус - Наполи</t>
  </si>
  <si>
    <t>Премьер Лига: Кристал Пэлас - Манчестер Юнайтед</t>
  </si>
  <si>
    <t>Премьер Лига: Тоттенхэм - Брентфорд</t>
  </si>
  <si>
    <t>Премьер Лига: Манчестер Сити - Арсенал</t>
  </si>
  <si>
    <t>Серия А: Интер - Милан</t>
  </si>
  <si>
    <t>Премьер Лига: Брайтон - Ноттингем</t>
  </si>
  <si>
    <t>LIVE. Серия А: Аталанта - Комо</t>
  </si>
  <si>
    <t>Серия А: Фиорентина - Лацио</t>
  </si>
  <si>
    <t>ЛаЛига: Райо Вальекано - Осасуна</t>
  </si>
  <si>
    <t>Лига 1: Линс - Лион</t>
  </si>
  <si>
    <t>LIVE. Кубок Английской Футбольной Лиги: Эвертон - Саутгемптон</t>
  </si>
  <si>
    <t>ЛаЛига: Лас-Пальмас - Атлетик Бильбао</t>
  </si>
  <si>
    <t>UFC 305: Du Plessis vs. Adesanya - Main Card</t>
  </si>
  <si>
    <t>Чемпионат Саудовской Аравии: Аль-Наср - Аль-Ахли</t>
  </si>
  <si>
    <t>LIVE. ЛаЛига: Реал Бетис - Хетафе</t>
  </si>
  <si>
    <t>ЛаЛига: Севилья - Хетафе</t>
  </si>
  <si>
    <t>ЛаЛига: Мальорка - Вильярреал</t>
  </si>
  <si>
    <t>ЛаЛига: Реал Бетис - Хетафе</t>
  </si>
  <si>
    <t>LIVE. WTA 500 Сеул: Четвертьфинал 1</t>
  </si>
  <si>
    <t>LIVE. WTA 500 Сеул: Четвертьфинал 2</t>
  </si>
  <si>
    <t>LIVE. WTA 500 Сеул: Четвертьфинал 3</t>
  </si>
  <si>
    <t>LIVE. WTA 500 Сеул: Четвертьфинал 4</t>
  </si>
  <si>
    <t xml:space="preserve">LIVE. PFL Mena 3, Riyadh, Saudi Arabia </t>
  </si>
  <si>
    <t>LIVE. WTA 500 Сеул: Полуфинал 1</t>
  </si>
  <si>
    <t>LIVE. WTA 500 Сеул: Полуфинал 2</t>
  </si>
  <si>
    <t>ЛаЛига: Алавес - Севилья</t>
  </si>
  <si>
    <t>LIVE. Формула 1: Гран-при Сингапура - Квалификация</t>
  </si>
  <si>
    <t>LIVE. Премьер Лига: Астон Вилла - Вулверхэмптон</t>
  </si>
  <si>
    <t>LIVE. Серия А: Ювентус - Наполи</t>
  </si>
  <si>
    <t>LIVE. ЛаЛига: Реал Мадрид - Эспаньол</t>
  </si>
  <si>
    <t>Бундеслига: Аугсбург - Майнц</t>
  </si>
  <si>
    <t>LIVE. WTA 500 Сеул: Финал</t>
  </si>
  <si>
    <t>ЛаЛига: Реал Мадрид - Эспаньол</t>
  </si>
  <si>
    <t>LIVE. Формула 1: Гран-при Сингапура - Гонка</t>
  </si>
  <si>
    <t>LIVE. ЛаЛига: Атлетик Бильбао - Сельта</t>
  </si>
  <si>
    <t>LIVE. ЛаЛига: Вильярреал - Барселона</t>
  </si>
  <si>
    <t>LIVE. Лига 1: Лион - Марсель</t>
  </si>
  <si>
    <t>UFC 306: Riyadh Season Noche UFC: O’Malley vs. Dvalishvili - Main Card</t>
  </si>
  <si>
    <t>Бундеслига: Вердер Бремен - Бавария Мюнхен</t>
  </si>
  <si>
    <t>Бундеслига: Айнтрахт Франкфурт - Боруссия Мёнхенгладбах</t>
  </si>
  <si>
    <t>ЛаЛига: Вильярреал - Барселона</t>
  </si>
  <si>
    <t>ЛаЛига: Атлетик Бильбао - Сельта</t>
  </si>
  <si>
    <t>Лига 1: Лион - Марсель</t>
  </si>
  <si>
    <t>Решающие моменты в спорте: Обвалы</t>
  </si>
  <si>
    <t>Футбол - обратный отсчет: Дебюты</t>
  </si>
  <si>
    <t>Серия А: Лацио - Эллас Верона</t>
  </si>
  <si>
    <t>Ла Лига: Лас Пальмас - Атлетик Бильбао</t>
  </si>
  <si>
    <t>LIVE. Лига чемпионов УЕФА: Ювентус - ПСВ</t>
  </si>
  <si>
    <t>LIVE. Лига чемпионов УЕФА: Милан - Ливерпуль</t>
  </si>
  <si>
    <t>Лига чемпионов УЕФА: Милан - Ливерпуль</t>
  </si>
  <si>
    <t>Лига чемпионов УЕФА: Реал Мадрид - Штутгарт</t>
  </si>
  <si>
    <t>Премьер-лига: Обзор 4-го тура</t>
  </si>
  <si>
    <t>Лига 1: Обзор 4-го тура</t>
  </si>
  <si>
    <t>LIVE. Лига чемпионов УЕФА: Болонья - Шахтер Донецк</t>
  </si>
  <si>
    <t>LIVE. Лига чемпионов УЕФА: Манчестер Сити - Интер</t>
  </si>
  <si>
    <t>Серия А: Генуя - Рома</t>
  </si>
  <si>
    <t>Премьер-лига: Брайтон - Ипсвич</t>
  </si>
  <si>
    <t>Лига чемпионов УЕФА: Ювентус – ПСВ</t>
  </si>
  <si>
    <t>Ла Лига: Мальорка - Реал Сосьедад</t>
  </si>
  <si>
    <t>Кубок Английской футбольной лиги: Манчестер Юнайтед - Барнсли</t>
  </si>
  <si>
    <t>Лига чемпионов УЕФА: Манчестер Сити – Интер</t>
  </si>
  <si>
    <t>Ла Лига: Реал Бетис – Хетафе</t>
  </si>
  <si>
    <t>Лига чемпионов УЕФА: Болонья – Шахтер Донецк</t>
  </si>
  <si>
    <t>Бундеслига: Обзор 3-го тура</t>
  </si>
  <si>
    <t>Ла Лига: Обзор 5-го тура</t>
  </si>
  <si>
    <t>LIVE. Лига чемпионов УЕФА: Фейеноорд - Байер Леверкузен</t>
  </si>
  <si>
    <t>LIVE. Лига чемпионов УЕФА: Монако - Барселона</t>
  </si>
  <si>
    <t>Премьер-лига: Ливерпуль — Ноттингем</t>
  </si>
  <si>
    <t>Ла Лига: Мальорка – Вильярреал</t>
  </si>
  <si>
    <t>Кубок Английской футбольной лиги: Эвертон - Саутгемптон</t>
  </si>
  <si>
    <t>Чемпионат АФЛ: Миллуолл - Лутон Таун</t>
  </si>
  <si>
    <t>Кубок Английской футбольной лиги: Ковентри - Тоттенхэм</t>
  </si>
  <si>
    <t>Лига чемпионов УЕФА: Аталанта - Арсенал</t>
  </si>
  <si>
    <t>Лига Чемпионов УЕФА: Монако – Барселона</t>
  </si>
  <si>
    <t>Ла Лига: Леганес – Атлетик Бильбао</t>
  </si>
  <si>
    <t>Лига чемпионов УЕФА: Фейеноорд - Байер Леверкузен</t>
  </si>
  <si>
    <t>LIVE. Ла Лига: Алавес – Севилья</t>
  </si>
  <si>
    <t>Лига чемпионов УЕФА: Ювентус - ПСВ</t>
  </si>
  <si>
    <t>Мой спортивный момент: Ллойд &amp; Тейлор</t>
  </si>
  <si>
    <t>Футбол - обратный отсчет: Финалы</t>
  </si>
  <si>
    <t>LIVE. Чемпионат EFL: Сандерленд - Мидлсбро</t>
  </si>
  <si>
    <t>LIVE. Бундеслига: Вердер Бремен - Бавария Мюнхен.</t>
  </si>
  <si>
    <t>LIVE. Бундеслига: Айнтрахт Франкфурт - Боруссия Менхенгладбах</t>
  </si>
  <si>
    <t>LIVE. Серия А: Лечче - Рома</t>
  </si>
  <si>
    <t>Ла Лига: Алавес – Севилья</t>
  </si>
  <si>
    <t>Лига 1: Ницца - Сент-Этьен</t>
  </si>
  <si>
    <t>Лига чемпионов УЕФА: Монако - Барселона</t>
  </si>
  <si>
    <t>Про-лига Саудовской Аравии: Аль-Эттифак - Аль-Наср</t>
  </si>
  <si>
    <t>Лига чемпионов УЕФА: Манчестер Сити - Интер</t>
  </si>
  <si>
    <t>Премьер-лига: Тоттенхэм - Брентфорд</t>
  </si>
  <si>
    <t>LIVE. Чемпионат EFL: Престон - Блэкберн Роверс</t>
  </si>
  <si>
    <t>LIVE. Лига 1: Монако - Гавр</t>
  </si>
  <si>
    <t>LIVE. Бундеслига: Штутгарт – Боруссия Дортмунд</t>
  </si>
  <si>
    <t>Бундеслига: Классика</t>
  </si>
  <si>
    <t>LIVE. Ла Лига: Райо Вальекано – Атлетико Мадрид</t>
  </si>
  <si>
    <t>Премьер-лига: Вест Хэм - Челси</t>
  </si>
  <si>
    <t>Серия А: Лечче - Парма</t>
  </si>
  <si>
    <t>Ла Лига: Валенсия - Жирона</t>
  </si>
  <si>
    <t>Чемпионат EFL: Сандерленд - Мидлсбро</t>
  </si>
  <si>
    <t>Лига 1: Реймс - ПСЖ</t>
  </si>
  <si>
    <t>Бундеслига: Вердер Бремен - Бавария Мюнхен.</t>
  </si>
  <si>
    <t>Бундеслига: Штутгарт - Боруссия Дортмунд</t>
  </si>
  <si>
    <t>Премьер-лига: Манчестер Сити - Арсенал</t>
  </si>
  <si>
    <t>Ла Лига: Реал Мадрид - Эспаньол</t>
  </si>
  <si>
    <t>LIVE. Ла Лига: Реал Бетис - Мальорка</t>
  </si>
  <si>
    <t>Ла Лига: Вильярреал – Барселона</t>
  </si>
  <si>
    <t>Премьер-лига: Астон Вилла – Вулверхэмптон</t>
  </si>
  <si>
    <t>Бундеслига: Байер Леверкузен - Вольфсбург</t>
  </si>
  <si>
    <t>Ла Лига: Райо Вальекано – Атлетико Мадрид</t>
  </si>
  <si>
    <t>LIVE. Ла Лига: Алавес - Севилья</t>
  </si>
  <si>
    <t>LIVE. Бундеслига: Штутгарт – Боруссия Дортмунд.</t>
  </si>
  <si>
    <t>LIVE. Премьер Лига: Тоттенхэм - Брентфорд</t>
  </si>
  <si>
    <t>LIVE. ЛаЛига: Райо Вальекано – Атлетико Мадрид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</si>
</sst>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[$-409]d\-mmm;@"/>
    <numFmt numFmtId="166" formatCode="h:mm;@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</font>
    <font>
      <sz val="10"/>
      <color rgb="FF000000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FF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1F2"/>
        <bgColor rgb="FFD9E1F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8EA9DB"/>
      </top>
      <bottom style="thin">
        <color rgb="FF8EA9DB"/>
      </bottom>
      <diagonal/>
    </border>
  </borders>
  <cellStyleXfs count="455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5">
    <xf numFmtId="0" fontId="0" fillId="0" borderId="0" xfId="0"/>
    <xf numFmtId="14" fontId="0" fillId="0" borderId="0" xfId="0" applyNumberFormat="1"/>
    <xf numFmtId="20" fontId="0" fillId="0" borderId="0" xfId="0" applyNumberFormat="1"/>
    <xf numFmtId="0" fontId="18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164" fontId="0" fillId="0" borderId="0" xfId="0" applyNumberFormat="1"/>
    <xf numFmtId="16" fontId="18" fillId="0" borderId="0" xfId="0" applyNumberFormat="1" applyFont="1" applyAlignment="1">
      <alignment horizontal="center"/>
    </xf>
    <xf numFmtId="20" fontId="18" fillId="0" borderId="0" xfId="0" applyNumberFormat="1" applyFont="1" applyAlignment="1">
      <alignment horizontal="center"/>
    </xf>
    <xf numFmtId="1" fontId="0" fillId="0" borderId="0" xfId="0" applyNumberFormat="1"/>
    <xf numFmtId="0" fontId="20" fillId="33" borderId="10" xfId="0" applyFont="1" applyFill="1" applyBorder="1"/>
    <xf numFmtId="0" fontId="0" fillId="0" borderId="0" xfId="0" applyNumberFormat="1"/>
    <xf numFmtId="0" fontId="20" fillId="0" borderId="0" xfId="0" applyFont="1"/>
    <xf numFmtId="165" fontId="18" fillId="0" borderId="0" xfId="50" applyNumberFormat="1" applyFont="1" applyFill="1" applyAlignment="1">
      <alignment horizontal="center"/>
    </xf>
    <xf numFmtId="0" fontId="18" fillId="0" borderId="0" xfId="50" applyFont="1" applyFill="1" applyAlignment="1">
      <alignment horizontal="left"/>
    </xf>
    <xf numFmtId="0" fontId="19" fillId="0" borderId="0" xfId="50" applyFont="1" applyFill="1" applyAlignment="1">
      <alignment horizontal="center"/>
    </xf>
    <xf numFmtId="166" fontId="18" fillId="0" borderId="0" xfId="50" applyNumberFormat="1" applyFont="1" applyFill="1" applyAlignment="1">
      <alignment horizontal="center"/>
    </xf>
    <xf numFmtId="166" fontId="18" fillId="0" borderId="0" xfId="50" applyNumberFormat="1" applyFont="1" applyAlignment="1">
      <alignment horizontal="center"/>
    </xf>
    <xf numFmtId="165" fontId="18" fillId="0" borderId="0" xfId="50" applyNumberFormat="1" applyFont="1" applyAlignment="1">
      <alignment horizontal="center"/>
    </xf>
    <xf numFmtId="0" fontId="19" fillId="0" borderId="0" xfId="50" applyFont="1" applyAlignment="1">
      <alignment horizontal="center"/>
    </xf>
    <xf numFmtId="0" fontId="24" fillId="0" borderId="0" xfId="50" applyFont="1" applyFill="1" applyAlignment="1">
      <alignment horizontal="left"/>
    </xf>
    <xf numFmtId="20" fontId="18" fillId="0" borderId="0" xfId="50" applyNumberFormat="1" applyFont="1" applyAlignment="1">
      <alignment horizontal="center"/>
    </xf>
    <xf numFmtId="0" fontId="23" fillId="0" borderId="0" xfId="50" applyFont="1" applyAlignment="1">
      <alignment horizontal="left"/>
    </xf>
    <xf numFmtId="0" fontId="1" fillId="0" borderId="0" xfId="50" applyFont="1" applyAlignment="1">
      <alignment horizontal="left"/>
    </xf>
    <xf numFmtId="16" fontId="18" fillId="0" borderId="0" xfId="50" applyNumberFormat="1" applyFont="1" applyAlignment="1">
      <alignment horizontal="center"/>
    </xf>
    <xf numFmtId="0" fontId="18" fillId="0" borderId="0" xfId="50" applyFont="1" applyAlignment="1">
      <alignment horizontal="center"/>
    </xf>
    <xf numFmtId="0" fontId="18" fillId="0" borderId="0" xfId="50" applyFont="1" applyAlignment="1">
      <alignment horizontal="center"/>
    </xf>
    <xf numFmtId="16" fontId="18" fillId="0" borderId="0" xfId="50" applyNumberFormat="1" applyFont="1" applyAlignment="1">
      <alignment horizontal="center"/>
    </xf>
    <xf numFmtId="20" fontId="18" fillId="0" borderId="0" xfId="50" applyNumberFormat="1" applyFont="1" applyAlignment="1">
      <alignment horizontal="center"/>
    </xf>
    <xf numFmtId="0" fontId="1" fillId="0" borderId="0" xfId="50" applyFont="1" applyAlignment="1">
      <alignment horizontal="left"/>
    </xf>
    <xf numFmtId="0" fontId="23" fillId="0" borderId="0" xfId="50" applyFont="1" applyAlignment="1">
      <alignment horizontal="left"/>
    </xf>
    <xf numFmtId="0" fontId="1" fillId="0" borderId="0" xfId="50" applyFont="1" applyAlignment="1">
      <alignment horizontal="left"/>
    </xf>
    <xf numFmtId="0" fontId="0" fillId="0" borderId="0" xfId="0" applyNumberFormat="1" applyBorder="1"/>
    <xf numFmtId="0" fontId="19" fillId="0" borderId="0" xfId="50" applyFont="1" applyBorder="1" applyAlignment="1">
      <alignment horizontal="center"/>
    </xf>
    <xf numFmtId="0" fontId="23" fillId="0" borderId="0" xfId="50" applyFont="1" applyAlignment="1">
      <alignment horizontal="left"/>
    </xf>
    <xf numFmtId="0" fontId="1" fillId="0" borderId="0" xfId="50" applyFont="1" applyAlignment="1">
      <alignment horizontal="left"/>
    </xf>
    <xf numFmtId="0" fontId="25" fillId="0" borderId="0" xfId="50" applyFont="1" applyAlignment="1">
      <alignment horizontal="left"/>
    </xf>
    <xf numFmtId="0" fontId="23" fillId="0" borderId="0" xfId="50" applyFont="1" applyAlignment="1">
      <alignment horizontal="left"/>
    </xf>
    <xf numFmtId="165" fontId="18" fillId="0" borderId="0" xfId="50" applyNumberFormat="1" applyFont="1" applyBorder="1" applyAlignment="1">
      <alignment horizontal="center"/>
    </xf>
    <xf numFmtId="0" fontId="1" fillId="0" borderId="0" xfId="50" applyFont="1" applyBorder="1" applyAlignment="1">
      <alignment horizontal="left"/>
    </xf>
    <xf numFmtId="20" fontId="0" fillId="0" borderId="0" xfId="0" applyNumberFormat="1" applyBorder="1"/>
    <xf numFmtId="166" fontId="18" fillId="0" borderId="0" xfId="50" applyNumberFormat="1" applyFont="1" applyBorder="1" applyAlignment="1">
      <alignment horizontal="center"/>
    </xf>
    <xf numFmtId="0" fontId="20" fillId="0" borderId="0" xfId="0" applyFont="1" applyBorder="1"/>
    <xf numFmtId="1" fontId="0" fillId="0" borderId="0" xfId="0" applyNumberFormat="1" applyBorder="1"/>
    <xf numFmtId="0" fontId="18" fillId="0" borderId="0" xfId="50" applyFont="1" applyAlignment="1">
      <alignment horizontal="left"/>
    </xf>
    <xf numFmtId="0" fontId="18" fillId="0" borderId="0" xfId="50" applyFont="1" applyBorder="1" applyAlignment="1">
      <alignment horizontal="left"/>
    </xf>
  </cellXfs>
  <cellStyles count="455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5" xr:uid="{C3AF003E-9201-4732-94DC-081C1BAE5639}"/>
    <cellStyle name="Normal 2 10" xfId="127" xr:uid="{99B7BD45-5B98-4704-A374-A87978568286}"/>
    <cellStyle name="Normal 2 10 2" xfId="373" xr:uid="{D836DFB3-1E16-4BE8-80C0-5646CD5FEDE7}"/>
    <cellStyle name="Normal 2 10 2 2" xfId="2072" xr:uid="{AE60A36E-9507-4510-8CEB-53B138983E8F}"/>
    <cellStyle name="Normal 2 10 3" xfId="569" xr:uid="{5C10A159-0187-4042-BD50-E6114591DC60}"/>
    <cellStyle name="Normal 2 10 3 2" xfId="2290" xr:uid="{76421640-9EE7-4153-A969-426B45F2EC31}"/>
    <cellStyle name="Normal 2 10 4" xfId="787" xr:uid="{7672CDDB-D53A-42E2-AECF-1603138BF2AD}"/>
    <cellStyle name="Normal 2 10 4 2" xfId="2508" xr:uid="{802EF666-41F7-4B49-94CC-CE2684FA5777}"/>
    <cellStyle name="Normal 2 10 5" xfId="1005" xr:uid="{46B3273E-25EF-4879-A18F-424D11153C1D}"/>
    <cellStyle name="Normal 2 10 5 2" xfId="2726" xr:uid="{1041CBD4-FD84-4414-8FC5-60FFD95C096D}"/>
    <cellStyle name="Normal 2 10 6" xfId="1223" xr:uid="{B4230CF0-C779-4EA3-99D4-D97C1C7FCC86}"/>
    <cellStyle name="Normal 2 10 6 2" xfId="2944" xr:uid="{0484A10A-291C-4E15-93EC-D71799A71FD5}"/>
    <cellStyle name="Normal 2 10 7" xfId="1441" xr:uid="{BBBD6CE5-6576-42E6-96F8-45FE27F3A51C}"/>
    <cellStyle name="Normal 2 10 7 2" xfId="3162" xr:uid="{917C8D63-A468-4818-879D-9A8FA0BF352D}"/>
    <cellStyle name="Normal 2 10 8" xfId="1660" xr:uid="{A4F6FE63-F19E-400F-B186-E7BD7A581FE7}"/>
    <cellStyle name="Normal 2 10 8 2" xfId="3381" xr:uid="{4ABB7CC2-546F-482A-A9A9-6C101CB4C5A4}"/>
    <cellStyle name="Normal 2 10 9" xfId="1880" xr:uid="{5B8C8A4D-9DCB-425B-ACBB-E50E9CA7F1E1}"/>
    <cellStyle name="Normal 2 11" xfId="140" xr:uid="{6504E5C2-407A-4509-9AAD-EF69BDF77570}"/>
    <cellStyle name="Normal 2 11 2" xfId="386" xr:uid="{D1CEE453-A693-41C6-9181-6BF7F450AAD1}"/>
    <cellStyle name="Normal 2 11 2 2" xfId="2085" xr:uid="{6299DE4E-D791-4333-B0A1-1D63C40A9612}"/>
    <cellStyle name="Normal 2 11 3" xfId="582" xr:uid="{DF33E779-B51B-4D38-BBDF-D51E86CBA9AE}"/>
    <cellStyle name="Normal 2 11 3 2" xfId="2303" xr:uid="{7EC3F039-1929-4053-834F-9C0D4ABDD35E}"/>
    <cellStyle name="Normal 2 11 4" xfId="800" xr:uid="{45ED6FE9-98B6-4788-9837-A9E418CF020E}"/>
    <cellStyle name="Normal 2 11 4 2" xfId="2521" xr:uid="{08489444-D345-49A9-97A2-6B90F11A5E39}"/>
    <cellStyle name="Normal 2 11 5" xfId="1018" xr:uid="{309D6B7A-A6E4-41CE-A23B-26B2724B29E3}"/>
    <cellStyle name="Normal 2 11 5 2" xfId="2739" xr:uid="{F9220337-F765-421D-AD99-CF760F27F05F}"/>
    <cellStyle name="Normal 2 11 6" xfId="1236" xr:uid="{069C204F-678B-4FFD-B514-C357A1C7BE64}"/>
    <cellStyle name="Normal 2 11 6 2" xfId="2957" xr:uid="{0384052E-A6D2-49FD-ADA7-E42C6FF137C7}"/>
    <cellStyle name="Normal 2 11 7" xfId="1454" xr:uid="{6CE562A9-3910-4F33-9482-8E2E06A1FE20}"/>
    <cellStyle name="Normal 2 11 7 2" xfId="3175" xr:uid="{FB4A255D-F5F1-47C0-A809-85747BDFCE1A}"/>
    <cellStyle name="Normal 2 11 8" xfId="1673" xr:uid="{338249EE-0B8B-4A35-A7C8-E958DDDD67AC}"/>
    <cellStyle name="Normal 2 11 8 2" xfId="3394" xr:uid="{8FF802E9-DFFF-41E0-B236-EF4306B3FF27}"/>
    <cellStyle name="Normal 2 11 9" xfId="1893" xr:uid="{6077860C-44AF-4E83-9FF1-362514B1E4F6}"/>
    <cellStyle name="Normal 2 12" xfId="153" xr:uid="{A71F7A10-80D8-424A-B10D-41B14E67C800}"/>
    <cellStyle name="Normal 2 12 2" xfId="399" xr:uid="{E6D2B481-6A68-4476-9469-D5F8AF4DAF7C}"/>
    <cellStyle name="Normal 2 12 2 2" xfId="2098" xr:uid="{19FC8D41-DDBB-48A0-AA79-8D97C586E828}"/>
    <cellStyle name="Normal 2 12 3" xfId="595" xr:uid="{B56082EE-B3FD-4059-9E48-37FC77227B2E}"/>
    <cellStyle name="Normal 2 12 3 2" xfId="2316" xr:uid="{96C0F455-2B86-42A0-A674-2D8AE8D6CD43}"/>
    <cellStyle name="Normal 2 12 4" xfId="813" xr:uid="{F156A80E-B620-48F3-944D-44BE57FBDB66}"/>
    <cellStyle name="Normal 2 12 4 2" xfId="2534" xr:uid="{BC7191E2-6EEA-450E-929C-A9310F210AEA}"/>
    <cellStyle name="Normal 2 12 5" xfId="1031" xr:uid="{A1651B64-68CD-45FE-8827-A8DABFEC13D2}"/>
    <cellStyle name="Normal 2 12 5 2" xfId="2752" xr:uid="{B5308410-F73F-4C01-9BFF-AF9372C298DD}"/>
    <cellStyle name="Normal 2 12 6" xfId="1249" xr:uid="{EAE9AF1D-D5E5-4A9F-9FE9-8706FB1CC4E5}"/>
    <cellStyle name="Normal 2 12 6 2" xfId="2970" xr:uid="{379216B9-3052-414F-B098-79F60C86DC05}"/>
    <cellStyle name="Normal 2 12 7" xfId="1467" xr:uid="{52D1BDCD-0B81-4722-9008-5D1605BFA564}"/>
    <cellStyle name="Normal 2 12 7 2" xfId="3188" xr:uid="{ECB4E8F0-B818-4E3B-AD99-0156EF197743}"/>
    <cellStyle name="Normal 2 12 8" xfId="1686" xr:uid="{00F5C7AB-FBE8-4A2E-B4DD-CFE0DCC226D6}"/>
    <cellStyle name="Normal 2 12 8 2" xfId="3407" xr:uid="{0A5D90FE-9929-4978-BB53-7208064ED79C}"/>
    <cellStyle name="Normal 2 12 9" xfId="1906" xr:uid="{257FD05C-779E-4150-8612-EC7A9F2C5F5D}"/>
    <cellStyle name="Normal 2 13" xfId="166" xr:uid="{3A873C8F-DA61-4A83-9A4E-B8C34683F7BA}"/>
    <cellStyle name="Normal 2 13 2" xfId="412" xr:uid="{6D085DD5-659F-43E6-83E5-FD8D9D0A0F64}"/>
    <cellStyle name="Normal 2 13 2 2" xfId="2111" xr:uid="{EE889339-5A10-4B42-8D19-500AA5A634E5}"/>
    <cellStyle name="Normal 2 13 3" xfId="608" xr:uid="{DB86D97F-490C-40C4-8251-7492F0850765}"/>
    <cellStyle name="Normal 2 13 3 2" xfId="2329" xr:uid="{2AE6D170-E25B-4D5F-B386-DC017E2A496A}"/>
    <cellStyle name="Normal 2 13 4" xfId="826" xr:uid="{A4DFD5A1-3E9A-4AB2-80DF-F95F6A4D98E3}"/>
    <cellStyle name="Normal 2 13 4 2" xfId="2547" xr:uid="{EB673F0C-5B09-4AFF-BBA2-5B16483249E4}"/>
    <cellStyle name="Normal 2 13 5" xfId="1044" xr:uid="{E50AD856-ED33-41AA-BC85-DE5D08B10D17}"/>
    <cellStyle name="Normal 2 13 5 2" xfId="2765" xr:uid="{432F82ED-B6A8-450B-939E-559B148818BE}"/>
    <cellStyle name="Normal 2 13 6" xfId="1262" xr:uid="{E6DF01C0-8040-42FF-AC4D-4BFDFD82FF4D}"/>
    <cellStyle name="Normal 2 13 6 2" xfId="2983" xr:uid="{999A242E-5C91-4E9A-8DA9-76AE9146D76F}"/>
    <cellStyle name="Normal 2 13 7" xfId="1480" xr:uid="{54D5E999-8FE6-44FB-9019-BCD4521EEBEB}"/>
    <cellStyle name="Normal 2 13 7 2" xfId="3201" xr:uid="{AE5CD7EC-3174-4493-A097-7DDDACA5327D}"/>
    <cellStyle name="Normal 2 13 8" xfId="1699" xr:uid="{D900FFB3-4057-428A-A84B-8BA4FAD0F91E}"/>
    <cellStyle name="Normal 2 13 8 2" xfId="3420" xr:uid="{AA8E76A1-6B2F-4D8C-9B87-C4510ACCB13B}"/>
    <cellStyle name="Normal 2 13 9" xfId="1919" xr:uid="{130E9988-9B75-4309-8BDB-B4108AEC7516}"/>
    <cellStyle name="Normal 2 14" xfId="179" xr:uid="{A5CED0E6-DD2F-4DA1-BD00-DC88B76FF7C1}"/>
    <cellStyle name="Normal 2 14 2" xfId="425" xr:uid="{19C72B9D-3E02-4F72-91B3-17E22B9F35E5}"/>
    <cellStyle name="Normal 2 14 2 2" xfId="2124" xr:uid="{C3E1357C-74FD-4613-8098-A42C465991A8}"/>
    <cellStyle name="Normal 2 14 3" xfId="621" xr:uid="{5F8A0D23-F5F5-4DBE-A8C2-F26BF20F567E}"/>
    <cellStyle name="Normal 2 14 3 2" xfId="2342" xr:uid="{E369DF21-BB94-41B5-938A-64FCB0BDD5A2}"/>
    <cellStyle name="Normal 2 14 4" xfId="839" xr:uid="{C2C86039-D344-44E5-ABE8-A8686C75D5CA}"/>
    <cellStyle name="Normal 2 14 4 2" xfId="2560" xr:uid="{01B0D72A-2799-445C-9CC1-5E7EF9A1265D}"/>
    <cellStyle name="Normal 2 14 5" xfId="1057" xr:uid="{5194F388-6B09-4413-90D0-B3AC7CAF5070}"/>
    <cellStyle name="Normal 2 14 5 2" xfId="2778" xr:uid="{A52E164C-A56F-4AB0-930A-08132EBD5859}"/>
    <cellStyle name="Normal 2 14 6" xfId="1275" xr:uid="{CB9C2ACD-8F67-426B-B50A-30267D2D0F0D}"/>
    <cellStyle name="Normal 2 14 6 2" xfId="2996" xr:uid="{FE4362E6-5012-4188-BF0F-01022510B3A6}"/>
    <cellStyle name="Normal 2 14 7" xfId="1493" xr:uid="{44C9ECE0-D2D3-4F33-B47E-444DD9081CCD}"/>
    <cellStyle name="Normal 2 14 7 2" xfId="3214" xr:uid="{14EF5AB9-C611-4997-B1E0-2119463603FB}"/>
    <cellStyle name="Normal 2 14 8" xfId="1712" xr:uid="{7B388761-B5C3-4E2B-95FF-381E18FF9285}"/>
    <cellStyle name="Normal 2 14 8 2" xfId="3433" xr:uid="{B50C9466-4D8E-44C4-A139-06D1A7BD629B}"/>
    <cellStyle name="Normal 2 14 9" xfId="1932" xr:uid="{C07710A9-425F-44D2-A608-A97C755D0430}"/>
    <cellStyle name="Normal 2 15" xfId="192" xr:uid="{5FD9BA98-5DD9-4805-9F8E-A19EF575BD0C}"/>
    <cellStyle name="Normal 2 15 2" xfId="438" xr:uid="{BFFAB261-9B31-4FDD-A633-2D688073EE82}"/>
    <cellStyle name="Normal 2 15 2 2" xfId="2137" xr:uid="{467D2015-0E51-495B-A592-666BFB749B08}"/>
    <cellStyle name="Normal 2 15 3" xfId="634" xr:uid="{6B3BC889-7D48-4573-979E-802DAAB83958}"/>
    <cellStyle name="Normal 2 15 3 2" xfId="2355" xr:uid="{53C5EDCD-0B6D-4560-93BA-CBB02672F172}"/>
    <cellStyle name="Normal 2 15 4" xfId="852" xr:uid="{F15B46EA-F8EF-47E7-A95A-37D16A26316D}"/>
    <cellStyle name="Normal 2 15 4 2" xfId="2573" xr:uid="{6AEC68E6-8743-4B52-B9F4-EA7A6392F028}"/>
    <cellStyle name="Normal 2 15 5" xfId="1070" xr:uid="{43115730-A3C5-433C-A067-9381188FF8ED}"/>
    <cellStyle name="Normal 2 15 5 2" xfId="2791" xr:uid="{136184A5-6551-4752-8D6F-FFFD56078B3D}"/>
    <cellStyle name="Normal 2 15 6" xfId="1288" xr:uid="{1D625963-6EFF-4264-A893-4DC5D6BCC486}"/>
    <cellStyle name="Normal 2 15 6 2" xfId="3009" xr:uid="{340A3EC9-595D-4326-BE5E-705066A39A5F}"/>
    <cellStyle name="Normal 2 15 7" xfId="1506" xr:uid="{9D307D85-684D-4097-AA56-94186B335054}"/>
    <cellStyle name="Normal 2 15 7 2" xfId="3227" xr:uid="{01EAC737-353F-4C8E-852B-7B7C19B0C2B6}"/>
    <cellStyle name="Normal 2 15 8" xfId="1725" xr:uid="{50129F62-48AC-43E8-B30E-E52D306F6029}"/>
    <cellStyle name="Normal 2 15 8 2" xfId="3446" xr:uid="{951BDB3A-B136-4466-8751-304970AAB69A}"/>
    <cellStyle name="Normal 2 15 9" xfId="1945" xr:uid="{85A9F764-0D16-49C9-AF84-C11DB69D632A}"/>
    <cellStyle name="Normal 2 16" xfId="205" xr:uid="{15609A1F-5A5E-4774-840F-95FA2A525240}"/>
    <cellStyle name="Normal 2 17" xfId="217" xr:uid="{B35FFF5C-AC2A-493C-93E5-F14B72392914}"/>
    <cellStyle name="Normal 2 17 2" xfId="461" xr:uid="{29A47460-D582-4AB6-8BB0-F41066854BDB}"/>
    <cellStyle name="Normal 2 17 2 2" xfId="2160" xr:uid="{924DE960-36EB-4201-8C94-1E93E5746E40}"/>
    <cellStyle name="Normal 2 17 3" xfId="657" xr:uid="{39EFE6F7-9C87-410A-9328-364E1C638395}"/>
    <cellStyle name="Normal 2 17 3 2" xfId="2378" xr:uid="{6E7A0F93-8C61-49A4-BBCF-34B89C643971}"/>
    <cellStyle name="Normal 2 17 4" xfId="875" xr:uid="{2928BF71-5669-4B51-A0DC-09717133F859}"/>
    <cellStyle name="Normal 2 17 4 2" xfId="2596" xr:uid="{7F518DAE-6652-4CD5-B18C-D7BAB3EDDB78}"/>
    <cellStyle name="Normal 2 17 5" xfId="1093" xr:uid="{04E9156C-D173-473E-8CF5-A4B73B9C6C41}"/>
    <cellStyle name="Normal 2 17 5 2" xfId="2814" xr:uid="{8766570E-EF90-41D7-8492-4CE69AA0DA88}"/>
    <cellStyle name="Normal 2 17 6" xfId="1311" xr:uid="{6B800260-42C6-4951-AE65-E475D3103367}"/>
    <cellStyle name="Normal 2 17 6 2" xfId="3032" xr:uid="{36ABA5CF-4148-4913-8077-E5BC26FEA731}"/>
    <cellStyle name="Normal 2 17 7" xfId="1529" xr:uid="{C04DDD26-3C11-48D0-97E3-055B4C423427}"/>
    <cellStyle name="Normal 2 17 7 2" xfId="3250" xr:uid="{778854B6-09BF-40CC-846A-C29D646E2EFC}"/>
    <cellStyle name="Normal 2 17 8" xfId="1748" xr:uid="{5DF6DF08-4717-4CC0-AA14-16EC9AF48C62}"/>
    <cellStyle name="Normal 2 17 8 2" xfId="3469" xr:uid="{BCAC781A-8A70-4238-A3B6-ACB6680038C3}"/>
    <cellStyle name="Normal 2 17 9" xfId="1968" xr:uid="{49F5797E-2044-434C-885B-5959345E4D49}"/>
    <cellStyle name="Normal 2 18" xfId="230" xr:uid="{22FE3258-9A71-43C7-AEF5-982846D7F7B7}"/>
    <cellStyle name="Normal 2 18 2" xfId="474" xr:uid="{69468611-942E-417A-A84C-81BADA2353B3}"/>
    <cellStyle name="Normal 2 18 2 2" xfId="2173" xr:uid="{6EF7F5BF-F4B8-440F-8AF5-567F03CFFD79}"/>
    <cellStyle name="Normal 2 18 3" xfId="670" xr:uid="{4269F487-2C92-4A51-8F45-C410E8046202}"/>
    <cellStyle name="Normal 2 18 3 2" xfId="2391" xr:uid="{0E890376-7ECF-4969-9A39-9A4C211C0AFB}"/>
    <cellStyle name="Normal 2 18 4" xfId="888" xr:uid="{86EFD176-8095-42BA-BE41-EF4613E74A2E}"/>
    <cellStyle name="Normal 2 18 4 2" xfId="2609" xr:uid="{AE1C1A52-805F-4820-85CF-4EB7F9194514}"/>
    <cellStyle name="Normal 2 18 5" xfId="1106" xr:uid="{44B7D3CD-24D2-4965-84B3-6EA35D9ADF8E}"/>
    <cellStyle name="Normal 2 18 5 2" xfId="2827" xr:uid="{A98E0062-0DB0-4E23-AA51-F1D79F55543D}"/>
    <cellStyle name="Normal 2 18 6" xfId="1324" xr:uid="{F86E59DF-812E-4F1D-83FE-14B036256720}"/>
    <cellStyle name="Normal 2 18 6 2" xfId="3045" xr:uid="{87A57A33-94A4-458D-B9AD-F6D94DC0D7CE}"/>
    <cellStyle name="Normal 2 18 7" xfId="1542" xr:uid="{5E7E70EE-8199-4CED-866F-095AD104EC89}"/>
    <cellStyle name="Normal 2 18 7 2" xfId="3263" xr:uid="{5CBE5830-97F6-4DDA-849C-84A8417B14FE}"/>
    <cellStyle name="Normal 2 18 8" xfId="1761" xr:uid="{D3E4CB58-1188-4070-9F12-4A2B925849F0}"/>
    <cellStyle name="Normal 2 18 8 2" xfId="3482" xr:uid="{19922FF3-F3B4-4ADC-99F6-98E07F274B62}"/>
    <cellStyle name="Normal 2 18 9" xfId="1981" xr:uid="{C1A13F25-407C-446F-996A-35C6D0E25E2A}"/>
    <cellStyle name="Normal 2 19" xfId="243" xr:uid="{A4480ABF-F513-49AD-B9A2-DA8AB4C58CF3}"/>
    <cellStyle name="Normal 2 19 2" xfId="683" xr:uid="{EBB9910A-424A-4321-8AF5-7C6E4026EC4D}"/>
    <cellStyle name="Normal 2 19 2 2" xfId="2404" xr:uid="{90683A22-9C3D-4F74-B436-C1202FADC36C}"/>
    <cellStyle name="Normal 2 19 3" xfId="901" xr:uid="{1BF40923-2534-451B-B9F5-C06A0B92DA71}"/>
    <cellStyle name="Normal 2 19 3 2" xfId="2622" xr:uid="{D3461759-8648-404D-A665-12B54AE6A9A0}"/>
    <cellStyle name="Normal 2 19 4" xfId="1119" xr:uid="{3485C76F-73E6-4E6E-81AD-E907773EBBCA}"/>
    <cellStyle name="Normal 2 19 4 2" xfId="2840" xr:uid="{6B623D2E-54C4-4BE0-8701-C3E76CF974C5}"/>
    <cellStyle name="Normal 2 19 5" xfId="1337" xr:uid="{9238EE9A-5171-4F0B-9C9B-29972794D248}"/>
    <cellStyle name="Normal 2 19 5 2" xfId="3058" xr:uid="{1805F7B9-DCC8-4ACA-9FA4-EB1EE58432ED}"/>
    <cellStyle name="Normal 2 19 6" xfId="1555" xr:uid="{FDF22BCA-A7C7-44D2-AFD2-E0032E4048BA}"/>
    <cellStyle name="Normal 2 19 6 2" xfId="3276" xr:uid="{AFCC9C23-4590-4A56-AB54-0807AA6D54D8}"/>
    <cellStyle name="Normal 2 19 7" xfId="1774" xr:uid="{63CDD0B1-3929-4F95-93FF-21D93585C03D}"/>
    <cellStyle name="Normal 2 19 7 2" xfId="3495" xr:uid="{3F2DB6B5-05D6-4EC9-9581-ECD8F9FA585A}"/>
    <cellStyle name="Normal 2 19 8" xfId="2186" xr:uid="{9B014E55-84B7-4D6D-A3F6-7D76B28314E8}"/>
    <cellStyle name="Normal 2 2" xfId="53" xr:uid="{8DB1B94A-8864-4122-BFD6-D02A27548B8C}"/>
    <cellStyle name="Normal 2 2 10" xfId="3578" xr:uid="{BDFEF3EE-E0B1-42D0-83F2-DB700099A7BB}"/>
    <cellStyle name="Normal 2 2 2" xfId="297" xr:uid="{73A9AA0F-5DAF-4F4D-96C9-8A8C885083B7}"/>
    <cellStyle name="Normal 2 2 2 2" xfId="286" xr:uid="{17F04B15-6765-48DF-A61C-4482A85900CB}"/>
    <cellStyle name="Normal 2 2 2 2 2" xfId="487" xr:uid="{E7CD3E48-2B8A-428A-A21F-8F731B0DAC7C}"/>
    <cellStyle name="Normal 2 2 2 2 2 2" xfId="3528" xr:uid="{1CE63493-878A-4D76-A419-80A8A8472BD0}"/>
    <cellStyle name="Normal 2 2 2 2 2 2 2" xfId="3571" xr:uid="{BA7F8C99-5D3A-4138-8B7D-69E5B08B0FFF}"/>
    <cellStyle name="Normal 2 2 2 2 2 2 3" xfId="3629" xr:uid="{25BBDF4D-4DA9-45F6-9184-8B4F0ED00EF7}"/>
    <cellStyle name="Normal 2 2 2 2 2 3" xfId="287" xr:uid="{0FA8548F-36FB-4EA4-ADB7-984C65E0B735}"/>
    <cellStyle name="Normal 2 2 2 2 2 3 2" xfId="3557" xr:uid="{C292F627-77A8-4AE0-84CD-5AC1761CE15E}"/>
    <cellStyle name="Normal 2 2 2 2 2 3 3" xfId="3603" xr:uid="{FD0DFE8D-F56F-4C4C-B890-425BC992F295}"/>
    <cellStyle name="Normal 2 2 2 2 2 4" xfId="3542" xr:uid="{F9AA45EF-1CEA-457F-A881-0FFCEBA9A6F6}"/>
    <cellStyle name="Normal 2 2 2 2 2 5" xfId="3585" xr:uid="{42D04240-C534-44A3-A06B-9AFECDB2CD89}"/>
    <cellStyle name="Normal 2 2 2 2 3" xfId="278" xr:uid="{213C082E-DABE-4870-AFCD-683C8EB0619B}"/>
    <cellStyle name="Normal 2 2 2 2 3 2" xfId="3532" xr:uid="{43A1847D-5EC6-4C9B-86C7-B8FE83336A70}"/>
    <cellStyle name="Normal 2 2 2 2 3 2 2" xfId="3575" xr:uid="{3FE24C74-A808-44F1-91A6-772DCD994A6F}"/>
    <cellStyle name="Normal 2 2 2 2 3 2 3" xfId="3637" xr:uid="{0F60A5F6-F2ED-4D73-B106-E014C348FD8F}"/>
    <cellStyle name="Normal 2 2 2 2 3 3" xfId="294" xr:uid="{52F2CF95-721F-4167-9ED9-418FF8C7D0C7}"/>
    <cellStyle name="Normal 2 2 2 2 3 3 2" xfId="3561" xr:uid="{5C90F3E1-3923-4F5B-B316-B30091C89236}"/>
    <cellStyle name="Normal 2 2 2 2 3 3 3" xfId="3611" xr:uid="{9827F5F5-8FF5-41EB-A203-7DD970632349}"/>
    <cellStyle name="Normal 2 2 2 2 3 4" xfId="3547" xr:uid="{4F6B8B48-E5D1-452E-AC55-AE81717D30D6}"/>
    <cellStyle name="Normal 2 2 2 2 3 5" xfId="3589" xr:uid="{14C48C6E-393D-40FE-B570-896CDBB91EA7}"/>
    <cellStyle name="Normal 2 2 2 2 4" xfId="3525" xr:uid="{C835DB6A-E4D4-424A-B238-419D6C58EF90}"/>
    <cellStyle name="Normal 2 2 2 2 4 2" xfId="3567" xr:uid="{323A11B1-29D4-4D40-80B5-D52AAD5F5BD9}"/>
    <cellStyle name="Normal 2 2 2 2 4 3" xfId="3621" xr:uid="{BBC4D763-623A-40FC-8C70-F8480760DC44}"/>
    <cellStyle name="Normal 2 2 2 2 5" xfId="290" xr:uid="{7B095B81-2830-4F1E-A492-D6AD4B61E400}"/>
    <cellStyle name="Normal 2 2 2 2 5 2" xfId="3553" xr:uid="{38A836D9-0411-4FFC-821D-856EF1CF9346}"/>
    <cellStyle name="Normal 2 2 2 2 5 3" xfId="3595" xr:uid="{59CC909B-31EC-4FF3-9D31-2C7B25BB185F}"/>
    <cellStyle name="Normal 2 2 2 2 6" xfId="3538" xr:uid="{B6437947-D101-4F17-97FD-0D36C60C2242}"/>
    <cellStyle name="Normal 2 2 2 2 7" xfId="3581" xr:uid="{13B17B95-A6EB-4A1B-A551-DEB5D2B7F87D}"/>
    <cellStyle name="Normal 2 2 2 3" xfId="291" xr:uid="{76A3E4D8-C2C7-47F8-8C08-FED87AD4D670}"/>
    <cellStyle name="Normal 2 2 2 3 2" xfId="3527" xr:uid="{2A4A545A-0E0B-4B06-A751-157BDDEE0F54}"/>
    <cellStyle name="Normal 2 2 2 3 2 2" xfId="3569" xr:uid="{072062E4-1484-4779-A695-580AD5D86418}"/>
    <cellStyle name="Normal 2 2 2 3 2 3" xfId="3625" xr:uid="{C2B74A5F-891A-4C33-AB35-A9AF5D327D91}"/>
    <cellStyle name="Normal 2 2 2 3 3" xfId="488" xr:uid="{6D0AA7B4-306C-4969-A445-3A9C721F6B30}"/>
    <cellStyle name="Normal 2 2 2 3 3 2" xfId="3555" xr:uid="{6EBC3E5B-324C-4FAB-99BB-A2838F3B8DE2}"/>
    <cellStyle name="Normal 2 2 2 3 3 3" xfId="3599" xr:uid="{8151CAA0-54D6-41E3-A859-0B48E6E82E5B}"/>
    <cellStyle name="Normal 2 2 2 3 4" xfId="3540" xr:uid="{40FF9187-0AB2-427A-8BF1-D0958D952C9C}"/>
    <cellStyle name="Normal 2 2 2 3 5" xfId="3583" xr:uid="{84F0266D-9822-4F6E-8055-98D714258CB9}"/>
    <cellStyle name="Normal 2 2 2 4" xfId="272" xr:uid="{9D246C43-9A00-4E99-BD71-1CB7FB1F206E}"/>
    <cellStyle name="Normal 2 2 2 4 2" xfId="3530" xr:uid="{7324164C-9424-4F8E-8B79-BD07368ADE96}"/>
    <cellStyle name="Normal 2 2 2 4 2 2" xfId="3573" xr:uid="{7F085CC9-348E-4132-A4E1-D5A80EB47161}"/>
    <cellStyle name="Normal 2 2 2 4 2 3" xfId="3633" xr:uid="{A934B051-431B-4CD3-A27D-8D80867778D0}"/>
    <cellStyle name="Normal 2 2 2 4 3" xfId="296" xr:uid="{9F8C40D4-1B01-4B3E-8415-569A078C029B}"/>
    <cellStyle name="Normal 2 2 2 4 3 2" xfId="3559" xr:uid="{AE8F6480-C1CB-4854-B693-4BC5237A956E}"/>
    <cellStyle name="Normal 2 2 2 4 3 3" xfId="3607" xr:uid="{40DA8BC9-BBC2-4C71-ADAB-316302BA51AB}"/>
    <cellStyle name="Normal 2 2 2 4 4" xfId="3545" xr:uid="{6C7DBAD9-9BFC-497D-B532-478B6C812B2F}"/>
    <cellStyle name="Normal 2 2 2 4 5" xfId="3587" xr:uid="{C9C7687B-23B1-41F4-BEC3-D8C4ED979416}"/>
    <cellStyle name="Normal 2 2 2 5" xfId="277" xr:uid="{47A5A124-5C4A-48EB-B6D0-5D77D140CD88}"/>
    <cellStyle name="Normal 2 2 2 5 2" xfId="3534" xr:uid="{74578420-3768-4FFD-BE31-29C509342783}"/>
    <cellStyle name="Normal 2 2 2 5 2 2" xfId="3577" xr:uid="{4A90A739-FA0B-445F-9CE3-B5E1B1BAD567}"/>
    <cellStyle name="Normal 2 2 2 5 2 3" xfId="3643" xr:uid="{88488F36-BB5A-4AE7-B96F-30164F67D7C5}"/>
    <cellStyle name="Normal 2 2 2 5 3" xfId="281" xr:uid="{684D1817-3768-4F75-BABC-9A0969FA552F}"/>
    <cellStyle name="Normal 2 2 2 5 3 2" xfId="3563" xr:uid="{12BB4566-3756-403A-9C07-C182BF33C7E2}"/>
    <cellStyle name="Normal 2 2 2 5 3 3" xfId="3617" xr:uid="{1DE75E3B-B4DF-4002-9A65-A43EFCD68E1A}"/>
    <cellStyle name="Normal 2 2 2 5 4" xfId="3549" xr:uid="{78C407B0-E945-4A35-AA30-4830E127B248}"/>
    <cellStyle name="Normal 2 2 2 5 5" xfId="3591" xr:uid="{D4BE93BB-8C43-40E0-B024-47983E6803A0}"/>
    <cellStyle name="Normal 2 2 2 6" xfId="3523" xr:uid="{47AEB507-55B5-48DB-A39A-3C8A4FE881B0}"/>
    <cellStyle name="Normal 2 2 2 6 2" xfId="3565" xr:uid="{10AE33B7-F9A7-4505-BC19-E1BBF6F3837F}"/>
    <cellStyle name="Normal 2 2 2 6 3" xfId="3619" xr:uid="{BA97EA59-A980-40A0-B18A-26949657E760}"/>
    <cellStyle name="Normal 2 2 2 7" xfId="490" xr:uid="{8E806C45-AE91-4AC4-B647-6E4A6A9E7A71}"/>
    <cellStyle name="Normal 2 2 2 7 2" xfId="3551" xr:uid="{FBF36C60-D658-43F0-B268-32EAE5BD31A9}"/>
    <cellStyle name="Normal 2 2 2 7 3" xfId="3593" xr:uid="{5738C3BA-D4C1-427E-8501-2FC8FE44C383}"/>
    <cellStyle name="Normal 2 2 2 8" xfId="3536" xr:uid="{71BBCBC4-A1A2-4792-9352-7771D8B89C1C}"/>
    <cellStyle name="Normal 2 2 2 9" xfId="3579" xr:uid="{BDFCFB02-EB82-41CD-B3BF-69F34CE52C60}"/>
    <cellStyle name="Normal 2 2 3" xfId="279" xr:uid="{55C17AA8-596B-4158-B813-242F6D2A64DD}"/>
    <cellStyle name="Normal 2 2 3 2" xfId="489" xr:uid="{581357C9-693B-4559-B525-6BEA4376742F}"/>
    <cellStyle name="Normal 2 2 3 2 2" xfId="271" xr:uid="{205A126F-7D31-41DB-B8B7-5AED98C8F190}"/>
    <cellStyle name="Normal 2 2 3 2 2 2" xfId="3570" xr:uid="{67B99FE5-723C-49DD-AF58-30274753A718}"/>
    <cellStyle name="Normal 2 2 3 2 2 3" xfId="3627" xr:uid="{412C86A1-E5CF-4807-B9CC-BE05C9A3AA38}"/>
    <cellStyle name="Normal 2 2 3 2 3" xfId="292" xr:uid="{EB0D01C3-6BDF-4877-A15B-CA04ABEB4E03}"/>
    <cellStyle name="Normal 2 2 3 2 3 2" xfId="3556" xr:uid="{ECBF38B4-D540-4448-A413-7A82E64393F5}"/>
    <cellStyle name="Normal 2 2 3 2 3 3" xfId="3601" xr:uid="{22429539-046C-432B-8D00-E9046AC6D059}"/>
    <cellStyle name="Normal 2 2 3 2 4" xfId="3541" xr:uid="{DA88F5F0-A5D9-42CA-8944-AA3DCE1E3C9B}"/>
    <cellStyle name="Normal 2 2 3 2 5" xfId="3584" xr:uid="{E36B5C7B-FC0C-458F-9DE2-E5C3E21BFF3D}"/>
    <cellStyle name="Normal 2 2 3 3" xfId="295" xr:uid="{C357993B-3C54-4BC5-8E68-1397F4665FD6}"/>
    <cellStyle name="Normal 2 2 3 3 2" xfId="3531" xr:uid="{7A519F04-ED44-446F-BF39-E4801C04D05C}"/>
    <cellStyle name="Normal 2 2 3 3 2 2" xfId="3574" xr:uid="{AD46DBBF-3A26-47CB-89FA-979FB2A01B7C}"/>
    <cellStyle name="Normal 2 2 3 3 2 3" xfId="3635" xr:uid="{71BA5A6A-2D98-4D72-BACC-8936431E465E}"/>
    <cellStyle name="Normal 2 2 3 3 3" xfId="270" xr:uid="{58FF55D0-139A-465D-A004-61A567E413E6}"/>
    <cellStyle name="Normal 2 2 3 3 3 2" xfId="3560" xr:uid="{5F07C20C-EBD4-488F-BF38-604E7B9D8053}"/>
    <cellStyle name="Normal 2 2 3 3 3 3" xfId="3609" xr:uid="{F21EBB5C-E1A8-41FB-A7B6-66BA07002648}"/>
    <cellStyle name="Normal 2 2 3 3 4" xfId="3546" xr:uid="{ED881994-779B-4D13-86FB-F3B255C60270}"/>
    <cellStyle name="Normal 2 2 3 3 5" xfId="3588" xr:uid="{29E9905F-9B60-47A2-A11A-92192E395940}"/>
    <cellStyle name="Normal 2 2 3 4" xfId="280" xr:uid="{A602EC04-AD29-42EA-9DBD-A0AA435B89A5}"/>
    <cellStyle name="Normal 2 2 3 4 2" xfId="3533" xr:uid="{14B9FB81-F1AC-4914-8928-3F5161A218EF}"/>
    <cellStyle name="Normal 2 2 3 4 2 2" xfId="3576" xr:uid="{CC84EA42-F0ED-412A-A6C8-C2FAC656B2F1}"/>
    <cellStyle name="Normal 2 2 3 4 2 3" xfId="3641" xr:uid="{BFBA3886-0E36-496C-AF9D-E1E1C6A256CD}"/>
    <cellStyle name="Normal 2 2 3 4 3" xfId="284" xr:uid="{708D6390-650C-4BE5-98CB-C9BC12D16640}"/>
    <cellStyle name="Normal 2 2 3 4 3 2" xfId="3562" xr:uid="{324179E2-953E-4645-A95A-105F10A8D69D}"/>
    <cellStyle name="Normal 2 2 3 4 3 3" xfId="3615" xr:uid="{184A6913-80E5-4CC0-812A-39FD3927D78B}"/>
    <cellStyle name="Normal 2 2 3 4 4" xfId="3548" xr:uid="{D857348D-A9A7-4F4E-8979-9386873DE263}"/>
    <cellStyle name="Normal 2 2 3 4 5" xfId="3590" xr:uid="{00F5C545-8B61-4752-AD25-E2872821C3DB}"/>
    <cellStyle name="Normal 2 2 3 5" xfId="3524" xr:uid="{DEEF753B-D772-4FD2-A2CA-EA290A7A9E79}"/>
    <cellStyle name="Normal 2 2 3 5 2" xfId="3566" xr:uid="{12350097-47FE-44B4-A5E1-4485FFFBD887}"/>
    <cellStyle name="Normal 2 2 3 5 3" xfId="3620" xr:uid="{E786D2A5-4F98-49A3-89ED-1B602F369CD1}"/>
    <cellStyle name="Normal 2 2 3 6" xfId="293" xr:uid="{5AF71AF7-C5F3-4547-8BBE-ED32823C3DC4}"/>
    <cellStyle name="Normal 2 2 3 6 2" xfId="3552" xr:uid="{D8AAD1FD-33B9-4BA3-A60D-A78862044F17}"/>
    <cellStyle name="Normal 2 2 3 6 3" xfId="3594" xr:uid="{53343E16-A89A-4AA6-9F17-6749AFE84B46}"/>
    <cellStyle name="Normal 2 2 3 7" xfId="3537" xr:uid="{FD5095AF-5A55-4101-A174-1EB0B73EC40E}"/>
    <cellStyle name="Normal 2 2 3 8" xfId="3580" xr:uid="{1584968C-E889-4765-81E4-38F2627B7B29}"/>
    <cellStyle name="Normal 2 2 4" xfId="289" xr:uid="{A850809D-0747-4FF5-A340-DD4D0FE1C0AD}"/>
    <cellStyle name="Normal 2 2 4 2" xfId="3526" xr:uid="{BD83DE91-A7CD-4827-9724-02E2DC692EE6}"/>
    <cellStyle name="Normal 2 2 4 2 2" xfId="3568" xr:uid="{72DF8FE6-80E9-41BE-8730-9B2DB0182944}"/>
    <cellStyle name="Normal 2 2 4 2 3" xfId="3623" xr:uid="{1AA4D6EC-0DB4-4EA4-8E06-18F862ED7851}"/>
    <cellStyle name="Normal 2 2 4 3" xfId="273" xr:uid="{8F3304A0-936A-4537-AE77-0B42B198E24D}"/>
    <cellStyle name="Normal 2 2 4 3 2" xfId="3554" xr:uid="{A1A873BE-D8F1-4FD7-8EBF-6F8499A34617}"/>
    <cellStyle name="Normal 2 2 4 3 3" xfId="3597" xr:uid="{ACD48BA8-2480-4C94-84B6-DCA03CEF0508}"/>
    <cellStyle name="Normal 2 2 4 4" xfId="3539" xr:uid="{176B4EA1-0A93-423C-83ED-8B202229E596}"/>
    <cellStyle name="Normal 2 2 4 5" xfId="3582" xr:uid="{9D97E146-0502-4FEA-8B0F-4A06389E9DE7}"/>
    <cellStyle name="Normal 2 2 5" xfId="288" xr:uid="{52B62608-4945-46A2-B50E-BBE496A3B1A6}"/>
    <cellStyle name="Normal 2 2 5 2" xfId="3529" xr:uid="{7F52F18E-6A93-4817-9A40-3F5C8287DA47}"/>
    <cellStyle name="Normal 2 2 5 2 2" xfId="3572" xr:uid="{EA7FDB6E-8BA5-4B10-8F67-A86D6D2204A3}"/>
    <cellStyle name="Normal 2 2 5 2 3" xfId="3631" xr:uid="{CB5F5425-F9D8-42F6-8A6E-F450BFCE34AF}"/>
    <cellStyle name="Normal 2 2 5 3" xfId="282" xr:uid="{78B6F530-F8BE-4C29-9298-50DC6DB490A5}"/>
    <cellStyle name="Normal 2 2 5 3 2" xfId="3558" xr:uid="{E448740B-D52C-46F9-B400-A0FC21512521}"/>
    <cellStyle name="Normal 2 2 5 3 3" xfId="3605" xr:uid="{61C49B21-9EF7-4BE9-BCDD-231B2DF4F8EA}"/>
    <cellStyle name="Normal 2 2 5 4" xfId="3544" xr:uid="{B1B3641C-782E-4BC5-AD47-EC3923D4BFF0}"/>
    <cellStyle name="Normal 2 2 5 5" xfId="3586" xr:uid="{1FFD5741-BC11-4AC5-A4F3-17118A720A02}"/>
    <cellStyle name="Normal 2 2 6" xfId="274" xr:uid="{A809ED3D-2DE6-4797-A179-FF4F530B0CD1}"/>
    <cellStyle name="Normal 2 2 7" xfId="269" xr:uid="{792AED75-5167-4617-A341-466F29F9D04F}"/>
    <cellStyle name="Normal 2 2 7 2" xfId="3564" xr:uid="{45E19D7D-6AF3-4DF9-85D2-C74317A7AF01}"/>
    <cellStyle name="Normal 2 2 7 3" xfId="3618" xr:uid="{9DCADBDB-D4A5-4DDA-B9EA-193FD64F4D28}"/>
    <cellStyle name="Normal 2 2 8" xfId="275" xr:uid="{14958AF0-5623-461F-AEF5-64693267B9C4}"/>
    <cellStyle name="Normal 2 2 8 2" xfId="3550" xr:uid="{9B9A080D-82A6-4C00-9783-31F73EF28582}"/>
    <cellStyle name="Normal 2 2 8 3" xfId="3592" xr:uid="{A587F5D6-A81D-4C58-872E-E0D2B2A94AB9}"/>
    <cellStyle name="Normal 2 2 9" xfId="3535" xr:uid="{1D2682AA-CA46-4C8D-938E-E8726DC066A5}"/>
    <cellStyle name="Normal 2 20" xfId="256" xr:uid="{3ACEFC52-BC20-45B0-8A7B-A384B1B95378}"/>
    <cellStyle name="Normal 2 20 2" xfId="696" xr:uid="{20BA8818-BD72-4488-B973-E18FBD85263A}"/>
    <cellStyle name="Normal 2 20 2 2" xfId="2417" xr:uid="{793EAF5E-05E9-493B-852F-AA73D1181BB3}"/>
    <cellStyle name="Normal 2 20 3" xfId="914" xr:uid="{0AFAA739-9F6A-42EC-AEEA-5CCB6C68C887}"/>
    <cellStyle name="Normal 2 20 3 2" xfId="2635" xr:uid="{993F905B-D386-4ABC-8D42-F9BCB99E3F57}"/>
    <cellStyle name="Normal 2 20 4" xfId="1132" xr:uid="{99ED8EF2-D85A-450E-969A-1C36B1996873}"/>
    <cellStyle name="Normal 2 20 4 2" xfId="2853" xr:uid="{08877682-0E1C-4C0E-94CD-8FD8D3B4FF0B}"/>
    <cellStyle name="Normal 2 20 5" xfId="1350" xr:uid="{A33C2719-82E5-4141-84BB-28055A36CD95}"/>
    <cellStyle name="Normal 2 20 5 2" xfId="3071" xr:uid="{6DCC0065-F82A-4A91-B5A8-EA9303F5DA5F}"/>
    <cellStyle name="Normal 2 20 6" xfId="1568" xr:uid="{109DF882-418E-4B55-B5C4-B710FED804B1}"/>
    <cellStyle name="Normal 2 20 6 2" xfId="3289" xr:uid="{2F644B28-97CF-44CC-8D05-246648390D26}"/>
    <cellStyle name="Normal 2 20 7" xfId="1787" xr:uid="{56A97D59-0B77-4031-9366-EEDAE2A85E7A}"/>
    <cellStyle name="Normal 2 20 7 2" xfId="3508" xr:uid="{D78118DD-27FB-42C2-9526-26E26A939E1D}"/>
    <cellStyle name="Normal 2 20 8" xfId="2199" xr:uid="{CB8911B8-8019-44A8-88E2-CFAAE151F026}"/>
    <cellStyle name="Normal 2 21" xfId="51" xr:uid="{00000000-0005-0000-0000-000001000000}"/>
    <cellStyle name="Normal 2 21 2" xfId="1994" xr:uid="{AF7A79B4-A2BD-4C10-9387-C2C070B334D1}"/>
    <cellStyle name="Normal 2 22" xfId="491" xr:uid="{5EFA3CC1-5CAC-4C1B-80CD-82A2F2230A24}"/>
    <cellStyle name="Normal 2 22 2" xfId="2212" xr:uid="{E3C078E8-6C34-421C-B863-DB3FE6EAD44D}"/>
    <cellStyle name="Normal 2 23" xfId="709" xr:uid="{2E587090-0F75-497E-95FC-4968BD2E009E}"/>
    <cellStyle name="Normal 2 23 2" xfId="2430" xr:uid="{61A56226-E024-460F-8643-2A83CD29AEB1}"/>
    <cellStyle name="Normal 2 24" xfId="927" xr:uid="{07F822A3-FAFC-47F5-ABD7-F3EF2D611009}"/>
    <cellStyle name="Normal 2 24 2" xfId="2648" xr:uid="{137FCBC0-B697-4836-AA71-BEE236FECBE3}"/>
    <cellStyle name="Normal 2 25" xfId="1145" xr:uid="{119EDD0C-0EC9-40B6-8C28-523980F3B8C2}"/>
    <cellStyle name="Normal 2 25 2" xfId="2866" xr:uid="{D9611687-FC1C-4766-B94C-CE2505D62BD6}"/>
    <cellStyle name="Normal 2 26" xfId="1363" xr:uid="{B0928691-6A52-4AB6-AD49-AF48793BC587}"/>
    <cellStyle name="Normal 2 26 2" xfId="3084" xr:uid="{9CF90514-1164-468F-8C81-CCFD3F7B8555}"/>
    <cellStyle name="Normal 2 27" xfId="1582" xr:uid="{AE33E83B-61D8-4157-BD1E-49EC6F68D93C}"/>
    <cellStyle name="Normal 2 27 2" xfId="3303" xr:uid="{364EFF82-FAE4-4D86-81E3-968CAC28EBD3}"/>
    <cellStyle name="Normal 2 28" xfId="1802" xr:uid="{82D28BB5-FDC0-4D8C-8107-E414A159EC08}"/>
    <cellStyle name="Normal 2 3" xfId="54" xr:uid="{806491FD-3918-48F8-A8DD-0C3B2AF35112}"/>
    <cellStyle name="Normal 2 3 10" xfId="156" xr:uid="{B52D4637-5789-47AD-9D06-8338374F7F39}"/>
    <cellStyle name="Normal 2 3 10 2" xfId="402" xr:uid="{189A43A8-977C-40BB-8EC7-94C0CAE88551}"/>
    <cellStyle name="Normal 2 3 10 2 2" xfId="2101" xr:uid="{CAF0B776-F1BA-47DA-9CAB-7A52E394D39E}"/>
    <cellStyle name="Normal 2 3 10 3" xfId="598" xr:uid="{0AAA27A4-85B4-4D83-A404-7EC2D81ED690}"/>
    <cellStyle name="Normal 2 3 10 3 2" xfId="2319" xr:uid="{E98CD4A9-4D0E-49DE-BAD5-C98E25EDD0DE}"/>
    <cellStyle name="Normal 2 3 10 4" xfId="816" xr:uid="{E368FBA4-7AAF-48D0-92A4-E18F48BC2F63}"/>
    <cellStyle name="Normal 2 3 10 4 2" xfId="2537" xr:uid="{6D719808-D384-4EA2-9F20-A4B96E024AEB}"/>
    <cellStyle name="Normal 2 3 10 5" xfId="1034" xr:uid="{F71B465E-A0DD-4BC2-8060-D37E21349B3A}"/>
    <cellStyle name="Normal 2 3 10 5 2" xfId="2755" xr:uid="{D5294D57-BCEC-406D-B674-EE859141BC80}"/>
    <cellStyle name="Normal 2 3 10 6" xfId="1252" xr:uid="{862A401C-2C67-4049-987D-453C04A602B7}"/>
    <cellStyle name="Normal 2 3 10 6 2" xfId="2973" xr:uid="{37990FE1-F5C5-4BEF-92D0-4922C190165E}"/>
    <cellStyle name="Normal 2 3 10 7" xfId="1470" xr:uid="{77639A33-5224-4DAA-A9A0-7E590E2EF4BE}"/>
    <cellStyle name="Normal 2 3 10 7 2" xfId="3191" xr:uid="{A5A9192F-7848-47F8-B39E-A0B2EB392811}"/>
    <cellStyle name="Normal 2 3 10 8" xfId="1689" xr:uid="{F8D412D5-74C1-4B9A-9355-B0587DBB95AC}"/>
    <cellStyle name="Normal 2 3 10 8 2" xfId="3410" xr:uid="{F1648186-2D08-4BBD-9A3B-B9BE281CE4C4}"/>
    <cellStyle name="Normal 2 3 10 9" xfId="1909" xr:uid="{867782B8-B84F-4E76-83EF-F2FAD0D31805}"/>
    <cellStyle name="Normal 2 3 11" xfId="169" xr:uid="{350A4C4A-F016-46FD-AD60-ED83C4F29195}"/>
    <cellStyle name="Normal 2 3 11 2" xfId="415" xr:uid="{CA70B7B3-EC64-4196-97DD-9A19C176C59E}"/>
    <cellStyle name="Normal 2 3 11 2 2" xfId="2114" xr:uid="{22C9AE39-9277-447F-80D6-127ACDC43D06}"/>
    <cellStyle name="Normal 2 3 11 3" xfId="611" xr:uid="{E3DB9510-9DEF-4F24-B173-35D9618FA4B8}"/>
    <cellStyle name="Normal 2 3 11 3 2" xfId="2332" xr:uid="{4D62538D-1FA9-4DE1-8035-C71D76661C91}"/>
    <cellStyle name="Normal 2 3 11 4" xfId="829" xr:uid="{25633CFE-E141-4382-B7BE-62D99621A720}"/>
    <cellStyle name="Normal 2 3 11 4 2" xfId="2550" xr:uid="{A90FD81C-AE83-41BF-B503-40F2EC591FAE}"/>
    <cellStyle name="Normal 2 3 11 5" xfId="1047" xr:uid="{407A5E95-B845-48A0-B1F2-DC84B30C5F44}"/>
    <cellStyle name="Normal 2 3 11 5 2" xfId="2768" xr:uid="{E85C0800-ED36-4ED7-B0B9-D4C7525A186F}"/>
    <cellStyle name="Normal 2 3 11 6" xfId="1265" xr:uid="{9C291B2A-5BE9-48EB-9ABA-9592C0ACA7DB}"/>
    <cellStyle name="Normal 2 3 11 6 2" xfId="2986" xr:uid="{7F6577A1-49CC-4109-9310-BE14F1A10525}"/>
    <cellStyle name="Normal 2 3 11 7" xfId="1483" xr:uid="{38BB58C9-1656-4A15-98CF-5D173E627B2D}"/>
    <cellStyle name="Normal 2 3 11 7 2" xfId="3204" xr:uid="{B7F367EA-BCD8-4509-8A45-A46A2C39D421}"/>
    <cellStyle name="Normal 2 3 11 8" xfId="1702" xr:uid="{CF005B71-9698-4BCB-BF1D-E667E63F372D}"/>
    <cellStyle name="Normal 2 3 11 8 2" xfId="3423" xr:uid="{D8FE19C2-6FD9-4E44-A02F-D1CE0221B36A}"/>
    <cellStyle name="Normal 2 3 11 9" xfId="1922" xr:uid="{FF2E94FA-A5D4-4543-B98C-7F90A7065F46}"/>
    <cellStyle name="Normal 2 3 12" xfId="182" xr:uid="{8ECB29D2-C942-4BC7-8152-AC45B0DF09ED}"/>
    <cellStyle name="Normal 2 3 12 2" xfId="428" xr:uid="{D76D222F-605F-4189-AE01-8909077EC453}"/>
    <cellStyle name="Normal 2 3 12 2 2" xfId="2127" xr:uid="{A69FB9FE-1771-4B24-BFAC-3FD851206C51}"/>
    <cellStyle name="Normal 2 3 12 3" xfId="624" xr:uid="{49A108F1-99F8-4FAB-9616-C6BE576CEFD6}"/>
    <cellStyle name="Normal 2 3 12 3 2" xfId="2345" xr:uid="{ABEB9ADF-5EAF-4B77-BC3F-FA59DB4E46E6}"/>
    <cellStyle name="Normal 2 3 12 4" xfId="842" xr:uid="{4A9752AA-4FB2-4D7E-836D-469BA68B3A6E}"/>
    <cellStyle name="Normal 2 3 12 4 2" xfId="2563" xr:uid="{3FEB5CC9-AA94-41AD-AF17-49835B3EC331}"/>
    <cellStyle name="Normal 2 3 12 5" xfId="1060" xr:uid="{891E7077-A87F-4EA3-AE2A-F089DFAF4BE3}"/>
    <cellStyle name="Normal 2 3 12 5 2" xfId="2781" xr:uid="{BAF08103-39A6-4B19-B6F7-9E4A775108C9}"/>
    <cellStyle name="Normal 2 3 12 6" xfId="1278" xr:uid="{9187BF6F-2BD0-48A4-99D6-642D7CDD40C1}"/>
    <cellStyle name="Normal 2 3 12 6 2" xfId="2999" xr:uid="{AE9EEA56-BDE8-44DE-945F-62EB3E44505F}"/>
    <cellStyle name="Normal 2 3 12 7" xfId="1496" xr:uid="{A16652F8-B785-4306-A8CA-E3B6038FD0DB}"/>
    <cellStyle name="Normal 2 3 12 7 2" xfId="3217" xr:uid="{E27D12D5-C78F-4756-BF4A-0BC8F5DC754E}"/>
    <cellStyle name="Normal 2 3 12 8" xfId="1715" xr:uid="{FEBA0FD5-E9DA-4AF5-A609-B1601B6294B0}"/>
    <cellStyle name="Normal 2 3 12 8 2" xfId="3436" xr:uid="{0124F4BF-7446-40C1-A0AA-5E2F36463043}"/>
    <cellStyle name="Normal 2 3 12 9" xfId="1935" xr:uid="{FDE9DE23-A63C-4C88-948B-0F047A78FAE1}"/>
    <cellStyle name="Normal 2 3 13" xfId="195" xr:uid="{F1574C15-CE1A-4E7E-8676-8D6B8923898A}"/>
    <cellStyle name="Normal 2 3 13 2" xfId="441" xr:uid="{CB97374D-DF4F-4062-8662-A45AC9BFD272}"/>
    <cellStyle name="Normal 2 3 13 2 2" xfId="2140" xr:uid="{128AA5AE-0EE1-450B-AFCA-13B7AE8A17D3}"/>
    <cellStyle name="Normal 2 3 13 3" xfId="637" xr:uid="{98D1DE7E-9649-41EC-B2E9-8CAB3116E64C}"/>
    <cellStyle name="Normal 2 3 13 3 2" xfId="2358" xr:uid="{112A8D4E-F5FA-4FCE-9C6A-E08434322A5D}"/>
    <cellStyle name="Normal 2 3 13 4" xfId="855" xr:uid="{0C1C51F7-49AA-47C2-A226-87C1E9C9C4F1}"/>
    <cellStyle name="Normal 2 3 13 4 2" xfId="2576" xr:uid="{D0A6CF38-C4B0-4DD8-A1F8-ACB16AFCA2C7}"/>
    <cellStyle name="Normal 2 3 13 5" xfId="1073" xr:uid="{4E618DFC-2A4D-48F4-AAAD-A51950451908}"/>
    <cellStyle name="Normal 2 3 13 5 2" xfId="2794" xr:uid="{7A451173-8C56-49C5-B440-E36F075FC488}"/>
    <cellStyle name="Normal 2 3 13 6" xfId="1291" xr:uid="{FDF75611-219D-4838-BB17-8A86C025616F}"/>
    <cellStyle name="Normal 2 3 13 6 2" xfId="3012" xr:uid="{42478178-5C4E-40D0-AB8D-681076F198CF}"/>
    <cellStyle name="Normal 2 3 13 7" xfId="1509" xr:uid="{F0D22B1E-A4A7-4D10-8FD7-EB9D48E7F047}"/>
    <cellStyle name="Normal 2 3 13 7 2" xfId="3230" xr:uid="{0BFCCA22-34F1-4C23-9276-BAE29F14AB32}"/>
    <cellStyle name="Normal 2 3 13 8" xfId="1728" xr:uid="{6B48DB65-98E0-4901-9510-6BE6FD1E78AA}"/>
    <cellStyle name="Normal 2 3 13 8 2" xfId="3449" xr:uid="{618A6C8A-52B4-4898-8CDC-006E2A0A6407}"/>
    <cellStyle name="Normal 2 3 13 9" xfId="1948" xr:uid="{02006166-C5BD-49BA-B076-96DA2F43677D}"/>
    <cellStyle name="Normal 2 3 14" xfId="220" xr:uid="{5108066F-2AE2-49FB-8F93-FD038C970088}"/>
    <cellStyle name="Normal 2 3 14 2" xfId="464" xr:uid="{60F9B745-6C3E-496D-9530-D967A9F1906F}"/>
    <cellStyle name="Normal 2 3 14 2 2" xfId="2163" xr:uid="{A31AD127-569A-4D06-8CB8-42486D283AB9}"/>
    <cellStyle name="Normal 2 3 14 3" xfId="660" xr:uid="{F8FA2D3F-1033-4AF5-8E8D-96DD9A8FF54F}"/>
    <cellStyle name="Normal 2 3 14 3 2" xfId="2381" xr:uid="{CC5A635B-9B23-4FF6-B899-37A88E6C0B39}"/>
    <cellStyle name="Normal 2 3 14 4" xfId="878" xr:uid="{296A11A1-47A7-4788-9233-277530A1CF9B}"/>
    <cellStyle name="Normal 2 3 14 4 2" xfId="2599" xr:uid="{BEDED237-CB6A-4BE4-AA22-02EFA561A91C}"/>
    <cellStyle name="Normal 2 3 14 5" xfId="1096" xr:uid="{1568C893-B45D-4C99-A9C9-DA20FB8FF392}"/>
    <cellStyle name="Normal 2 3 14 5 2" xfId="2817" xr:uid="{941A0D17-CEC3-4AC7-90F0-6A8F6AB79419}"/>
    <cellStyle name="Normal 2 3 14 6" xfId="1314" xr:uid="{55C7819D-EF4F-4D86-9958-9BE974A84EE3}"/>
    <cellStyle name="Normal 2 3 14 6 2" xfId="3035" xr:uid="{9557D334-CCFA-400A-A0A9-431EDA65D7E8}"/>
    <cellStyle name="Normal 2 3 14 7" xfId="1532" xr:uid="{26488276-9E8A-4800-B948-B71B21279A64}"/>
    <cellStyle name="Normal 2 3 14 7 2" xfId="3253" xr:uid="{F54545D0-12A3-4DA0-B687-00EEB6256E72}"/>
    <cellStyle name="Normal 2 3 14 8" xfId="1751" xr:uid="{B6C73A08-3511-4E5C-9D58-C95889F04CEC}"/>
    <cellStyle name="Normal 2 3 14 8 2" xfId="3472" xr:uid="{6CF181A1-0F55-4773-B42A-920F686D50B3}"/>
    <cellStyle name="Normal 2 3 14 9" xfId="1971" xr:uid="{BF9DF0F9-E19F-4915-8DB4-331ADF003A12}"/>
    <cellStyle name="Normal 2 3 15" xfId="233" xr:uid="{112E10EA-8BDC-4D00-A056-0678FB5451C4}"/>
    <cellStyle name="Normal 2 3 15 2" xfId="477" xr:uid="{C2C60482-7EBA-4BD9-B2FE-F7FCFE696892}"/>
    <cellStyle name="Normal 2 3 15 2 2" xfId="2176" xr:uid="{89378E3B-3E1F-4790-B979-28A7B21BC13C}"/>
    <cellStyle name="Normal 2 3 15 3" xfId="673" xr:uid="{7F655E32-25CF-4043-8CC2-4DB7E71AA956}"/>
    <cellStyle name="Normal 2 3 15 3 2" xfId="2394" xr:uid="{BD973B3B-F8C5-46F0-9BEF-467562242426}"/>
    <cellStyle name="Normal 2 3 15 4" xfId="891" xr:uid="{6E2FFD47-B885-40D1-A837-DF25D0E7E7F0}"/>
    <cellStyle name="Normal 2 3 15 4 2" xfId="2612" xr:uid="{156B44A8-A18C-4C43-A20C-E48776B27A01}"/>
    <cellStyle name="Normal 2 3 15 5" xfId="1109" xr:uid="{19F458EE-7E8A-427E-B360-42C6406F039D}"/>
    <cellStyle name="Normal 2 3 15 5 2" xfId="2830" xr:uid="{C7922742-FBA3-42F8-B387-47F7A2AC470A}"/>
    <cellStyle name="Normal 2 3 15 6" xfId="1327" xr:uid="{B2CB463A-7750-4EBE-8248-A7453DEEB07D}"/>
    <cellStyle name="Normal 2 3 15 6 2" xfId="3048" xr:uid="{E3BC8181-3D00-4E9B-8C8E-AE9390FB41E4}"/>
    <cellStyle name="Normal 2 3 15 7" xfId="1545" xr:uid="{7AE70279-2FD8-4C7A-8ADC-17A2D0B3586D}"/>
    <cellStyle name="Normal 2 3 15 7 2" xfId="3266" xr:uid="{4E6BF390-D2CA-4B05-8C17-555AF84B8D97}"/>
    <cellStyle name="Normal 2 3 15 8" xfId="1764" xr:uid="{3B05F482-40EA-480B-B144-C38F6AF7A005}"/>
    <cellStyle name="Normal 2 3 15 8 2" xfId="3485" xr:uid="{23902D8C-5945-429D-8732-04786B695894}"/>
    <cellStyle name="Normal 2 3 15 9" xfId="1984" xr:uid="{79AB24AD-D0D8-4AF8-8D5C-3C5EE891CE52}"/>
    <cellStyle name="Normal 2 3 16" xfId="246" xr:uid="{45502480-FBEB-412A-B297-E99E5FD70CD6}"/>
    <cellStyle name="Normal 2 3 16 2" xfId="686" xr:uid="{E7A8BEB8-7F28-4F58-9EB3-58F3EC6C1376}"/>
    <cellStyle name="Normal 2 3 16 2 2" xfId="2407" xr:uid="{D05B3B57-AF96-475B-B3F9-741312CAD0EA}"/>
    <cellStyle name="Normal 2 3 16 3" xfId="904" xr:uid="{E3FCD7CB-461E-4871-8770-E619264E8B86}"/>
    <cellStyle name="Normal 2 3 16 3 2" xfId="2625" xr:uid="{CF647A4A-68FA-4849-8327-82A40C5CE38B}"/>
    <cellStyle name="Normal 2 3 16 4" xfId="1122" xr:uid="{B93D6785-B178-4273-87D7-6ED372CBF843}"/>
    <cellStyle name="Normal 2 3 16 4 2" xfId="2843" xr:uid="{35368285-98D0-4AA6-856B-35CA3ABD8B9F}"/>
    <cellStyle name="Normal 2 3 16 5" xfId="1340" xr:uid="{E3177BDD-52BD-4B1F-B571-0CD723C85181}"/>
    <cellStyle name="Normal 2 3 16 5 2" xfId="3061" xr:uid="{4FC5D1D5-39EE-40B3-B782-52B4E99C5E16}"/>
    <cellStyle name="Normal 2 3 16 6" xfId="1558" xr:uid="{8AF0A056-0CAD-43EF-A554-AE10089492D8}"/>
    <cellStyle name="Normal 2 3 16 6 2" xfId="3279" xr:uid="{731B5765-AE37-4EEE-99E0-8B4565D96F35}"/>
    <cellStyle name="Normal 2 3 16 7" xfId="1777" xr:uid="{8841F92B-5163-4CF4-B0FF-1345239B5B14}"/>
    <cellStyle name="Normal 2 3 16 7 2" xfId="3498" xr:uid="{69A242B9-6920-48CE-8501-A5E8E8E59830}"/>
    <cellStyle name="Normal 2 3 16 8" xfId="2189" xr:uid="{475BBE7E-2038-4D8C-BB90-C8D017B6A5F3}"/>
    <cellStyle name="Normal 2 3 17" xfId="259" xr:uid="{477FA9D6-8C5D-464D-A183-FB6B281F180A}"/>
    <cellStyle name="Normal 2 3 17 2" xfId="699" xr:uid="{5D60E11E-D8DC-4FB9-B0BD-0B94774EFF63}"/>
    <cellStyle name="Normal 2 3 17 2 2" xfId="2420" xr:uid="{3881FD04-CDED-4367-8806-9BCCBAA17160}"/>
    <cellStyle name="Normal 2 3 17 3" xfId="917" xr:uid="{C8E10744-0E0F-4131-A328-CD71E0D8BB3E}"/>
    <cellStyle name="Normal 2 3 17 3 2" xfId="2638" xr:uid="{B5D6F09F-0D08-4B95-9947-047D21343380}"/>
    <cellStyle name="Normal 2 3 17 4" xfId="1135" xr:uid="{7CFB0AD1-FDC6-4499-BEA6-4C843D0E254A}"/>
    <cellStyle name="Normal 2 3 17 4 2" xfId="2856" xr:uid="{53FC3B51-665A-4DE0-9A44-E29BFE955AD6}"/>
    <cellStyle name="Normal 2 3 17 5" xfId="1353" xr:uid="{0B542400-3405-4E3E-85D0-7552FBB80564}"/>
    <cellStyle name="Normal 2 3 17 5 2" xfId="3074" xr:uid="{3B432DF2-1A50-4A14-A0C4-5B5ED06D5A6C}"/>
    <cellStyle name="Normal 2 3 17 6" xfId="1571" xr:uid="{B4149D71-3255-44EE-8BC4-245808740EA5}"/>
    <cellStyle name="Normal 2 3 17 6 2" xfId="3292" xr:uid="{855B3ED8-2CFA-445F-B0AF-12FF46066CDF}"/>
    <cellStyle name="Normal 2 3 17 7" xfId="1790" xr:uid="{F4291862-E5B1-49D8-B6C0-E282215437CD}"/>
    <cellStyle name="Normal 2 3 17 7 2" xfId="3511" xr:uid="{47680AB1-D9FD-4929-968F-C079E5595E18}"/>
    <cellStyle name="Normal 2 3 17 8" xfId="2202" xr:uid="{E598FBB5-CDD5-4AB2-AD13-FE20F06A4E36}"/>
    <cellStyle name="Normal 2 3 18" xfId="299" xr:uid="{C5F19540-7F20-4D30-A55C-55C56588E603}"/>
    <cellStyle name="Normal 2 3 18 2" xfId="1997" xr:uid="{3989AD0B-485E-4766-8C22-ED890613F84B}"/>
    <cellStyle name="Normal 2 3 19" xfId="494" xr:uid="{94ECA61A-FCA3-4B5A-B720-0C87415EC523}"/>
    <cellStyle name="Normal 2 3 19 2" xfId="2215" xr:uid="{07251FED-52EA-47F6-AF1A-85FC367D0E4E}"/>
    <cellStyle name="Normal 2 3 2" xfId="58" xr:uid="{DC7C1D54-A0C5-411F-9414-41146ACDB7AE}"/>
    <cellStyle name="Normal 2 3 2 10" xfId="175" xr:uid="{D216BB3A-EDBD-4A85-ADCB-793F8F2A6A87}"/>
    <cellStyle name="Normal 2 3 2 10 2" xfId="421" xr:uid="{73240FA4-9259-46F2-B187-7E2757F22FEB}"/>
    <cellStyle name="Normal 2 3 2 10 2 2" xfId="2120" xr:uid="{FDACAA39-B710-4E0A-B735-E3BB22B81B82}"/>
    <cellStyle name="Normal 2 3 2 10 3" xfId="617" xr:uid="{C0B17640-C381-412C-B5CC-E03CE5708153}"/>
    <cellStyle name="Normal 2 3 2 10 3 2" xfId="2338" xr:uid="{C230AD6D-BCF7-4029-B0BB-18D86B12953A}"/>
    <cellStyle name="Normal 2 3 2 10 4" xfId="835" xr:uid="{6D08EF2A-15F7-46BC-A76B-9B2BE452D252}"/>
    <cellStyle name="Normal 2 3 2 10 4 2" xfId="2556" xr:uid="{08C934FF-C4E8-4AFD-AFD9-699D5F403E61}"/>
    <cellStyle name="Normal 2 3 2 10 5" xfId="1053" xr:uid="{563898E3-D322-458A-924B-CE588EE5E3D0}"/>
    <cellStyle name="Normal 2 3 2 10 5 2" xfId="2774" xr:uid="{5CBE10A0-EFE0-4CB4-9F5A-4C5D903116C4}"/>
    <cellStyle name="Normal 2 3 2 10 6" xfId="1271" xr:uid="{10101E72-E3C3-4513-A8A2-BB9FAAB04D58}"/>
    <cellStyle name="Normal 2 3 2 10 6 2" xfId="2992" xr:uid="{D86F584A-8690-4AB3-9386-1693285F167F}"/>
    <cellStyle name="Normal 2 3 2 10 7" xfId="1489" xr:uid="{42F01719-1288-48A7-B3A6-2C69C1C6F0DF}"/>
    <cellStyle name="Normal 2 3 2 10 7 2" xfId="3210" xr:uid="{F34C87F4-A699-402C-95BE-F307DE0A3A82}"/>
    <cellStyle name="Normal 2 3 2 10 8" xfId="1708" xr:uid="{39305F50-69A0-4AC0-85E8-AB50D4AA47F6}"/>
    <cellStyle name="Normal 2 3 2 10 8 2" xfId="3429" xr:uid="{9F1431F9-3959-4296-B368-5369180577A1}"/>
    <cellStyle name="Normal 2 3 2 10 9" xfId="1928" xr:uid="{7C0A9CB7-9526-4249-9EA8-0AEA323133FE}"/>
    <cellStyle name="Normal 2 3 2 11" xfId="188" xr:uid="{215524D3-F7B8-4162-A79A-E4AE658F7224}"/>
    <cellStyle name="Normal 2 3 2 11 2" xfId="434" xr:uid="{B769CEA7-9BFC-4EA0-BF3F-E90F5304FE66}"/>
    <cellStyle name="Normal 2 3 2 11 2 2" xfId="2133" xr:uid="{202841AD-B4F0-460F-8F74-C10F3EFAFDB1}"/>
    <cellStyle name="Normal 2 3 2 11 3" xfId="630" xr:uid="{02E2BB25-A82D-46D1-AF85-DEB2E018382A}"/>
    <cellStyle name="Normal 2 3 2 11 3 2" xfId="2351" xr:uid="{2B16A10D-5EE9-4E81-90DB-65421BE81F1F}"/>
    <cellStyle name="Normal 2 3 2 11 4" xfId="848" xr:uid="{6B8958F6-3DFB-4A47-82E7-6E9C8F5E99F7}"/>
    <cellStyle name="Normal 2 3 2 11 4 2" xfId="2569" xr:uid="{F7AEF4C0-E926-48AD-941A-23BB6DEABB4C}"/>
    <cellStyle name="Normal 2 3 2 11 5" xfId="1066" xr:uid="{73C65521-C876-4D57-8B64-A89D6FDBD4C2}"/>
    <cellStyle name="Normal 2 3 2 11 5 2" xfId="2787" xr:uid="{0131936C-64DC-4DE4-A04E-3712F8D78FB6}"/>
    <cellStyle name="Normal 2 3 2 11 6" xfId="1284" xr:uid="{D5C3A028-15F6-4954-9CE9-651362BE1A1B}"/>
    <cellStyle name="Normal 2 3 2 11 6 2" xfId="3005" xr:uid="{80EDCD66-FCAE-4946-BE57-01A098543A4F}"/>
    <cellStyle name="Normal 2 3 2 11 7" xfId="1502" xr:uid="{04517F49-26B2-4014-AB99-049F14DE5881}"/>
    <cellStyle name="Normal 2 3 2 11 7 2" xfId="3223" xr:uid="{C1E43995-713D-4824-9E49-58D57D525F79}"/>
    <cellStyle name="Normal 2 3 2 11 8" xfId="1721" xr:uid="{7D331040-03F1-4377-8A04-F2D578723F7C}"/>
    <cellStyle name="Normal 2 3 2 11 8 2" xfId="3442" xr:uid="{390BBD24-0CD3-441E-B202-91C1192613BB}"/>
    <cellStyle name="Normal 2 3 2 11 9" xfId="1941" xr:uid="{54555DE1-1297-4CCC-B140-C490AE58B604}"/>
    <cellStyle name="Normal 2 3 2 12" xfId="201" xr:uid="{A9193D66-3944-4FE6-AD15-B21E20DE5D1A}"/>
    <cellStyle name="Normal 2 3 2 12 2" xfId="447" xr:uid="{DB2AFB01-E975-48FD-886E-E9599AD56610}"/>
    <cellStyle name="Normal 2 3 2 12 2 2" xfId="2146" xr:uid="{03C242CC-2178-4042-AEB5-C9164CE1BB56}"/>
    <cellStyle name="Normal 2 3 2 12 3" xfId="643" xr:uid="{4C24436D-CCBF-43B1-ADFF-512585AE1BD9}"/>
    <cellStyle name="Normal 2 3 2 12 3 2" xfId="2364" xr:uid="{B4E7F527-BFD4-4CD3-8A1C-4E9ADF2462CD}"/>
    <cellStyle name="Normal 2 3 2 12 4" xfId="861" xr:uid="{82D65EB2-EAB7-4A57-AED1-5131FC0B4793}"/>
    <cellStyle name="Normal 2 3 2 12 4 2" xfId="2582" xr:uid="{99E4A843-08E4-403F-88B1-A7C0C54F3611}"/>
    <cellStyle name="Normal 2 3 2 12 5" xfId="1079" xr:uid="{D043FD40-984B-4483-BCD4-D58846B71310}"/>
    <cellStyle name="Normal 2 3 2 12 5 2" xfId="2800" xr:uid="{1043D29E-8FDB-4B90-B03B-F4E384A738C5}"/>
    <cellStyle name="Normal 2 3 2 12 6" xfId="1297" xr:uid="{1D8137E6-C80F-4800-BF2C-CAF2564869A4}"/>
    <cellStyle name="Normal 2 3 2 12 6 2" xfId="3018" xr:uid="{385D117B-1357-48B3-BE01-92D86BF3129A}"/>
    <cellStyle name="Normal 2 3 2 12 7" xfId="1515" xr:uid="{5F5B21B1-7763-496E-A658-85E34FB0B3D8}"/>
    <cellStyle name="Normal 2 3 2 12 7 2" xfId="3236" xr:uid="{B4CCE52D-7E5E-4379-B671-DCE55AB491FE}"/>
    <cellStyle name="Normal 2 3 2 12 8" xfId="1734" xr:uid="{D0FF6BF1-6743-4BF8-B1F0-98742FBC4F41}"/>
    <cellStyle name="Normal 2 3 2 12 8 2" xfId="3455" xr:uid="{A53A42C3-A3DD-4C69-A3CE-DDE6E18A6062}"/>
    <cellStyle name="Normal 2 3 2 12 9" xfId="1954" xr:uid="{46B2F25D-C987-4B88-9181-B2B050E8C0BB}"/>
    <cellStyle name="Normal 2 3 2 13" xfId="226" xr:uid="{3BD92E7F-AC05-4520-82C5-0830A63E68C5}"/>
    <cellStyle name="Normal 2 3 2 13 2" xfId="470" xr:uid="{B4D267C3-B883-4AFF-AE39-FD1FE6205378}"/>
    <cellStyle name="Normal 2 3 2 13 2 2" xfId="2169" xr:uid="{5FC9451C-9E47-49F4-98F1-5E66BDFC8093}"/>
    <cellStyle name="Normal 2 3 2 13 3" xfId="666" xr:uid="{77107217-2CC7-455E-871F-097B20E6FAB5}"/>
    <cellStyle name="Normal 2 3 2 13 3 2" xfId="2387" xr:uid="{17F23FD2-3EDF-4CED-8137-386D44E38E90}"/>
    <cellStyle name="Normal 2 3 2 13 4" xfId="884" xr:uid="{6F6C6285-375C-4ABD-81B1-F7D9EEACB8DE}"/>
    <cellStyle name="Normal 2 3 2 13 4 2" xfId="2605" xr:uid="{0A4D8D24-AA65-4CBB-B550-F05359FB96E4}"/>
    <cellStyle name="Normal 2 3 2 13 5" xfId="1102" xr:uid="{CBE912BD-4442-4AF9-993C-60CD841EDE68}"/>
    <cellStyle name="Normal 2 3 2 13 5 2" xfId="2823" xr:uid="{85F0C3FC-8D8E-490B-9663-5D7CE09B56E1}"/>
    <cellStyle name="Normal 2 3 2 13 6" xfId="1320" xr:uid="{77F51CF4-3973-48D0-8EB7-919FE2CD0DAE}"/>
    <cellStyle name="Normal 2 3 2 13 6 2" xfId="3041" xr:uid="{C3B29247-52FA-4743-B17E-8438238B19CF}"/>
    <cellStyle name="Normal 2 3 2 13 7" xfId="1538" xr:uid="{F2770D42-2DEC-4E38-B753-92363875FF98}"/>
    <cellStyle name="Normal 2 3 2 13 7 2" xfId="3259" xr:uid="{A02D4CBE-2EBC-4AA9-A566-F0F778DEF5A6}"/>
    <cellStyle name="Normal 2 3 2 13 8" xfId="1757" xr:uid="{05F2BA43-BBF6-4896-ABFA-DF69878C8CEA}"/>
    <cellStyle name="Normal 2 3 2 13 8 2" xfId="3478" xr:uid="{6F0F88FF-5E35-4999-A81B-55DB20273E56}"/>
    <cellStyle name="Normal 2 3 2 13 9" xfId="1977" xr:uid="{BE0D2935-D56F-4B23-85BA-1BF50BBE4BF0}"/>
    <cellStyle name="Normal 2 3 2 14" xfId="239" xr:uid="{099B2B52-6405-4B55-A8CD-442BA56CE351}"/>
    <cellStyle name="Normal 2 3 2 14 2" xfId="483" xr:uid="{E89347A2-94FA-4D83-963B-CA3D0A35F0EE}"/>
    <cellStyle name="Normal 2 3 2 14 2 2" xfId="2182" xr:uid="{3E7F1153-C83F-48FA-AC4C-17F9AB85138B}"/>
    <cellStyle name="Normal 2 3 2 14 3" xfId="679" xr:uid="{9B26FEA7-7C51-4018-9A70-6F8CEFD22687}"/>
    <cellStyle name="Normal 2 3 2 14 3 2" xfId="2400" xr:uid="{DCC8F5F8-A88D-45A6-8FC5-521856281CD4}"/>
    <cellStyle name="Normal 2 3 2 14 4" xfId="897" xr:uid="{2F709B3F-D502-4C5F-9345-96620340DA5D}"/>
    <cellStyle name="Normal 2 3 2 14 4 2" xfId="2618" xr:uid="{22438CCF-E0CE-4AD2-8390-383E75BD2158}"/>
    <cellStyle name="Normal 2 3 2 14 5" xfId="1115" xr:uid="{695E7887-6A48-4E37-A367-8DBBB7155CEC}"/>
    <cellStyle name="Normal 2 3 2 14 5 2" xfId="2836" xr:uid="{D29CF0E6-7ACA-4641-B982-6AB6FA64A038}"/>
    <cellStyle name="Normal 2 3 2 14 6" xfId="1333" xr:uid="{67862A92-A23D-4CD3-AB91-1AA7A79B3161}"/>
    <cellStyle name="Normal 2 3 2 14 6 2" xfId="3054" xr:uid="{F342961F-03E9-4132-96A5-DE680E07EAE3}"/>
    <cellStyle name="Normal 2 3 2 14 7" xfId="1551" xr:uid="{98312315-6260-4F58-ABC9-535A94C2AD45}"/>
    <cellStyle name="Normal 2 3 2 14 7 2" xfId="3272" xr:uid="{DB0788DE-B0EC-40E5-BADB-63457FB46A9B}"/>
    <cellStyle name="Normal 2 3 2 14 8" xfId="1770" xr:uid="{00FF926C-7D7E-43AD-ACA3-A505FAD83B3F}"/>
    <cellStyle name="Normal 2 3 2 14 8 2" xfId="3491" xr:uid="{E4EB3D8E-203F-4037-B6F7-467A1B62B708}"/>
    <cellStyle name="Normal 2 3 2 14 9" xfId="1990" xr:uid="{B6F5A1BE-8E38-4057-9953-9161BED5DAF5}"/>
    <cellStyle name="Normal 2 3 2 15" xfId="252" xr:uid="{F64CC529-6B4A-44B6-B64E-35F5C17159F4}"/>
    <cellStyle name="Normal 2 3 2 15 2" xfId="692" xr:uid="{55B26A0D-7DC3-4A4D-B2A1-8BEFB9AB5721}"/>
    <cellStyle name="Normal 2 3 2 15 2 2" xfId="2413" xr:uid="{413E7910-6C0C-43C2-ABB9-0C4917254CDB}"/>
    <cellStyle name="Normal 2 3 2 15 3" xfId="910" xr:uid="{C18A4CE1-55A3-4D43-BFE4-7D0DD5B00B94}"/>
    <cellStyle name="Normal 2 3 2 15 3 2" xfId="2631" xr:uid="{0DB213A4-6C99-4AF5-A14F-3F264B0558AB}"/>
    <cellStyle name="Normal 2 3 2 15 4" xfId="1128" xr:uid="{781A0A78-428B-47C2-AF84-5DC796A71572}"/>
    <cellStyle name="Normal 2 3 2 15 4 2" xfId="2849" xr:uid="{646E41C9-1420-400A-929B-3E3FA5C2C0F7}"/>
    <cellStyle name="Normal 2 3 2 15 5" xfId="1346" xr:uid="{43208CE7-C8C9-4E9D-A6C4-6EB2CB442EBD}"/>
    <cellStyle name="Normal 2 3 2 15 5 2" xfId="3067" xr:uid="{A0F9C77A-CA7D-4026-9882-EC6392B8D426}"/>
    <cellStyle name="Normal 2 3 2 15 6" xfId="1564" xr:uid="{56962E85-021E-4A11-B664-3B78D8460BD1}"/>
    <cellStyle name="Normal 2 3 2 15 6 2" xfId="3285" xr:uid="{D4CF4F04-E719-4904-B641-22EF3B4238C5}"/>
    <cellStyle name="Normal 2 3 2 15 7" xfId="1783" xr:uid="{8DE05047-B1A7-4A28-9409-098B82A55EDB}"/>
    <cellStyle name="Normal 2 3 2 15 7 2" xfId="3504" xr:uid="{00107C3B-2187-4177-AB4B-1B04FE655B25}"/>
    <cellStyle name="Normal 2 3 2 15 8" xfId="2195" xr:uid="{41518AC5-826D-4FEF-A171-CF836364B4E0}"/>
    <cellStyle name="Normal 2 3 2 16" xfId="265" xr:uid="{E4C3843F-BF95-4006-92FA-BBA83EF08DF2}"/>
    <cellStyle name="Normal 2 3 2 16 2" xfId="705" xr:uid="{8C58A4EF-CC5D-4D4D-B9F5-E29C62140F85}"/>
    <cellStyle name="Normal 2 3 2 16 2 2" xfId="2426" xr:uid="{ED907593-8910-4ABB-89A9-CD365B775CA0}"/>
    <cellStyle name="Normal 2 3 2 16 3" xfId="923" xr:uid="{9B59F0BB-B382-4D98-A455-DC7AF3E2F097}"/>
    <cellStyle name="Normal 2 3 2 16 3 2" xfId="2644" xr:uid="{C5BBCD4D-2A1C-4E6D-A973-B2714B0AABC7}"/>
    <cellStyle name="Normal 2 3 2 16 4" xfId="1141" xr:uid="{8E41A75A-17FD-4693-B287-1CD2EB26B30E}"/>
    <cellStyle name="Normal 2 3 2 16 4 2" xfId="2862" xr:uid="{C9E30363-FCCB-492D-82BE-F4A37F5CD86A}"/>
    <cellStyle name="Normal 2 3 2 16 5" xfId="1359" xr:uid="{23DA3C1F-9C86-4BC6-A7CE-9809784116E3}"/>
    <cellStyle name="Normal 2 3 2 16 5 2" xfId="3080" xr:uid="{672C5076-57E0-40D8-B8D1-56D37229A0D3}"/>
    <cellStyle name="Normal 2 3 2 16 6" xfId="1577" xr:uid="{859B68AF-0F8A-4602-AFE1-C1B8F2E0B5B9}"/>
    <cellStyle name="Normal 2 3 2 16 6 2" xfId="3298" xr:uid="{3E517079-8BF5-4058-856D-057E242B528F}"/>
    <cellStyle name="Normal 2 3 2 16 7" xfId="1796" xr:uid="{61C6C91E-1523-4F46-9C46-6086CB799305}"/>
    <cellStyle name="Normal 2 3 2 16 7 2" xfId="3517" xr:uid="{AD610907-5785-4F25-B0DE-418D0904600C}"/>
    <cellStyle name="Normal 2 3 2 16 8" xfId="2208" xr:uid="{16C71419-3AF7-44CE-A211-6DEA341562BF}"/>
    <cellStyle name="Normal 2 3 2 17" xfId="305" xr:uid="{8095A3F3-E74F-42CF-8AB0-16A5A828B806}"/>
    <cellStyle name="Normal 2 3 2 17 2" xfId="2003" xr:uid="{E5A70A1E-C5B0-4778-ADFF-DC6DAD18AFBA}"/>
    <cellStyle name="Normal 2 3 2 18" xfId="500" xr:uid="{4FCA175A-DD81-4A5A-8973-E57F1F8005DD}"/>
    <cellStyle name="Normal 2 3 2 18 2" xfId="2221" xr:uid="{3A613D55-73E6-4A6A-A4F5-4179C5A3223C}"/>
    <cellStyle name="Normal 2 3 2 19" xfId="718" xr:uid="{88DDE1BD-156A-4526-A0A6-3DD212F47EE4}"/>
    <cellStyle name="Normal 2 3 2 19 2" xfId="2439" xr:uid="{2788659A-0319-45E6-A7D2-C8A7F1F8D6A3}"/>
    <cellStyle name="Normal 2 3 2 2" xfId="71" xr:uid="{99EC01FA-528C-4998-9923-64D8C230051B}"/>
    <cellStyle name="Normal 2 3 2 2 2" xfId="317" xr:uid="{781159D2-6153-4248-A703-19EBDB3C1E03}"/>
    <cellStyle name="Normal 2 3 2 2 2 2" xfId="2016" xr:uid="{AE09DF69-5912-4B35-8BBD-5FD4A5F4D37F}"/>
    <cellStyle name="Normal 2 3 2 2 2 3" xfId="3628" xr:uid="{87A6AF4B-CBB2-4B4E-AE41-7FEEF4A37DE6}"/>
    <cellStyle name="Normal 2 3 2 2 3" xfId="513" xr:uid="{6AF4450C-9E9D-4D5C-907B-71978AF3B5AC}"/>
    <cellStyle name="Normal 2 3 2 2 3 2" xfId="2234" xr:uid="{B21D1AB7-5D0A-4A95-8EF3-BD939557DD8A}"/>
    <cellStyle name="Normal 2 3 2 2 3 3" xfId="3602" xr:uid="{1DED8131-8C5C-4034-AB93-4A50224F26E4}"/>
    <cellStyle name="Normal 2 3 2 2 4" xfId="731" xr:uid="{619C7FFE-F7C2-4F50-A3F9-0B7FA8DAF73E}"/>
    <cellStyle name="Normal 2 3 2 2 4 2" xfId="2452" xr:uid="{36769CDD-B016-4E5F-A268-75D1C6299A02}"/>
    <cellStyle name="Normal 2 3 2 2 5" xfId="949" xr:uid="{EA0EEEDD-86D0-4E74-BFEE-8C42B19C6BBD}"/>
    <cellStyle name="Normal 2 3 2 2 5 2" xfId="2670" xr:uid="{3C3CB0CC-FFB1-456A-B013-976D1E4BE4E9}"/>
    <cellStyle name="Normal 2 3 2 2 6" xfId="1167" xr:uid="{3F37DF2F-9188-4457-AE51-963A260AC723}"/>
    <cellStyle name="Normal 2 3 2 2 6 2" xfId="2888" xr:uid="{012177EC-5DB7-43D1-9460-3CB06AF1EC92}"/>
    <cellStyle name="Normal 2 3 2 2 7" xfId="1385" xr:uid="{2DC82DBE-4EAA-4990-A9D1-C30989BCDA79}"/>
    <cellStyle name="Normal 2 3 2 2 7 2" xfId="3106" xr:uid="{87E3A8DD-20F2-456E-99C6-CFEEF3D61B65}"/>
    <cellStyle name="Normal 2 3 2 2 8" xfId="1604" xr:uid="{C5B82823-996B-4C30-84C7-5A5D1C96346C}"/>
    <cellStyle name="Normal 2 3 2 2 8 2" xfId="3325" xr:uid="{C42FEE80-960D-4D95-81DD-C529893AC324}"/>
    <cellStyle name="Normal 2 3 2 2 9" xfId="1824" xr:uid="{A5EA2EE3-ECE7-4B4B-939B-B8ADA0F88580}"/>
    <cellStyle name="Normal 2 3 2 20" xfId="936" xr:uid="{2769D9CA-EDEF-42AD-9698-77E933EBC723}"/>
    <cellStyle name="Normal 2 3 2 20 2" xfId="2657" xr:uid="{2D930EC0-109F-4415-A77A-F41CE95C3C76}"/>
    <cellStyle name="Normal 2 3 2 21" xfId="1154" xr:uid="{BE94A168-BC1E-4F0A-BAC5-E4809D689A12}"/>
    <cellStyle name="Normal 2 3 2 21 2" xfId="2875" xr:uid="{E012F612-9070-42C9-BE54-A57BB509FFAB}"/>
    <cellStyle name="Normal 2 3 2 22" xfId="1372" xr:uid="{D97D1AB7-625E-412E-B010-E85AB7327B9B}"/>
    <cellStyle name="Normal 2 3 2 22 2" xfId="3093" xr:uid="{EB450DB3-01B6-47D9-8DDB-6E1DC6D6817A}"/>
    <cellStyle name="Normal 2 3 2 23" xfId="1591" xr:uid="{716B3B65-B7BA-49D2-8898-A7BC47E9E4DE}"/>
    <cellStyle name="Normal 2 3 2 23 2" xfId="3312" xr:uid="{5FBFF282-A128-4FB9-883B-2627328D74FA}"/>
    <cellStyle name="Normal 2 3 2 24" xfId="1811" xr:uid="{E0C488B5-CBFC-4D4C-859F-8B1C9561352F}"/>
    <cellStyle name="Normal 2 3 2 3" xfId="84" xr:uid="{FE7CB265-988B-4717-A3AC-554F37B365F6}"/>
    <cellStyle name="Normal 2 3 2 3 2" xfId="330" xr:uid="{49A0B7FC-D715-4574-904D-E201AE8888CD}"/>
    <cellStyle name="Normal 2 3 2 3 2 2" xfId="2029" xr:uid="{ABF25C48-9F28-46BA-B33B-1E6C0C8BA326}"/>
    <cellStyle name="Normal 2 3 2 3 2 3" xfId="3636" xr:uid="{3298AAFE-556E-4BA3-9C3B-19CFC886E9C6}"/>
    <cellStyle name="Normal 2 3 2 3 3" xfId="526" xr:uid="{CEA6ABDA-2739-4077-848F-8F1EF6FD32BE}"/>
    <cellStyle name="Normal 2 3 2 3 3 2" xfId="2247" xr:uid="{32A04B3F-830F-4F8E-8B91-5AEEB1506B44}"/>
    <cellStyle name="Normal 2 3 2 3 3 3" xfId="3610" xr:uid="{0D946899-09DD-4BBB-AA76-E68CB5E5EF26}"/>
    <cellStyle name="Normal 2 3 2 3 4" xfId="744" xr:uid="{954BB141-3B4E-4590-862A-285A0A011577}"/>
    <cellStyle name="Normal 2 3 2 3 4 2" xfId="2465" xr:uid="{7CAB8677-ED7D-48BB-947A-68C281CDECF8}"/>
    <cellStyle name="Normal 2 3 2 3 5" xfId="962" xr:uid="{D688E06E-FAA3-40E7-8A77-38377AEF4410}"/>
    <cellStyle name="Normal 2 3 2 3 5 2" xfId="2683" xr:uid="{01CB7DA5-7BA7-4DCE-A037-F34C84CC5C7E}"/>
    <cellStyle name="Normal 2 3 2 3 6" xfId="1180" xr:uid="{9D1AD709-D3FA-467C-A063-E896BD9A7701}"/>
    <cellStyle name="Normal 2 3 2 3 6 2" xfId="2901" xr:uid="{B39E1F1F-308E-4945-87AD-8CAF8B630AA3}"/>
    <cellStyle name="Normal 2 3 2 3 7" xfId="1398" xr:uid="{BAF3A5A1-DD2C-491E-823D-07932480EDE1}"/>
    <cellStyle name="Normal 2 3 2 3 7 2" xfId="3119" xr:uid="{02366CEB-BD05-420A-A354-CBA56D2B1BBD}"/>
    <cellStyle name="Normal 2 3 2 3 8" xfId="1617" xr:uid="{6EF4E56F-35EA-4746-9ACA-4FB281203E10}"/>
    <cellStyle name="Normal 2 3 2 3 8 2" xfId="3338" xr:uid="{04F9D800-36DC-460A-B67F-9FBAB4F6F221}"/>
    <cellStyle name="Normal 2 3 2 3 9" xfId="1837" xr:uid="{FF10EC56-B8D3-476E-8041-B9B9D6BDB9BE}"/>
    <cellStyle name="Normal 2 3 2 4" xfId="97" xr:uid="{B4C581D5-26AF-4992-865C-EE157637AB49}"/>
    <cellStyle name="Normal 2 3 2 4 2" xfId="343" xr:uid="{91564592-1A7C-4764-BC2F-B49B2611C50E}"/>
    <cellStyle name="Normal 2 3 2 4 2 2" xfId="2042" xr:uid="{E3FEB5C3-B2D8-421E-95E2-916B4A0341FD}"/>
    <cellStyle name="Normal 2 3 2 4 3" xfId="539" xr:uid="{9E8EB8DF-D2E6-4C28-94E2-BA2AA13B381B}"/>
    <cellStyle name="Normal 2 3 2 4 3 2" xfId="2260" xr:uid="{2859E4F9-E391-4626-8662-2F96FAEF9266}"/>
    <cellStyle name="Normal 2 3 2 4 4" xfId="757" xr:uid="{E15E3D4C-9A26-4211-B002-03C1FE199F4E}"/>
    <cellStyle name="Normal 2 3 2 4 4 2" xfId="2478" xr:uid="{B3FC65C3-F172-487B-814C-3C645E0854FF}"/>
    <cellStyle name="Normal 2 3 2 4 5" xfId="975" xr:uid="{4623C200-EE32-4FB2-B7E8-89D682EC8061}"/>
    <cellStyle name="Normal 2 3 2 4 5 2" xfId="2696" xr:uid="{FDCC02C3-8A6F-4B7C-991C-B99846662FD6}"/>
    <cellStyle name="Normal 2 3 2 4 6" xfId="1193" xr:uid="{3DA2951E-62CA-4AC3-99D6-A771FBA106CF}"/>
    <cellStyle name="Normal 2 3 2 4 6 2" xfId="2914" xr:uid="{749264CC-0892-416E-8646-7E79F5AAF543}"/>
    <cellStyle name="Normal 2 3 2 4 7" xfId="1411" xr:uid="{E81608A0-9538-4113-B313-013CAFFECEE0}"/>
    <cellStyle name="Normal 2 3 2 4 7 2" xfId="3132" xr:uid="{463FFAB3-9779-4616-AC73-F8BC2909EAB3}"/>
    <cellStyle name="Normal 2 3 2 4 8" xfId="1630" xr:uid="{27ECB32A-96B8-46FF-8506-8DA7AD8E1313}"/>
    <cellStyle name="Normal 2 3 2 4 8 2" xfId="3351" xr:uid="{A5D8E775-6A37-4E9A-B5B1-0E6625A9850B}"/>
    <cellStyle name="Normal 2 3 2 4 9" xfId="1850" xr:uid="{67AB2B58-A3D8-4B4B-8CFA-A9585DABA0BE}"/>
    <cellStyle name="Normal 2 3 2 5" xfId="110" xr:uid="{B24934BB-2335-4C98-9817-F7189A36CBD4}"/>
    <cellStyle name="Normal 2 3 2 5 2" xfId="356" xr:uid="{AB9EEF7D-93E8-4B79-BE2A-523B3CB61F70}"/>
    <cellStyle name="Normal 2 3 2 5 2 2" xfId="2055" xr:uid="{0F40AC71-4CDA-4323-9848-0B7C2A526198}"/>
    <cellStyle name="Normal 2 3 2 5 3" xfId="552" xr:uid="{CF1559BF-9E9E-480F-9CDE-FD339409380F}"/>
    <cellStyle name="Normal 2 3 2 5 3 2" xfId="2273" xr:uid="{E8E62DE8-9AE4-4B22-805E-DC73017632B5}"/>
    <cellStyle name="Normal 2 3 2 5 4" xfId="770" xr:uid="{2FCEB236-F317-45C6-AB2D-7BC0FA1F279C}"/>
    <cellStyle name="Normal 2 3 2 5 4 2" xfId="2491" xr:uid="{1B93E236-4680-419D-9F0F-288742640438}"/>
    <cellStyle name="Normal 2 3 2 5 5" xfId="988" xr:uid="{8BF29674-765A-4AD1-B182-96056AD87DDD}"/>
    <cellStyle name="Normal 2 3 2 5 5 2" xfId="2709" xr:uid="{5FFB31B4-24CA-4034-A80D-43DF17728AB3}"/>
    <cellStyle name="Normal 2 3 2 5 6" xfId="1206" xr:uid="{EB26462C-021A-4781-AC40-1E15FDA4538A}"/>
    <cellStyle name="Normal 2 3 2 5 6 2" xfId="2927" xr:uid="{78B4ACF3-920B-4A6F-9210-8CF1F3ED9566}"/>
    <cellStyle name="Normal 2 3 2 5 7" xfId="1424" xr:uid="{F1438213-1213-4C36-BE7D-CA1F4F755262}"/>
    <cellStyle name="Normal 2 3 2 5 7 2" xfId="3145" xr:uid="{BBD4FFB2-B124-47EA-8AC5-0AF69F6CAE25}"/>
    <cellStyle name="Normal 2 3 2 5 8" xfId="1643" xr:uid="{60F65417-94E9-4693-BFEE-9FCA9A36C31A}"/>
    <cellStyle name="Normal 2 3 2 5 8 2" xfId="3364" xr:uid="{23721A20-419B-42BF-B818-DC7068FF97E6}"/>
    <cellStyle name="Normal 2 3 2 5 9" xfId="1863" xr:uid="{FD194A7C-3819-4B13-B51B-C28160369BAC}"/>
    <cellStyle name="Normal 2 3 2 6" xfId="123" xr:uid="{E4DFF366-DBF8-4D3E-A344-2F429A1CD960}"/>
    <cellStyle name="Normal 2 3 2 6 2" xfId="369" xr:uid="{E13CBF9F-371B-465B-A005-F56B221D2E38}"/>
    <cellStyle name="Normal 2 3 2 6 2 2" xfId="2068" xr:uid="{5971F248-284C-4213-8CA8-79A2568C0990}"/>
    <cellStyle name="Normal 2 3 2 6 3" xfId="565" xr:uid="{B3D4C159-0E69-4051-806C-BAA355AF9D61}"/>
    <cellStyle name="Normal 2 3 2 6 3 2" xfId="2286" xr:uid="{03C193DD-2475-4448-BE53-3BBF436D23F4}"/>
    <cellStyle name="Normal 2 3 2 6 4" xfId="783" xr:uid="{727B9F49-BC0A-46AA-B664-0BA7EB5BAD2C}"/>
    <cellStyle name="Normal 2 3 2 6 4 2" xfId="2504" xr:uid="{988AECF4-28FB-4BEC-AB98-2FCA70B00D5F}"/>
    <cellStyle name="Normal 2 3 2 6 5" xfId="1001" xr:uid="{1BDBF4BC-0A4A-4FBF-8712-F278212D218E}"/>
    <cellStyle name="Normal 2 3 2 6 5 2" xfId="2722" xr:uid="{45ADA0B9-7AD5-443D-A2A7-6F37CD147F3A}"/>
    <cellStyle name="Normal 2 3 2 6 6" xfId="1219" xr:uid="{9D0B5400-66F7-4DA2-9D9F-CCA54F115FA8}"/>
    <cellStyle name="Normal 2 3 2 6 6 2" xfId="2940" xr:uid="{7EFE511C-0938-4DD7-961E-406D8BB996DB}"/>
    <cellStyle name="Normal 2 3 2 6 7" xfId="1437" xr:uid="{0B910914-0346-46BD-B6F9-E16B70DDB3D6}"/>
    <cellStyle name="Normal 2 3 2 6 7 2" xfId="3158" xr:uid="{6F170514-EE4D-4F56-A5A9-FAA5289CC503}"/>
    <cellStyle name="Normal 2 3 2 6 8" xfId="1656" xr:uid="{8F07B053-3C3F-4838-BB7F-1770D7EBA7AD}"/>
    <cellStyle name="Normal 2 3 2 6 8 2" xfId="3377" xr:uid="{16D2FF7C-8B24-4DC3-B8E8-31155D2E41CE}"/>
    <cellStyle name="Normal 2 3 2 6 9" xfId="1876" xr:uid="{B8776875-80DF-4ABF-AB6C-7F333EA09ECE}"/>
    <cellStyle name="Normal 2 3 2 7" xfId="136" xr:uid="{57210B4C-214F-4CAF-9C18-AAFC4F4523C6}"/>
    <cellStyle name="Normal 2 3 2 7 2" xfId="382" xr:uid="{C380E64E-7FF6-4C2F-90F0-BC2B520FB35D}"/>
    <cellStyle name="Normal 2 3 2 7 2 2" xfId="2081" xr:uid="{C199DFF8-23F2-4447-82FE-5CDF1AFB4659}"/>
    <cellStyle name="Normal 2 3 2 7 3" xfId="578" xr:uid="{32633CF2-697E-4E79-876D-477F4C2FB389}"/>
    <cellStyle name="Normal 2 3 2 7 3 2" xfId="2299" xr:uid="{A98662C4-6B6B-426E-B855-8BC7B745115C}"/>
    <cellStyle name="Normal 2 3 2 7 4" xfId="796" xr:uid="{3A7E1CD2-0933-4BBB-B4A5-95F0DAB30AC5}"/>
    <cellStyle name="Normal 2 3 2 7 4 2" xfId="2517" xr:uid="{1B7778D5-46E5-4C3D-B069-64ECEFE06D0B}"/>
    <cellStyle name="Normal 2 3 2 7 5" xfId="1014" xr:uid="{07568872-595D-4905-8626-57B494C4571F}"/>
    <cellStyle name="Normal 2 3 2 7 5 2" xfId="2735" xr:uid="{5452626F-5CCF-4515-BF51-F15CE0F97A3E}"/>
    <cellStyle name="Normal 2 3 2 7 6" xfId="1232" xr:uid="{3E8407BD-5E40-4E63-A57E-5A5023B0AE5F}"/>
    <cellStyle name="Normal 2 3 2 7 6 2" xfId="2953" xr:uid="{8406F00C-5F29-40D4-9502-6107FBDBB544}"/>
    <cellStyle name="Normal 2 3 2 7 7" xfId="1450" xr:uid="{39CE2153-2275-4E1B-96CD-616373496712}"/>
    <cellStyle name="Normal 2 3 2 7 7 2" xfId="3171" xr:uid="{87359EF7-0B2F-4622-9579-AC4B9A6A9338}"/>
    <cellStyle name="Normal 2 3 2 7 8" xfId="1669" xr:uid="{235721A7-60C3-469F-8119-381B3702A20C}"/>
    <cellStyle name="Normal 2 3 2 7 8 2" xfId="3390" xr:uid="{C6F90738-8A2F-483A-AFFA-B563365C0C77}"/>
    <cellStyle name="Normal 2 3 2 7 9" xfId="1889" xr:uid="{581C8981-0BFD-4DE7-9003-41C1C0A4F561}"/>
    <cellStyle name="Normal 2 3 2 8" xfId="149" xr:uid="{A28A8754-1ADD-4B72-8F53-115BD8C827B4}"/>
    <cellStyle name="Normal 2 3 2 8 2" xfId="395" xr:uid="{60D0614B-4549-4519-B6DE-70DD20FE99D4}"/>
    <cellStyle name="Normal 2 3 2 8 2 2" xfId="2094" xr:uid="{D0090F06-0701-4B05-B1A1-FAA87C18800A}"/>
    <cellStyle name="Normal 2 3 2 8 3" xfId="591" xr:uid="{0B788F77-CC9C-4E26-BA3B-0757EDF5DF25}"/>
    <cellStyle name="Normal 2 3 2 8 3 2" xfId="2312" xr:uid="{217718A8-D0F7-49C8-8D1A-920897DBFDA7}"/>
    <cellStyle name="Normal 2 3 2 8 4" xfId="809" xr:uid="{7DDEA2AB-E60D-4DAE-B063-3850EECCFAF7}"/>
    <cellStyle name="Normal 2 3 2 8 4 2" xfId="2530" xr:uid="{2C103C6A-E0C4-4769-80C3-C80DB99A7091}"/>
    <cellStyle name="Normal 2 3 2 8 5" xfId="1027" xr:uid="{5DE0A087-4B3A-481D-8DB9-50F820F9888A}"/>
    <cellStyle name="Normal 2 3 2 8 5 2" xfId="2748" xr:uid="{373CD095-A2FA-4C6E-9460-6DF0935A8061}"/>
    <cellStyle name="Normal 2 3 2 8 6" xfId="1245" xr:uid="{9453AC58-D489-46A0-8A67-5A25888044E9}"/>
    <cellStyle name="Normal 2 3 2 8 6 2" xfId="2966" xr:uid="{89C32C42-6370-4CF3-B513-861627C4E42B}"/>
    <cellStyle name="Normal 2 3 2 8 7" xfId="1463" xr:uid="{8A1668D7-A1AB-467B-B607-7BDD59594A0B}"/>
    <cellStyle name="Normal 2 3 2 8 7 2" xfId="3184" xr:uid="{6F11E2C1-7B31-4EF5-8943-9F0393512679}"/>
    <cellStyle name="Normal 2 3 2 8 8" xfId="1682" xr:uid="{847068C8-3E9E-429F-9314-66679A05D959}"/>
    <cellStyle name="Normal 2 3 2 8 8 2" xfId="3403" xr:uid="{3689F639-88A9-4DA0-8918-CF6E0E2BAC8E}"/>
    <cellStyle name="Normal 2 3 2 8 9" xfId="1902" xr:uid="{8C2CA3E5-9D37-4580-9D73-148096CC29FF}"/>
    <cellStyle name="Normal 2 3 2 9" xfId="162" xr:uid="{D587849D-68D7-437E-9EDB-5DCD8B00F617}"/>
    <cellStyle name="Normal 2 3 2 9 2" xfId="408" xr:uid="{1332C229-AD3B-41C3-B2CD-0A0FD12E2D21}"/>
    <cellStyle name="Normal 2 3 2 9 2 2" xfId="2107" xr:uid="{628855A2-ACA7-4A03-AB10-9E5FFF5CE0D4}"/>
    <cellStyle name="Normal 2 3 2 9 3" xfId="604" xr:uid="{2224CDB7-BDD8-40E6-93FD-DAEA93101222}"/>
    <cellStyle name="Normal 2 3 2 9 3 2" xfId="2325" xr:uid="{C04794CF-C144-45F7-8C7C-9E7A48B3FE37}"/>
    <cellStyle name="Normal 2 3 2 9 4" xfId="822" xr:uid="{26ED46AF-B831-4B7E-8D34-4ECE85E70A8A}"/>
    <cellStyle name="Normal 2 3 2 9 4 2" xfId="2543" xr:uid="{C7540E73-F1F0-40DB-BD4E-9DE1E065E32D}"/>
    <cellStyle name="Normal 2 3 2 9 5" xfId="1040" xr:uid="{F69FE6CB-18C0-435B-8161-950FE1E18B62}"/>
    <cellStyle name="Normal 2 3 2 9 5 2" xfId="2761" xr:uid="{E01F612D-3ADC-44BB-A5BC-453D61ACB84B}"/>
    <cellStyle name="Normal 2 3 2 9 6" xfId="1258" xr:uid="{70028B81-D525-46C1-99DD-C9133A7B69A3}"/>
    <cellStyle name="Normal 2 3 2 9 6 2" xfId="2979" xr:uid="{31DA4CC9-ADCB-4330-97AA-F81E35669946}"/>
    <cellStyle name="Normal 2 3 2 9 7" xfId="1476" xr:uid="{1937999A-1275-4AD8-AFC1-E1F237C33C5F}"/>
    <cellStyle name="Normal 2 3 2 9 7 2" xfId="3197" xr:uid="{2233CBFA-6BAA-406C-ADDA-CC43018129F4}"/>
    <cellStyle name="Normal 2 3 2 9 8" xfId="1695" xr:uid="{3A99D43B-23E5-44BB-A802-D2F0736B9496}"/>
    <cellStyle name="Normal 2 3 2 9 8 2" xfId="3416" xr:uid="{FA1E855B-4D0A-41B2-895F-F4F11BBC430C}"/>
    <cellStyle name="Normal 2 3 2 9 9" xfId="1915" xr:uid="{1595B993-4935-4F8C-AA55-4C91E495210B}"/>
    <cellStyle name="Normal 2 3 20" xfId="712" xr:uid="{7E054891-CF53-465C-BEE0-AA661B004F18}"/>
    <cellStyle name="Normal 2 3 20 2" xfId="2433" xr:uid="{F67161F8-13DA-4E86-B9EB-1E377EE41429}"/>
    <cellStyle name="Normal 2 3 21" xfId="930" xr:uid="{B77F43CB-4D8E-4CE5-A8C2-792658B8F8FE}"/>
    <cellStyle name="Normal 2 3 21 2" xfId="2651" xr:uid="{189B50E4-DBFD-40D7-9D06-20BFF6433206}"/>
    <cellStyle name="Normal 2 3 22" xfId="1148" xr:uid="{B001F525-2F79-4C6B-AF5D-15C9C7A9F67F}"/>
    <cellStyle name="Normal 2 3 22 2" xfId="2869" xr:uid="{051B2D21-7C51-410C-BA5F-F369589D1504}"/>
    <cellStyle name="Normal 2 3 23" xfId="1366" xr:uid="{DB9890D9-7764-4175-B8FC-16D9ABA44DC5}"/>
    <cellStyle name="Normal 2 3 23 2" xfId="3087" xr:uid="{198C7A81-75B1-42B4-8D91-7222D989AE79}"/>
    <cellStyle name="Normal 2 3 24" xfId="1585" xr:uid="{29980AF3-C299-44A8-986B-66CCC2CCC7B5}"/>
    <cellStyle name="Normal 2 3 24 2" xfId="3306" xr:uid="{75828DBF-14B7-4623-97C7-4DF7BA9D19BF}"/>
    <cellStyle name="Normal 2 3 25" xfId="1805" xr:uid="{FCB94F84-B3D2-4C4E-A2E7-FDAC5183B75C}"/>
    <cellStyle name="Normal 2 3 3" xfId="65" xr:uid="{E4486435-42E0-42E7-BF99-EF2AA07E26CD}"/>
    <cellStyle name="Normal 2 3 3 2" xfId="311" xr:uid="{F3BD20A4-56B6-4E2D-9460-DB12EA0AD5DC}"/>
    <cellStyle name="Normal 2 3 3 2 2" xfId="2010" xr:uid="{37175E04-85E0-4A1F-9DDD-5484AC731973}"/>
    <cellStyle name="Normal 2 3 3 2 3" xfId="3624" xr:uid="{266FC78D-B788-467E-8A50-C941096448CB}"/>
    <cellStyle name="Normal 2 3 3 3" xfId="507" xr:uid="{D27C9873-E63B-4F4E-AEFA-028A0ACBF8B6}"/>
    <cellStyle name="Normal 2 3 3 3 2" xfId="2228" xr:uid="{C028D594-AC6F-414A-AA87-FCDB4AF61F5D}"/>
    <cellStyle name="Normal 2 3 3 3 3" xfId="3598" xr:uid="{7BD7C317-03F0-40A1-8FF1-7484A2DDF016}"/>
    <cellStyle name="Normal 2 3 3 4" xfId="725" xr:uid="{E6EE34DB-A4FF-4341-BF27-8E655FE7A8F9}"/>
    <cellStyle name="Normal 2 3 3 4 2" xfId="2446" xr:uid="{50F324B5-E42A-4EE9-BD04-F2484FFAA053}"/>
    <cellStyle name="Normal 2 3 3 5" xfId="943" xr:uid="{BF39B213-DE7A-42C0-8D60-4B64370577F9}"/>
    <cellStyle name="Normal 2 3 3 5 2" xfId="2664" xr:uid="{24300942-B1B3-4CF1-BEE0-136861CABAE6}"/>
    <cellStyle name="Normal 2 3 3 6" xfId="1161" xr:uid="{C4A09F73-3AA3-4AB8-AB97-E99A44DD402D}"/>
    <cellStyle name="Normal 2 3 3 6 2" xfId="2882" xr:uid="{964EEEEC-0A22-45A7-B8DE-C9A76C013860}"/>
    <cellStyle name="Normal 2 3 3 7" xfId="1379" xr:uid="{A3FF539A-C962-46D9-BA94-57AAC26411FF}"/>
    <cellStyle name="Normal 2 3 3 7 2" xfId="3100" xr:uid="{0CA481B5-2E9A-4558-917D-EDF205EF14E5}"/>
    <cellStyle name="Normal 2 3 3 8" xfId="1598" xr:uid="{23ACC9F7-9753-4CEF-B151-8F8780434AA1}"/>
    <cellStyle name="Normal 2 3 3 8 2" xfId="3319" xr:uid="{73198001-0891-46EC-B4F1-086536FB6342}"/>
    <cellStyle name="Normal 2 3 3 9" xfId="1818" xr:uid="{D6FF5A6D-A4BA-4D7A-925C-D352EB6C4725}"/>
    <cellStyle name="Normal 2 3 4" xfId="78" xr:uid="{2D272195-28E8-496C-B910-D349C0B441F5}"/>
    <cellStyle name="Normal 2 3 4 2" xfId="324" xr:uid="{35127ED0-E455-4458-A8D8-E3E810570FDE}"/>
    <cellStyle name="Normal 2 3 4 2 2" xfId="2023" xr:uid="{E427C67C-9576-4D6C-A94F-9ED8EA58F66A}"/>
    <cellStyle name="Normal 2 3 4 2 3" xfId="3632" xr:uid="{8FEDF163-7985-43F2-B397-108AFD95DACE}"/>
    <cellStyle name="Normal 2 3 4 3" xfId="520" xr:uid="{FDC38C35-458E-446B-BB56-E420CB734395}"/>
    <cellStyle name="Normal 2 3 4 3 2" xfId="2241" xr:uid="{E93D349E-8E45-4016-9E71-14CB176BF7FC}"/>
    <cellStyle name="Normal 2 3 4 3 3" xfId="3606" xr:uid="{56A59DB0-2C58-47B6-A4D8-C9EB507CB8AC}"/>
    <cellStyle name="Normal 2 3 4 4" xfId="738" xr:uid="{51A1CB22-855B-448A-B3C1-B2488EAC6680}"/>
    <cellStyle name="Normal 2 3 4 4 2" xfId="2459" xr:uid="{E1DD5AB0-D3BD-4ADF-B50B-BA9844AD3FA0}"/>
    <cellStyle name="Normal 2 3 4 5" xfId="956" xr:uid="{F407F1BC-1015-4C3B-A436-E1E3D69DAFC9}"/>
    <cellStyle name="Normal 2 3 4 5 2" xfId="2677" xr:uid="{26FE5CD2-558B-4835-B485-7B6F3E16E696}"/>
    <cellStyle name="Normal 2 3 4 6" xfId="1174" xr:uid="{D49D86F7-1712-4D47-A8B2-CC1F411D5F25}"/>
    <cellStyle name="Normal 2 3 4 6 2" xfId="2895" xr:uid="{CE827797-4B3F-41D8-95EE-FA2F69189304}"/>
    <cellStyle name="Normal 2 3 4 7" xfId="1392" xr:uid="{05FEF400-1BF7-4C76-98A5-039870DAC981}"/>
    <cellStyle name="Normal 2 3 4 7 2" xfId="3113" xr:uid="{2550403C-4613-4B60-B765-5143EA8C0F71}"/>
    <cellStyle name="Normal 2 3 4 8" xfId="1611" xr:uid="{D8459D97-68CC-4651-8C7B-75FEE7A28427}"/>
    <cellStyle name="Normal 2 3 4 8 2" xfId="3332" xr:uid="{9DF85327-C98E-40B3-B106-9C7E025D0011}"/>
    <cellStyle name="Normal 2 3 4 9" xfId="1831" xr:uid="{4AB04C67-06D0-461E-BCF5-2505FB726C93}"/>
    <cellStyle name="Normal 2 3 5" xfId="91" xr:uid="{418FCEB2-41AE-47E8-A81C-1A7B0E379DDF}"/>
    <cellStyle name="Normal 2 3 5 2" xfId="337" xr:uid="{B1B90198-2658-473E-962B-9C1C41B0D2DD}"/>
    <cellStyle name="Normal 2 3 5 2 2" xfId="2036" xr:uid="{A6272597-D06C-493F-8745-29AD427EACD5}"/>
    <cellStyle name="Normal 2 3 5 2 3" xfId="3642" xr:uid="{3A2585CA-0F3F-495F-B290-097777D19DED}"/>
    <cellStyle name="Normal 2 3 5 3" xfId="533" xr:uid="{23255441-2216-462A-8C6A-FEBFFD2CE079}"/>
    <cellStyle name="Normal 2 3 5 3 2" xfId="2254" xr:uid="{1A3F0694-634A-4C56-B369-CBBBD0A2CC8C}"/>
    <cellStyle name="Normal 2 3 5 3 3" xfId="3616" xr:uid="{BF12C669-4135-4453-AE2A-C0C2F11577F0}"/>
    <cellStyle name="Normal 2 3 5 4" xfId="751" xr:uid="{49A47A61-6B42-49D3-AF2F-3A5270FD80C2}"/>
    <cellStyle name="Normal 2 3 5 4 2" xfId="2472" xr:uid="{B9635F9C-BA5A-4A06-A31D-809092CD3611}"/>
    <cellStyle name="Normal 2 3 5 5" xfId="969" xr:uid="{3C562D38-D942-4318-82F5-49F162E7BF84}"/>
    <cellStyle name="Normal 2 3 5 5 2" xfId="2690" xr:uid="{01D272B7-0C2C-4075-896B-EDEC9EA028E1}"/>
    <cellStyle name="Normal 2 3 5 6" xfId="1187" xr:uid="{820E7545-EE3F-4AC2-A55E-051C8CC05F67}"/>
    <cellStyle name="Normal 2 3 5 6 2" xfId="2908" xr:uid="{03DE9535-C7FA-486B-9ABE-2F81342BCF13}"/>
    <cellStyle name="Normal 2 3 5 7" xfId="1405" xr:uid="{A91BACAC-2238-4EDD-96B9-589AEAC089A5}"/>
    <cellStyle name="Normal 2 3 5 7 2" xfId="3126" xr:uid="{3680644B-F1B1-4F90-82A0-7ADA67FAA590}"/>
    <cellStyle name="Normal 2 3 5 8" xfId="1624" xr:uid="{14E047E2-6DB7-45FE-B741-FB7F6F5C994D}"/>
    <cellStyle name="Normal 2 3 5 8 2" xfId="3345" xr:uid="{E945C4FB-B910-4C26-A51C-66AAFD4BB158}"/>
    <cellStyle name="Normal 2 3 5 9" xfId="1844" xr:uid="{29F67A84-3335-4FB5-AC3A-BB88CB7C7444}"/>
    <cellStyle name="Normal 2 3 6" xfId="104" xr:uid="{4A5274BB-01E6-494B-BA16-CBF5F0F0A04C}"/>
    <cellStyle name="Normal 2 3 6 2" xfId="350" xr:uid="{6F0C50A1-485C-487E-9872-2F4A33C2BE73}"/>
    <cellStyle name="Normal 2 3 6 2 2" xfId="2049" xr:uid="{C1EE188A-826E-4EEA-A227-DC749AD15E66}"/>
    <cellStyle name="Normal 2 3 6 3" xfId="546" xr:uid="{ADF5E104-74A2-43AE-9590-1E45FAAB3F3B}"/>
    <cellStyle name="Normal 2 3 6 3 2" xfId="2267" xr:uid="{3F288E92-100D-422B-AFAA-2FC939C5A4CA}"/>
    <cellStyle name="Normal 2 3 6 4" xfId="764" xr:uid="{31A19EDA-86EB-4BD8-B293-79F19B33E7FA}"/>
    <cellStyle name="Normal 2 3 6 4 2" xfId="2485" xr:uid="{D72E7166-02E0-498B-BB4C-8503716667C9}"/>
    <cellStyle name="Normal 2 3 6 5" xfId="982" xr:uid="{C4D1257E-AE0D-4B2D-B485-9FA734E1C580}"/>
    <cellStyle name="Normal 2 3 6 5 2" xfId="2703" xr:uid="{B9E232AD-A683-4676-9CAF-EFCD260EBBFA}"/>
    <cellStyle name="Normal 2 3 6 6" xfId="1200" xr:uid="{779AB906-2A07-417F-956F-F4F79F7D29E2}"/>
    <cellStyle name="Normal 2 3 6 6 2" xfId="2921" xr:uid="{9CEB6CBE-4586-4768-80C1-B442CA0425CC}"/>
    <cellStyle name="Normal 2 3 6 7" xfId="1418" xr:uid="{ECCA1169-7035-4DAC-902E-1EAF334A9152}"/>
    <cellStyle name="Normal 2 3 6 7 2" xfId="3139" xr:uid="{53D753E9-AFE7-48E2-82D2-36A9B44650D5}"/>
    <cellStyle name="Normal 2 3 6 8" xfId="1637" xr:uid="{C161354C-BB85-4857-89FC-3C8410E59534}"/>
    <cellStyle name="Normal 2 3 6 8 2" xfId="3358" xr:uid="{8EDFEED3-E469-4FB4-99B1-31E6C1987D76}"/>
    <cellStyle name="Normal 2 3 6 9" xfId="1857" xr:uid="{C0B62528-AC6A-4160-9CFB-60CA154F020E}"/>
    <cellStyle name="Normal 2 3 7" xfId="117" xr:uid="{D3FB2510-9F2F-4423-AF27-938AA5F37F22}"/>
    <cellStyle name="Normal 2 3 7 2" xfId="363" xr:uid="{B41A8B47-7F6D-4F6C-B0F4-E1AAE9A846FF}"/>
    <cellStyle name="Normal 2 3 7 2 2" xfId="2062" xr:uid="{892E0D8A-F785-4E79-87B0-A5CFAE69461A}"/>
    <cellStyle name="Normal 2 3 7 3" xfId="559" xr:uid="{C8D6F372-E533-43D3-8FAD-4096A01F2914}"/>
    <cellStyle name="Normal 2 3 7 3 2" xfId="2280" xr:uid="{6FA936BD-71E7-44B0-B167-9D4FB29D7665}"/>
    <cellStyle name="Normal 2 3 7 4" xfId="777" xr:uid="{1EDE6F48-A432-42D0-9FA5-375883B429CE}"/>
    <cellStyle name="Normal 2 3 7 4 2" xfId="2498" xr:uid="{37A0F899-802B-4212-8EF2-96600C327050}"/>
    <cellStyle name="Normal 2 3 7 5" xfId="995" xr:uid="{8FF6C750-B5A1-4C65-B420-25A7186E9618}"/>
    <cellStyle name="Normal 2 3 7 5 2" xfId="2716" xr:uid="{B48287DB-DC68-49E7-A0C0-AC66350A94BF}"/>
    <cellStyle name="Normal 2 3 7 6" xfId="1213" xr:uid="{96B46B73-6A20-4C61-B0EC-CFD68576F8EF}"/>
    <cellStyle name="Normal 2 3 7 6 2" xfId="2934" xr:uid="{5ED9809C-3AAC-43A3-8514-55B69C128DC3}"/>
    <cellStyle name="Normal 2 3 7 7" xfId="1431" xr:uid="{1533CA22-04C2-44A9-A4EC-F5C1DE66BF4B}"/>
    <cellStyle name="Normal 2 3 7 7 2" xfId="3152" xr:uid="{9318AA7C-958F-4ADE-A3BB-C123925C4C44}"/>
    <cellStyle name="Normal 2 3 7 8" xfId="1650" xr:uid="{F3565502-8730-48C7-B509-7AF14D167777}"/>
    <cellStyle name="Normal 2 3 7 8 2" xfId="3371" xr:uid="{5EC3F3A6-B6A4-4B0F-BE6D-9595E3518DD7}"/>
    <cellStyle name="Normal 2 3 7 9" xfId="1870" xr:uid="{240A2671-EDA5-484C-86F6-C4326497C90E}"/>
    <cellStyle name="Normal 2 3 8" xfId="130" xr:uid="{7F6DCF91-8B48-497C-AB96-3A0F3FB97409}"/>
    <cellStyle name="Normal 2 3 8 2" xfId="376" xr:uid="{16EB2197-9C8F-44E2-BA1A-D0598070B45A}"/>
    <cellStyle name="Normal 2 3 8 2 2" xfId="2075" xr:uid="{6A65E329-2930-4F1F-9896-3D5348F1BC12}"/>
    <cellStyle name="Normal 2 3 8 3" xfId="572" xr:uid="{02DC69E9-3781-4BFC-9F9F-3EBE9888C704}"/>
    <cellStyle name="Normal 2 3 8 3 2" xfId="2293" xr:uid="{44850B1F-7DC2-49CD-87EB-A2EC7C646678}"/>
    <cellStyle name="Normal 2 3 8 4" xfId="790" xr:uid="{DD2C635D-FBC5-4FE3-A6DA-1CDCFF229D36}"/>
    <cellStyle name="Normal 2 3 8 4 2" xfId="2511" xr:uid="{A46EE73A-8456-4B29-A9F0-DFE51AE2FEC1}"/>
    <cellStyle name="Normal 2 3 8 5" xfId="1008" xr:uid="{A08B46AE-FD62-4BC7-AE1C-77E40532CCD0}"/>
    <cellStyle name="Normal 2 3 8 5 2" xfId="2729" xr:uid="{B6E12049-62E0-4BF2-AA0B-64A50E344D97}"/>
    <cellStyle name="Normal 2 3 8 6" xfId="1226" xr:uid="{B75284F9-D172-42B0-9271-5224225FA778}"/>
    <cellStyle name="Normal 2 3 8 6 2" xfId="2947" xr:uid="{DFFF9B2B-85C2-4682-A7B6-B063A9323601}"/>
    <cellStyle name="Normal 2 3 8 7" xfId="1444" xr:uid="{70FF8FA7-084B-42FE-BDA9-7BB8C284CFCD}"/>
    <cellStyle name="Normal 2 3 8 7 2" xfId="3165" xr:uid="{0DC4599A-0C02-42A9-8A77-07715974D96F}"/>
    <cellStyle name="Normal 2 3 8 8" xfId="1663" xr:uid="{F5C851C8-EF49-44AD-A610-905095F2A383}"/>
    <cellStyle name="Normal 2 3 8 8 2" xfId="3384" xr:uid="{A86D19FE-A58C-481E-A10C-7473F18EFB2E}"/>
    <cellStyle name="Normal 2 3 8 9" xfId="1883" xr:uid="{D6FB8D25-46E2-4494-BE28-EACDF3D41315}"/>
    <cellStyle name="Normal 2 3 9" xfId="143" xr:uid="{D09D405B-06B6-4622-943E-16FE8284CAD8}"/>
    <cellStyle name="Normal 2 3 9 2" xfId="389" xr:uid="{3E66E293-0570-460A-9486-306E9BDD15F5}"/>
    <cellStyle name="Normal 2 3 9 2 2" xfId="2088" xr:uid="{8C2D22B5-1C81-4933-B3AE-0159271A4598}"/>
    <cellStyle name="Normal 2 3 9 3" xfId="585" xr:uid="{2EE1E4DF-883D-4F3A-B5DD-D9D123315E65}"/>
    <cellStyle name="Normal 2 3 9 3 2" xfId="2306" xr:uid="{824370F8-81BF-42A4-A3E4-03738480317F}"/>
    <cellStyle name="Normal 2 3 9 4" xfId="803" xr:uid="{D237D5FD-C37D-47F8-835F-E0F685986AC1}"/>
    <cellStyle name="Normal 2 3 9 4 2" xfId="2524" xr:uid="{96091E6F-FF1D-43FA-A26B-A2331FECCAD1}"/>
    <cellStyle name="Normal 2 3 9 5" xfId="1021" xr:uid="{EF17D726-7AAB-438A-98D3-EFBA1337F854}"/>
    <cellStyle name="Normal 2 3 9 5 2" xfId="2742" xr:uid="{00FF235F-542F-4212-ADD2-339DD706FF04}"/>
    <cellStyle name="Normal 2 3 9 6" xfId="1239" xr:uid="{67987EDC-9CFE-4A95-BB6A-6FB53CD881E6}"/>
    <cellStyle name="Normal 2 3 9 6 2" xfId="2960" xr:uid="{507A86A0-889B-4333-A6F1-C813AA034FCC}"/>
    <cellStyle name="Normal 2 3 9 7" xfId="1457" xr:uid="{02B1EA8C-D0F0-4E14-A4CE-C8FD439A92FA}"/>
    <cellStyle name="Normal 2 3 9 7 2" xfId="3178" xr:uid="{9E9C218C-96F5-41C2-9030-8FC7C99E17B3}"/>
    <cellStyle name="Normal 2 3 9 8" xfId="1676" xr:uid="{66BACCD6-72F4-4EF7-A61A-9AC5A1459A26}"/>
    <cellStyle name="Normal 2 3 9 8 2" xfId="3397" xr:uid="{6BE306A9-E921-401C-8A0B-B7C3B7B29966}"/>
    <cellStyle name="Normal 2 3 9 9" xfId="1896" xr:uid="{2F0B38A9-7172-4155-A10D-5DE6F91A3DB8}"/>
    <cellStyle name="Normal 2 4" xfId="56" xr:uid="{2F80AE93-1ECB-49B7-808A-A21D080EFEC9}"/>
    <cellStyle name="Normal 2 4 10" xfId="172" xr:uid="{618A3126-B554-4D69-BCEE-BBBCF13C7315}"/>
    <cellStyle name="Normal 2 4 10 2" xfId="418" xr:uid="{F017127A-9676-4C64-BA09-A38BCD873CD5}"/>
    <cellStyle name="Normal 2 4 10 2 2" xfId="2117" xr:uid="{AD1F3464-8A3A-4D95-9626-96C655D32695}"/>
    <cellStyle name="Normal 2 4 10 3" xfId="614" xr:uid="{F1EA54C5-FC94-4A2C-8811-E3AE8223D1CB}"/>
    <cellStyle name="Normal 2 4 10 3 2" xfId="2335" xr:uid="{C297377A-549E-40AA-AC0C-09FD931057D9}"/>
    <cellStyle name="Normal 2 4 10 4" xfId="832" xr:uid="{7109B7A1-250A-41A0-9B17-36B636DB13D9}"/>
    <cellStyle name="Normal 2 4 10 4 2" xfId="2553" xr:uid="{C1CC619B-10CC-47D8-B050-E7F05BCC002E}"/>
    <cellStyle name="Normal 2 4 10 5" xfId="1050" xr:uid="{A6828601-9CF5-4F62-8D81-51D09D4F5D1E}"/>
    <cellStyle name="Normal 2 4 10 5 2" xfId="2771" xr:uid="{D4386174-ED50-41E6-BCBF-A22FF6A741AB}"/>
    <cellStyle name="Normal 2 4 10 6" xfId="1268" xr:uid="{93D06982-8B79-4A88-B31D-7DD325ADDF43}"/>
    <cellStyle name="Normal 2 4 10 6 2" xfId="2989" xr:uid="{204C8153-B8C3-4897-A7EA-8BEC9A330EB9}"/>
    <cellStyle name="Normal 2 4 10 7" xfId="1486" xr:uid="{26EF8DAF-B310-4399-AB59-DA92A37353F8}"/>
    <cellStyle name="Normal 2 4 10 7 2" xfId="3207" xr:uid="{5452F390-B9E5-4DD3-8A6A-525D3C955185}"/>
    <cellStyle name="Normal 2 4 10 8" xfId="1705" xr:uid="{ACC3393F-B991-4499-8D21-C279DB7B042F}"/>
    <cellStyle name="Normal 2 4 10 8 2" xfId="3426" xr:uid="{81D9A5C3-6AD2-4E66-B709-EFA3913C7B10}"/>
    <cellStyle name="Normal 2 4 10 9" xfId="1925" xr:uid="{489DAAA4-C5EA-486B-AB88-A4DCC219AF4D}"/>
    <cellStyle name="Normal 2 4 11" xfId="185" xr:uid="{0BC6EB6C-BDCF-446E-BB80-11C2C1CBD821}"/>
    <cellStyle name="Normal 2 4 11 2" xfId="431" xr:uid="{A37D3792-D488-428A-8342-EBC48292DC6E}"/>
    <cellStyle name="Normal 2 4 11 2 2" xfId="2130" xr:uid="{BA219A02-436A-43F2-A2F6-0CCFB7E3270F}"/>
    <cellStyle name="Normal 2 4 11 3" xfId="627" xr:uid="{7F550DA1-AF86-4074-9901-7E126B36922C}"/>
    <cellStyle name="Normal 2 4 11 3 2" xfId="2348" xr:uid="{22B7A5B8-8B36-4D28-BBD2-A26F065A868E}"/>
    <cellStyle name="Normal 2 4 11 4" xfId="845" xr:uid="{DB93595D-C5C2-4691-A8BE-0D3D7ADCB108}"/>
    <cellStyle name="Normal 2 4 11 4 2" xfId="2566" xr:uid="{55BD623B-345B-4FEE-A7B1-64258C466357}"/>
    <cellStyle name="Normal 2 4 11 5" xfId="1063" xr:uid="{B28EEE68-8314-49D6-9222-51B98DAA1A29}"/>
    <cellStyle name="Normal 2 4 11 5 2" xfId="2784" xr:uid="{66CF6C73-CD15-45EE-9E2B-067DC8F26968}"/>
    <cellStyle name="Normal 2 4 11 6" xfId="1281" xr:uid="{3516AA88-B917-48DA-8DFE-59F32234F394}"/>
    <cellStyle name="Normal 2 4 11 6 2" xfId="3002" xr:uid="{DB33B1FA-BD37-4042-B3D9-C1C5AB62A2FD}"/>
    <cellStyle name="Normal 2 4 11 7" xfId="1499" xr:uid="{639FC4B3-946C-4835-B765-C789E03AF6D5}"/>
    <cellStyle name="Normal 2 4 11 7 2" xfId="3220" xr:uid="{D3B6B1D7-19E1-441F-9FD3-166799024572}"/>
    <cellStyle name="Normal 2 4 11 8" xfId="1718" xr:uid="{835C046C-3F87-40D4-ACB7-21E1325E0863}"/>
    <cellStyle name="Normal 2 4 11 8 2" xfId="3439" xr:uid="{8B84D857-0802-457E-8DD2-37FD1A7D1D24}"/>
    <cellStyle name="Normal 2 4 11 9" xfId="1938" xr:uid="{AA8657A3-02E8-4DE8-8ADE-DCCEA9A8AE06}"/>
    <cellStyle name="Normal 2 4 12" xfId="198" xr:uid="{2AC11CE9-C352-4B2F-A138-933139027CBB}"/>
    <cellStyle name="Normal 2 4 12 2" xfId="444" xr:uid="{22ABD960-A77E-42C8-8E29-2F9ABB23F09D}"/>
    <cellStyle name="Normal 2 4 12 2 2" xfId="2143" xr:uid="{F7CC75B2-A8EB-497B-8290-05C374E74F92}"/>
    <cellStyle name="Normal 2 4 12 3" xfId="640" xr:uid="{0F621F93-E7E2-4E7C-8560-D1B6FB9044BD}"/>
    <cellStyle name="Normal 2 4 12 3 2" xfId="2361" xr:uid="{6A5BD9A1-7184-4238-AC09-E2D10A043F9A}"/>
    <cellStyle name="Normal 2 4 12 4" xfId="858" xr:uid="{3D0678B2-70BE-404A-98F9-4AA269D676F7}"/>
    <cellStyle name="Normal 2 4 12 4 2" xfId="2579" xr:uid="{2B2FDEBF-6DCF-4017-812E-5C0AFAF42E72}"/>
    <cellStyle name="Normal 2 4 12 5" xfId="1076" xr:uid="{6F320ECF-C5AB-47DC-894A-175AAC05E1CD}"/>
    <cellStyle name="Normal 2 4 12 5 2" xfId="2797" xr:uid="{BBC7000E-F9C0-4CCB-A40F-B23BBC8FA967}"/>
    <cellStyle name="Normal 2 4 12 6" xfId="1294" xr:uid="{069E7F28-33A5-4EB7-8728-A344D14BDABA}"/>
    <cellStyle name="Normal 2 4 12 6 2" xfId="3015" xr:uid="{F528EF63-FC77-45B0-8E49-7D8FC8A177E0}"/>
    <cellStyle name="Normal 2 4 12 7" xfId="1512" xr:uid="{DC81A91D-2986-4EA5-A0B5-29C4AE01F462}"/>
    <cellStyle name="Normal 2 4 12 7 2" xfId="3233" xr:uid="{A8D101B3-2BD7-4C3B-9D70-A58AA2C51D1B}"/>
    <cellStyle name="Normal 2 4 12 8" xfId="1731" xr:uid="{BED59D0A-648A-4648-AA5D-9C797FF72B94}"/>
    <cellStyle name="Normal 2 4 12 8 2" xfId="3452" xr:uid="{84953427-07E8-49C8-A233-B33942E39C32}"/>
    <cellStyle name="Normal 2 4 12 9" xfId="1951" xr:uid="{080B4271-ABEB-4A21-B698-028858948CD8}"/>
    <cellStyle name="Normal 2 4 13" xfId="223" xr:uid="{78E85D22-CA28-4F7A-AF2E-9FF39ECFFF73}"/>
    <cellStyle name="Normal 2 4 13 2" xfId="467" xr:uid="{821C85B7-D4B0-41CE-BD11-CD32BD0F4D46}"/>
    <cellStyle name="Normal 2 4 13 2 2" xfId="2166" xr:uid="{D17EA1D6-3CCC-4513-BDCC-30637A4A3732}"/>
    <cellStyle name="Normal 2 4 13 3" xfId="663" xr:uid="{DA2F67DD-787A-4A70-A699-7FA8DEA7E197}"/>
    <cellStyle name="Normal 2 4 13 3 2" xfId="2384" xr:uid="{FC85F9FC-331E-4428-8740-0FD3CFEFD741}"/>
    <cellStyle name="Normal 2 4 13 4" xfId="881" xr:uid="{9ABE9A13-0744-4ADE-95C5-2DEE89046E59}"/>
    <cellStyle name="Normal 2 4 13 4 2" xfId="2602" xr:uid="{54C0C2A1-D3D8-4CEB-A6E0-5CB09D047083}"/>
    <cellStyle name="Normal 2 4 13 5" xfId="1099" xr:uid="{5981EFC1-F54D-4318-9D7A-696347EC3A1F}"/>
    <cellStyle name="Normal 2 4 13 5 2" xfId="2820" xr:uid="{381E3FF1-A36C-417E-8C64-89E8995E95A6}"/>
    <cellStyle name="Normal 2 4 13 6" xfId="1317" xr:uid="{08587AE5-D8BF-459A-9AEF-3F758DC50D9E}"/>
    <cellStyle name="Normal 2 4 13 6 2" xfId="3038" xr:uid="{8C60BE73-0E04-4F5B-9866-8DF961F0D80F}"/>
    <cellStyle name="Normal 2 4 13 7" xfId="1535" xr:uid="{5E3A7782-575B-45F6-A2DD-0E159CA593A4}"/>
    <cellStyle name="Normal 2 4 13 7 2" xfId="3256" xr:uid="{05B82C63-B4BA-4D1A-BFEC-07429E78B068}"/>
    <cellStyle name="Normal 2 4 13 8" xfId="1754" xr:uid="{6E503919-D35D-4EBE-A0CA-B0EA9977CDCF}"/>
    <cellStyle name="Normal 2 4 13 8 2" xfId="3475" xr:uid="{8A554DB4-C439-4307-86D9-C73F69520965}"/>
    <cellStyle name="Normal 2 4 13 9" xfId="1974" xr:uid="{E42CA80A-8E2E-46AE-A3AE-226F57F2C5A2}"/>
    <cellStyle name="Normal 2 4 14" xfId="236" xr:uid="{7A7118ED-A186-46E3-9A50-65B012EE77E8}"/>
    <cellStyle name="Normal 2 4 14 2" xfId="480" xr:uid="{0CB26E0F-DC10-42F9-9CE9-2CAD632E3F57}"/>
    <cellStyle name="Normal 2 4 14 2 2" xfId="2179" xr:uid="{33C5C346-7C4D-42AE-94B4-D438EDD6399E}"/>
    <cellStyle name="Normal 2 4 14 3" xfId="676" xr:uid="{F382E22D-35FC-41DE-85F3-8A6CF85E7ADC}"/>
    <cellStyle name="Normal 2 4 14 3 2" xfId="2397" xr:uid="{71AEE66D-8A3B-42D3-B1A6-55AC63B7AC31}"/>
    <cellStyle name="Normal 2 4 14 4" xfId="894" xr:uid="{71E383CE-46CF-4327-864D-1F978C1B2948}"/>
    <cellStyle name="Normal 2 4 14 4 2" xfId="2615" xr:uid="{31CE5711-1CAE-4BE8-B44B-4436DEE0DB55}"/>
    <cellStyle name="Normal 2 4 14 5" xfId="1112" xr:uid="{BDA4BB69-C228-41A6-ABE9-2BC14AE5F2DF}"/>
    <cellStyle name="Normal 2 4 14 5 2" xfId="2833" xr:uid="{ED11FAC8-87FF-4049-82E8-339FB3C6C5C8}"/>
    <cellStyle name="Normal 2 4 14 6" xfId="1330" xr:uid="{DA6E333D-3728-4179-9939-BA1CC175DC13}"/>
    <cellStyle name="Normal 2 4 14 6 2" xfId="3051" xr:uid="{2F8CC4F5-E173-45D4-B783-5797177279F8}"/>
    <cellStyle name="Normal 2 4 14 7" xfId="1548" xr:uid="{A088BFD9-BDB3-4F3A-BC21-069D887EE328}"/>
    <cellStyle name="Normal 2 4 14 7 2" xfId="3269" xr:uid="{5D32ECCA-F1DE-4631-8151-2CDADBC3945E}"/>
    <cellStyle name="Normal 2 4 14 8" xfId="1767" xr:uid="{D900A326-7A31-4B9B-B5E4-25031F750344}"/>
    <cellStyle name="Normal 2 4 14 8 2" xfId="3488" xr:uid="{59A59DB5-96C6-486F-820A-4C572DDF2FA5}"/>
    <cellStyle name="Normal 2 4 14 9" xfId="1987" xr:uid="{A6E6CCB7-5EB2-4181-934F-752327D657BA}"/>
    <cellStyle name="Normal 2 4 15" xfId="249" xr:uid="{9AAFB90D-8AF5-4438-9908-069415781CB1}"/>
    <cellStyle name="Normal 2 4 15 2" xfId="689" xr:uid="{6EEC98E3-C9F1-41D5-AD6C-F77CCE5AAAF3}"/>
    <cellStyle name="Normal 2 4 15 2 2" xfId="2410" xr:uid="{AAC3F5FC-B31C-49E2-81C5-14BFB98F198D}"/>
    <cellStyle name="Normal 2 4 15 3" xfId="907" xr:uid="{5D141D8D-7A2F-4795-ADC1-11BB5ED0A5F8}"/>
    <cellStyle name="Normal 2 4 15 3 2" xfId="2628" xr:uid="{988485E8-C2E7-47E9-B317-95FC668F8244}"/>
    <cellStyle name="Normal 2 4 15 4" xfId="1125" xr:uid="{14C9E812-E1A5-4E3F-AFD2-F689363EC5F6}"/>
    <cellStyle name="Normal 2 4 15 4 2" xfId="2846" xr:uid="{88965B63-4848-4BD9-8015-ACEEBEFEDB67}"/>
    <cellStyle name="Normal 2 4 15 5" xfId="1343" xr:uid="{8E133049-3215-43F3-8088-97FDC01D8EA6}"/>
    <cellStyle name="Normal 2 4 15 5 2" xfId="3064" xr:uid="{9C89738C-E6D8-4F00-A98A-CD71FB258FFD}"/>
    <cellStyle name="Normal 2 4 15 6" xfId="1561" xr:uid="{B817B6A8-F619-4AF4-91CF-0184E70A618D}"/>
    <cellStyle name="Normal 2 4 15 6 2" xfId="3282" xr:uid="{06573AFE-2079-4ACA-BC27-D446EB974DAE}"/>
    <cellStyle name="Normal 2 4 15 7" xfId="1780" xr:uid="{87453BEA-6D82-41D4-AD40-5FB867055597}"/>
    <cellStyle name="Normal 2 4 15 7 2" xfId="3501" xr:uid="{D259841D-D78D-481E-87A4-5BB1F97E88D0}"/>
    <cellStyle name="Normal 2 4 15 8" xfId="2192" xr:uid="{39AE2CE6-D02B-4EC1-990F-0D0966411ACF}"/>
    <cellStyle name="Normal 2 4 16" xfId="262" xr:uid="{19BE6E8C-F867-4576-8169-9F63912AA635}"/>
    <cellStyle name="Normal 2 4 16 2" xfId="702" xr:uid="{D955134E-3AD5-46E5-8CE7-AE8ED4B01C32}"/>
    <cellStyle name="Normal 2 4 16 2 2" xfId="2423" xr:uid="{AE82498B-0BD7-4C32-8C6B-59B0AFD99F48}"/>
    <cellStyle name="Normal 2 4 16 3" xfId="920" xr:uid="{A9DE8BF2-88ED-4146-B012-C12C96773B63}"/>
    <cellStyle name="Normal 2 4 16 3 2" xfId="2641" xr:uid="{DA63C159-24B1-4A01-96DA-4608CB9B8CB6}"/>
    <cellStyle name="Normal 2 4 16 4" xfId="1138" xr:uid="{1065FA20-2B36-4477-8459-0EB3E931BCAF}"/>
    <cellStyle name="Normal 2 4 16 4 2" xfId="2859" xr:uid="{AC4F2671-780E-49AE-9B34-6C6A5230C849}"/>
    <cellStyle name="Normal 2 4 16 5" xfId="1356" xr:uid="{2BC7792A-34DD-4242-8906-EA424FE5679B}"/>
    <cellStyle name="Normal 2 4 16 5 2" xfId="3077" xr:uid="{7266D6E0-F32C-47D7-AB01-9E397D4A4415}"/>
    <cellStyle name="Normal 2 4 16 6" xfId="1574" xr:uid="{31EE620E-2648-4A54-92E8-AF7C6E0C5A41}"/>
    <cellStyle name="Normal 2 4 16 6 2" xfId="3295" xr:uid="{E23913D7-AB42-4BA5-A97B-F811B1408725}"/>
    <cellStyle name="Normal 2 4 16 7" xfId="1793" xr:uid="{CAE04876-76D4-45B3-8283-4C255177DFC8}"/>
    <cellStyle name="Normal 2 4 16 7 2" xfId="3514" xr:uid="{1816FADF-5CF5-46A8-A472-256C4A80F49C}"/>
    <cellStyle name="Normal 2 4 16 8" xfId="2205" xr:uid="{FF8BE3E5-C848-4772-9809-FA67AA4A2885}"/>
    <cellStyle name="Normal 2 4 17" xfId="302" xr:uid="{A9D9A187-EA88-444C-9432-1241E692509A}"/>
    <cellStyle name="Normal 2 4 17 2" xfId="2000" xr:uid="{290A1037-85D9-4D0A-A219-3E385ED86BDF}"/>
    <cellStyle name="Normal 2 4 18" xfId="497" xr:uid="{A2DF9285-ABAA-445E-8706-8484DF291B77}"/>
    <cellStyle name="Normal 2 4 18 2" xfId="2218" xr:uid="{3A4EB5F8-FEBF-47D5-A7E6-DE267FF563F0}"/>
    <cellStyle name="Normal 2 4 19" xfId="715" xr:uid="{71979CB7-1152-47CC-B941-EC2BC38CB856}"/>
    <cellStyle name="Normal 2 4 19 2" xfId="2436" xr:uid="{BACCBC47-68C8-4AD0-AA00-71F5A1C4894D}"/>
    <cellStyle name="Normal 2 4 2" xfId="68" xr:uid="{2AF6B5E3-A5AF-4793-807E-843E6CDAB7AD}"/>
    <cellStyle name="Normal 2 4 2 2" xfId="314" xr:uid="{23BF5ADF-BB6E-43C5-9563-FB2A7EE315DE}"/>
    <cellStyle name="Normal 2 4 2 2 2" xfId="2013" xr:uid="{10E3E3C3-3534-4A1F-A255-9F7FD61245FD}"/>
    <cellStyle name="Normal 2 4 2 2 3" xfId="3626" xr:uid="{D5E5D1A4-8E91-415B-BBE1-52404A77D3FE}"/>
    <cellStyle name="Normal 2 4 2 3" xfId="510" xr:uid="{23A51143-06AD-48CB-A891-09DBD1BA3882}"/>
    <cellStyle name="Normal 2 4 2 3 2" xfId="2231" xr:uid="{93074F6F-3A3C-44CA-96EA-3ADF4FD942FB}"/>
    <cellStyle name="Normal 2 4 2 3 3" xfId="3600" xr:uid="{3A75E0AC-30C6-400F-A7D2-B846459841A3}"/>
    <cellStyle name="Normal 2 4 2 4" xfId="728" xr:uid="{85135F82-6DE0-4A9C-A4EA-764241CF71E2}"/>
    <cellStyle name="Normal 2 4 2 4 2" xfId="2449" xr:uid="{4A62A8DB-14A0-4F84-83FE-7C5AA5E02147}"/>
    <cellStyle name="Normal 2 4 2 5" xfId="946" xr:uid="{88F72D89-40EF-4872-8DB4-F571CDAD1E9C}"/>
    <cellStyle name="Normal 2 4 2 5 2" xfId="2667" xr:uid="{7C8FF3F8-ED0D-4AE5-BA1D-0E86A83FB4B6}"/>
    <cellStyle name="Normal 2 4 2 6" xfId="1164" xr:uid="{F7AE3E53-8F97-444B-83A5-6B92AE492E0A}"/>
    <cellStyle name="Normal 2 4 2 6 2" xfId="2885" xr:uid="{BA67401A-2D0D-4CDE-94D5-C3A0DD65CA42}"/>
    <cellStyle name="Normal 2 4 2 7" xfId="1382" xr:uid="{E8275233-8ACA-4B23-AD63-35D440C639AF}"/>
    <cellStyle name="Normal 2 4 2 7 2" xfId="3103" xr:uid="{58DADC66-3ACA-4C92-AD48-27C3B6D7455F}"/>
    <cellStyle name="Normal 2 4 2 8" xfId="1601" xr:uid="{8D2B9953-64AA-4D2C-96B3-FB6D0C60C54D}"/>
    <cellStyle name="Normal 2 4 2 8 2" xfId="3322" xr:uid="{517CBD49-7265-45E3-8531-514BFA21BF66}"/>
    <cellStyle name="Normal 2 4 2 9" xfId="1821" xr:uid="{DB4ED99E-9F95-451D-BA05-9ABEE0B9545F}"/>
    <cellStyle name="Normal 2 4 20" xfId="933" xr:uid="{25008EB8-0C4C-4D8F-A649-615F76AE3FA7}"/>
    <cellStyle name="Normal 2 4 20 2" xfId="2654" xr:uid="{3975A35A-49F4-4666-A5C4-D38CD5FEEC04}"/>
    <cellStyle name="Normal 2 4 21" xfId="1151" xr:uid="{B5735F17-722D-4AEC-844E-8A9729B69391}"/>
    <cellStyle name="Normal 2 4 21 2" xfId="2872" xr:uid="{665B1CD5-6D3F-428D-AD42-4C1DD3B68938}"/>
    <cellStyle name="Normal 2 4 22" xfId="1369" xr:uid="{16FFA770-A74F-4F28-984E-F107B1FC3356}"/>
    <cellStyle name="Normal 2 4 22 2" xfId="3090" xr:uid="{5456364D-D609-4292-828B-21EB4ECAF754}"/>
    <cellStyle name="Normal 2 4 23" xfId="1588" xr:uid="{8EB31B04-15DD-4348-A642-7A551B55F240}"/>
    <cellStyle name="Normal 2 4 23 2" xfId="3309" xr:uid="{FA938219-B996-495C-A325-38C9D90DA5AB}"/>
    <cellStyle name="Normal 2 4 24" xfId="1808" xr:uid="{8303437C-B3EE-4AA8-A2D6-1A4015FAE3F9}"/>
    <cellStyle name="Normal 2 4 3" xfId="81" xr:uid="{0DAAAE23-1ACF-4286-963D-08FFA0548A37}"/>
    <cellStyle name="Normal 2 4 3 2" xfId="327" xr:uid="{B1806D01-56D7-48BF-A4F1-9F2361713EF4}"/>
    <cellStyle name="Normal 2 4 3 2 2" xfId="2026" xr:uid="{281C6314-2D7E-458B-890B-4E64ADAD6ADA}"/>
    <cellStyle name="Normal 2 4 3 2 3" xfId="3634" xr:uid="{201F574E-E60F-4B43-9A06-BFA907CF3DEB}"/>
    <cellStyle name="Normal 2 4 3 3" xfId="523" xr:uid="{C1A6CE2F-8DAB-45BA-887D-5CA08725057E}"/>
    <cellStyle name="Normal 2 4 3 3 2" xfId="2244" xr:uid="{DBEA341C-4B02-4D1C-8D24-766409ABBC69}"/>
    <cellStyle name="Normal 2 4 3 3 3" xfId="3608" xr:uid="{F27ADD95-E2BF-40BE-AB9A-7A2E3CC73797}"/>
    <cellStyle name="Normal 2 4 3 4" xfId="741" xr:uid="{992CD615-717B-4F6A-95A3-557ABAA2DC22}"/>
    <cellStyle name="Normal 2 4 3 4 2" xfId="2462" xr:uid="{DF82AF8B-65B5-4224-BF57-EE3790CA6025}"/>
    <cellStyle name="Normal 2 4 3 5" xfId="959" xr:uid="{3DFE60DB-77C8-4B80-B598-9E4CD3DA12E1}"/>
    <cellStyle name="Normal 2 4 3 5 2" xfId="2680" xr:uid="{6BC12887-2920-4419-8C22-E5172072052E}"/>
    <cellStyle name="Normal 2 4 3 6" xfId="1177" xr:uid="{DC2DD1DA-968B-491A-876D-EDA92C6AEF2B}"/>
    <cellStyle name="Normal 2 4 3 6 2" xfId="2898" xr:uid="{1F0B8F33-C921-414A-BE44-A150186EAA19}"/>
    <cellStyle name="Normal 2 4 3 7" xfId="1395" xr:uid="{5D10CA99-470C-46EB-9E9A-AA6D16479D39}"/>
    <cellStyle name="Normal 2 4 3 7 2" xfId="3116" xr:uid="{2A63A9C2-D68D-4735-9371-30C508F0164A}"/>
    <cellStyle name="Normal 2 4 3 8" xfId="1614" xr:uid="{694788D6-4687-4B01-9F42-306FF1AD7986}"/>
    <cellStyle name="Normal 2 4 3 8 2" xfId="3335" xr:uid="{7E0BA798-ED72-4439-A7E7-15E0F785AA2A}"/>
    <cellStyle name="Normal 2 4 3 9" xfId="1834" xr:uid="{2B457D05-489D-47EF-A058-A673E1AA9EF0}"/>
    <cellStyle name="Normal 2 4 4" xfId="94" xr:uid="{E9C591C1-697A-46F3-9DC2-30378D0B8BB5}"/>
    <cellStyle name="Normal 2 4 4 2" xfId="340" xr:uid="{635373E5-FC54-4433-9CAB-5C35AFD57396}"/>
    <cellStyle name="Normal 2 4 4 2 2" xfId="2039" xr:uid="{F4D782D3-523B-4E81-B00C-314EE1200363}"/>
    <cellStyle name="Normal 2 4 4 2 3" xfId="3640" xr:uid="{B8920096-01F9-44F7-9F2A-DB0887E950C0}"/>
    <cellStyle name="Normal 2 4 4 3" xfId="536" xr:uid="{AC190385-39ED-444B-8D05-7449E0D6A4C2}"/>
    <cellStyle name="Normal 2 4 4 3 2" xfId="2257" xr:uid="{9903F0C1-711E-4B0C-B01D-CDCBF0EFE9B0}"/>
    <cellStyle name="Normal 2 4 4 3 3" xfId="3614" xr:uid="{D585D419-5586-4A9B-BE70-5FBF9EDCF4AC}"/>
    <cellStyle name="Normal 2 4 4 4" xfId="754" xr:uid="{5F68A1BC-AECB-4B9E-9FC8-D9118F7D9731}"/>
    <cellStyle name="Normal 2 4 4 4 2" xfId="2475" xr:uid="{D87955AE-72DF-4573-BF3E-D9EFC1B07AC9}"/>
    <cellStyle name="Normal 2 4 4 5" xfId="972" xr:uid="{7AB05CE4-A21A-4753-8751-747CF4DDB39B}"/>
    <cellStyle name="Normal 2 4 4 5 2" xfId="2693" xr:uid="{6B04C4D6-3D06-4079-A067-37056A40C763}"/>
    <cellStyle name="Normal 2 4 4 6" xfId="1190" xr:uid="{0A7D3876-A3B0-43F2-A37E-5A1886888890}"/>
    <cellStyle name="Normal 2 4 4 6 2" xfId="2911" xr:uid="{E3CC5A00-2371-41B3-9CCB-DAE15D013EBA}"/>
    <cellStyle name="Normal 2 4 4 7" xfId="1408" xr:uid="{C890B44C-D4CD-48E7-8EFF-9149F86AEB09}"/>
    <cellStyle name="Normal 2 4 4 7 2" xfId="3129" xr:uid="{61742E87-A49D-49EE-8397-1E91C7DC1132}"/>
    <cellStyle name="Normal 2 4 4 8" xfId="1627" xr:uid="{5B8A18C5-96F3-4EDE-91EF-546872EC0D4F}"/>
    <cellStyle name="Normal 2 4 4 8 2" xfId="3348" xr:uid="{FAF3C6F5-D12F-4688-A393-DE132342EC6D}"/>
    <cellStyle name="Normal 2 4 4 9" xfId="1847" xr:uid="{D5FC6A0B-430D-4AED-A5AE-BCD7CDBDD756}"/>
    <cellStyle name="Normal 2 4 5" xfId="107" xr:uid="{66E3FECA-7C43-4BB4-A9C8-248BE58CC5B7}"/>
    <cellStyle name="Normal 2 4 5 2" xfId="353" xr:uid="{326D35B6-8E72-4E00-9714-B845992D60F7}"/>
    <cellStyle name="Normal 2 4 5 2 2" xfId="2052" xr:uid="{30156EFD-D5F5-45F4-A280-25CA452EF5F9}"/>
    <cellStyle name="Normal 2 4 5 3" xfId="549" xr:uid="{38BBC0EA-D6F4-4543-9239-0B3A250D7CC8}"/>
    <cellStyle name="Normal 2 4 5 3 2" xfId="2270" xr:uid="{FA52B0B2-65E3-4152-AB1E-5D02F325566A}"/>
    <cellStyle name="Normal 2 4 5 4" xfId="767" xr:uid="{0A37493A-A840-4ED2-A638-04EFB0C33743}"/>
    <cellStyle name="Normal 2 4 5 4 2" xfId="2488" xr:uid="{086EFFB4-40D8-49D4-B58D-6C4CEE95A838}"/>
    <cellStyle name="Normal 2 4 5 5" xfId="985" xr:uid="{16E85DB4-3F7E-4278-A363-8FC393391C41}"/>
    <cellStyle name="Normal 2 4 5 5 2" xfId="2706" xr:uid="{76DF0073-A43B-49B4-89E4-5D8E68D9E37C}"/>
    <cellStyle name="Normal 2 4 5 6" xfId="1203" xr:uid="{85B79DBC-9998-42C8-9310-9D9D732C2523}"/>
    <cellStyle name="Normal 2 4 5 6 2" xfId="2924" xr:uid="{B58D0D43-8265-43BD-B423-0C1EFDAD1DF7}"/>
    <cellStyle name="Normal 2 4 5 7" xfId="1421" xr:uid="{CE72FD46-A7EB-4117-818C-6475A195B330}"/>
    <cellStyle name="Normal 2 4 5 7 2" xfId="3142" xr:uid="{3CAD38E7-102B-4AE6-9EAE-2787B9A8C172}"/>
    <cellStyle name="Normal 2 4 5 8" xfId="1640" xr:uid="{FC90CE83-B085-4935-B4FB-1BA7CA78DB95}"/>
    <cellStyle name="Normal 2 4 5 8 2" xfId="3361" xr:uid="{9D0C41EA-EF44-4365-AAC3-98FA4892CEA3}"/>
    <cellStyle name="Normal 2 4 5 9" xfId="1860" xr:uid="{99AC88CF-C0A9-42F0-BFBB-4688FB794724}"/>
    <cellStyle name="Normal 2 4 6" xfId="120" xr:uid="{DB3B2265-04D3-4321-8922-5D3EA120E111}"/>
    <cellStyle name="Normal 2 4 6 2" xfId="366" xr:uid="{A19C7FE0-149A-4DA4-93CE-F0D167FCC5C9}"/>
    <cellStyle name="Normal 2 4 6 2 2" xfId="2065" xr:uid="{D05F556B-B6F3-4B2F-A889-2C425213BB16}"/>
    <cellStyle name="Normal 2 4 6 3" xfId="562" xr:uid="{FF2BD419-C15D-4E89-85F3-CBBDDAB55820}"/>
    <cellStyle name="Normal 2 4 6 3 2" xfId="2283" xr:uid="{A4B8B31B-B05B-4273-9EFB-520C86350F4D}"/>
    <cellStyle name="Normal 2 4 6 4" xfId="780" xr:uid="{74FF1EE9-D0D5-4ADE-AC5D-F4A2EDCD0DC4}"/>
    <cellStyle name="Normal 2 4 6 4 2" xfId="2501" xr:uid="{56ED9063-5E68-48BD-A10C-627D3FFD7725}"/>
    <cellStyle name="Normal 2 4 6 5" xfId="998" xr:uid="{D701E38D-E528-44A3-B8AB-320D56CB4505}"/>
    <cellStyle name="Normal 2 4 6 5 2" xfId="2719" xr:uid="{DC78D439-12E1-401A-A0E7-C0D57FD7C972}"/>
    <cellStyle name="Normal 2 4 6 6" xfId="1216" xr:uid="{E782DD78-5D1D-4ED6-810D-4F87CEC2CC99}"/>
    <cellStyle name="Normal 2 4 6 6 2" xfId="2937" xr:uid="{4E1BC445-9724-46CB-A69A-6DF88FF3A262}"/>
    <cellStyle name="Normal 2 4 6 7" xfId="1434" xr:uid="{9F4587FB-8E47-40AC-8D82-C4A04F79B5B1}"/>
    <cellStyle name="Normal 2 4 6 7 2" xfId="3155" xr:uid="{F6EAF9CB-F1DB-4053-9B5F-17CA39752237}"/>
    <cellStyle name="Normal 2 4 6 8" xfId="1653" xr:uid="{60A5EED1-AF5A-4BA1-AFA9-9401EEB6AAE5}"/>
    <cellStyle name="Normal 2 4 6 8 2" xfId="3374" xr:uid="{26286E3B-8572-418C-8E7B-2E035907AFB8}"/>
    <cellStyle name="Normal 2 4 6 9" xfId="1873" xr:uid="{6C04299A-6FAA-4C04-83FC-0B4AC65B7739}"/>
    <cellStyle name="Normal 2 4 7" xfId="133" xr:uid="{ED4E9AA1-37FE-4AB6-B1D0-0527094AAB92}"/>
    <cellStyle name="Normal 2 4 7 2" xfId="379" xr:uid="{3D67CFD8-8848-454C-919A-D8A33CF41B9B}"/>
    <cellStyle name="Normal 2 4 7 2 2" xfId="2078" xr:uid="{45F76419-6A44-447F-B038-99FC7E0C6098}"/>
    <cellStyle name="Normal 2 4 7 3" xfId="575" xr:uid="{C90F1954-C62F-47B8-8171-657F819603C6}"/>
    <cellStyle name="Normal 2 4 7 3 2" xfId="2296" xr:uid="{42E4D399-D797-4990-ADA7-6391C1A1B1C6}"/>
    <cellStyle name="Normal 2 4 7 4" xfId="793" xr:uid="{8477E8E5-9C67-4598-900B-3CB0AF6C9028}"/>
    <cellStyle name="Normal 2 4 7 4 2" xfId="2514" xr:uid="{6C6CF43F-F9BA-478E-9B6A-51BD3EFC9594}"/>
    <cellStyle name="Normal 2 4 7 5" xfId="1011" xr:uid="{1E5FC4ED-0998-4D40-B3BB-F1871791C04E}"/>
    <cellStyle name="Normal 2 4 7 5 2" xfId="2732" xr:uid="{27813FA9-8BC3-445C-988A-5E93F079652A}"/>
    <cellStyle name="Normal 2 4 7 6" xfId="1229" xr:uid="{FF267432-118B-43DC-A6F5-C64A0A0E8E53}"/>
    <cellStyle name="Normal 2 4 7 6 2" xfId="2950" xr:uid="{F47C8204-37EE-4660-A758-B958474F8112}"/>
    <cellStyle name="Normal 2 4 7 7" xfId="1447" xr:uid="{32DFB7EB-51B8-472D-8F33-6E01A6F54960}"/>
    <cellStyle name="Normal 2 4 7 7 2" xfId="3168" xr:uid="{94C1D21E-BB3E-4048-87E8-0A54469E6365}"/>
    <cellStyle name="Normal 2 4 7 8" xfId="1666" xr:uid="{349F9362-191D-4F6C-A13D-ED00A6A00BCD}"/>
    <cellStyle name="Normal 2 4 7 8 2" xfId="3387" xr:uid="{EFFE3D05-0F57-41F3-8DF7-43CE7AF07068}"/>
    <cellStyle name="Normal 2 4 7 9" xfId="1886" xr:uid="{26DC567F-C25B-492D-9BA8-735AAB77AEB5}"/>
    <cellStyle name="Normal 2 4 8" xfId="146" xr:uid="{59627666-D1BA-4D03-995A-8BDF56478682}"/>
    <cellStyle name="Normal 2 4 8 2" xfId="392" xr:uid="{4F4B405F-0E5F-4CD8-9B1D-425B24B09B11}"/>
    <cellStyle name="Normal 2 4 8 2 2" xfId="2091" xr:uid="{B8630084-7125-4A07-A99D-2879FAEB6BCD}"/>
    <cellStyle name="Normal 2 4 8 3" xfId="588" xr:uid="{27B079A6-9613-4F37-81C7-84DA74C2F0D1}"/>
    <cellStyle name="Normal 2 4 8 3 2" xfId="2309" xr:uid="{F17199BB-96CB-481A-89F9-C08327279100}"/>
    <cellStyle name="Normal 2 4 8 4" xfId="806" xr:uid="{520768AB-1D10-4DB6-9E3D-C527DE0E0CA1}"/>
    <cellStyle name="Normal 2 4 8 4 2" xfId="2527" xr:uid="{BC5E5F02-18C3-47C1-86ED-935376E3EDA3}"/>
    <cellStyle name="Normal 2 4 8 5" xfId="1024" xr:uid="{14614510-DBC9-494D-8659-54C08EE74393}"/>
    <cellStyle name="Normal 2 4 8 5 2" xfId="2745" xr:uid="{021C8965-BD4E-4C1F-87FF-D3D3CFE5F0B5}"/>
    <cellStyle name="Normal 2 4 8 6" xfId="1242" xr:uid="{2154F0E1-C638-42F5-A847-9266D33785E5}"/>
    <cellStyle name="Normal 2 4 8 6 2" xfId="2963" xr:uid="{225CB97F-8B22-4BA6-8AC5-ACD4F9D6B721}"/>
    <cellStyle name="Normal 2 4 8 7" xfId="1460" xr:uid="{DF5E7632-C2A5-4D1B-A934-15F2A4E717E2}"/>
    <cellStyle name="Normal 2 4 8 7 2" xfId="3181" xr:uid="{100E34F5-FA60-4815-802C-F659C2DDE936}"/>
    <cellStyle name="Normal 2 4 8 8" xfId="1679" xr:uid="{1E701D38-8DF2-4D1D-A1B6-8ABA526D62E9}"/>
    <cellStyle name="Normal 2 4 8 8 2" xfId="3400" xr:uid="{6B43B53E-A9BF-418F-9625-190E1BBF1EF9}"/>
    <cellStyle name="Normal 2 4 8 9" xfId="1899" xr:uid="{C1AB6224-2D2E-418E-947B-BA449DE81E4D}"/>
    <cellStyle name="Normal 2 4 9" xfId="159" xr:uid="{DABD7CAF-D6A2-4CCC-BBE9-813CCBB1C485}"/>
    <cellStyle name="Normal 2 4 9 2" xfId="405" xr:uid="{7C1AC620-F18F-4906-9C2E-35EF680F91F7}"/>
    <cellStyle name="Normal 2 4 9 2 2" xfId="2104" xr:uid="{C8D96611-F687-40B1-9D04-76EDF2AFD420}"/>
    <cellStyle name="Normal 2 4 9 3" xfId="601" xr:uid="{CF21AA03-B012-4D6B-8117-61E4F4034D97}"/>
    <cellStyle name="Normal 2 4 9 3 2" xfId="2322" xr:uid="{A95FCE9C-C602-4739-8DBC-7791BBAE60DF}"/>
    <cellStyle name="Normal 2 4 9 4" xfId="819" xr:uid="{7FA07F81-5935-4C09-AA2E-C6E19580EB1E}"/>
    <cellStyle name="Normal 2 4 9 4 2" xfId="2540" xr:uid="{16864478-F901-49FC-AB37-68EB5D2F2C91}"/>
    <cellStyle name="Normal 2 4 9 5" xfId="1037" xr:uid="{2A574440-BABF-4806-ACD5-A13DAA20059A}"/>
    <cellStyle name="Normal 2 4 9 5 2" xfId="2758" xr:uid="{CC365048-1401-42EE-B3D9-283547117568}"/>
    <cellStyle name="Normal 2 4 9 6" xfId="1255" xr:uid="{A0028605-D10E-448A-BA8B-F71C09BB036F}"/>
    <cellStyle name="Normal 2 4 9 6 2" xfId="2976" xr:uid="{EC1DCC72-334A-4E65-BF36-8ADC5444A52A}"/>
    <cellStyle name="Normal 2 4 9 7" xfId="1473" xr:uid="{45CB8A17-1EFD-4414-9580-EC7BD591047C}"/>
    <cellStyle name="Normal 2 4 9 7 2" xfId="3194" xr:uid="{75FD15F7-63E2-42FA-89A7-B5C0A27A668A}"/>
    <cellStyle name="Normal 2 4 9 8" xfId="1692" xr:uid="{49A86B9A-9045-475F-8DD5-B601AA703B7D}"/>
    <cellStyle name="Normal 2 4 9 8 2" xfId="3413" xr:uid="{BADDB254-BC5C-47C3-93AD-D2929FD0E6C8}"/>
    <cellStyle name="Normal 2 4 9 9" xfId="1912" xr:uid="{ED0C32AF-BA65-4BB1-9567-EB4743FDEDE1}"/>
    <cellStyle name="Normal 2 5" xfId="62" xr:uid="{0116EAB0-59B9-4D50-B79A-D79653AA40D9}"/>
    <cellStyle name="Normal 2 5 2" xfId="308" xr:uid="{58FC9D5A-71B1-478B-B16D-9256A6BB5B67}"/>
    <cellStyle name="Normal 2 5 2 2" xfId="2007" xr:uid="{A07A3840-0A54-4F0E-AEF2-37AFEA4F4ECB}"/>
    <cellStyle name="Normal 2 5 2 3" xfId="3622" xr:uid="{BA6C0BDB-13F1-44E5-A716-4EBF2F97A934}"/>
    <cellStyle name="Normal 2 5 3" xfId="504" xr:uid="{0AE06CC4-E018-41C6-82D2-161B50300FDA}"/>
    <cellStyle name="Normal 2 5 3 2" xfId="2225" xr:uid="{325B2C9E-7EE0-453E-9373-8EC89EDB100D}"/>
    <cellStyle name="Normal 2 5 3 3" xfId="3596" xr:uid="{3D171981-05CF-413C-9304-B8FB75514F52}"/>
    <cellStyle name="Normal 2 5 4" xfId="722" xr:uid="{77942FD1-78F1-4A2A-9E84-C75D1FE1BF0D}"/>
    <cellStyle name="Normal 2 5 4 2" xfId="2443" xr:uid="{D727201A-2BBC-4D85-9701-F96155F89965}"/>
    <cellStyle name="Normal 2 5 5" xfId="940" xr:uid="{9588CCF9-4F72-4AFF-AF57-ADA0F8CFB4D7}"/>
    <cellStyle name="Normal 2 5 5 2" xfId="2661" xr:uid="{A3EB0AD3-6DF5-4C66-A801-06767381916F}"/>
    <cellStyle name="Normal 2 5 6" xfId="1158" xr:uid="{9A5559AF-CA30-4BB0-A05B-0FAE2E7A5252}"/>
    <cellStyle name="Normal 2 5 6 2" xfId="2879" xr:uid="{1FBAF077-6BFD-44E7-91ED-F89BB09E5E56}"/>
    <cellStyle name="Normal 2 5 7" xfId="1376" xr:uid="{2B988864-EE9E-4EFA-9F99-615D57FAA4C6}"/>
    <cellStyle name="Normal 2 5 7 2" xfId="3097" xr:uid="{719EED01-B490-4C9A-847D-331CFF6AB9FA}"/>
    <cellStyle name="Normal 2 5 8" xfId="1595" xr:uid="{4C91C42F-A52E-4A55-9541-51EFFBC18963}"/>
    <cellStyle name="Normal 2 5 8 2" xfId="3316" xr:uid="{90193F68-B37D-4411-AE92-968F3D8B72AF}"/>
    <cellStyle name="Normal 2 5 9" xfId="1815" xr:uid="{9285698F-AEC4-4F5C-8017-EBE7A804320E}"/>
    <cellStyle name="Normal 2 6" xfId="75" xr:uid="{57F77F04-4E12-4ADE-A478-78973F9F0F28}"/>
    <cellStyle name="Normal 2 6 2" xfId="321" xr:uid="{15F6D84F-83C5-4488-BEE9-FC417FE961EF}"/>
    <cellStyle name="Normal 2 6 2 2" xfId="2020" xr:uid="{D6551E24-F203-465B-B626-583B082BE9E3}"/>
    <cellStyle name="Normal 2 6 2 3" xfId="3630" xr:uid="{D8FA378C-01A3-4CAB-9864-6327F34575B6}"/>
    <cellStyle name="Normal 2 6 3" xfId="517" xr:uid="{39E681A7-3B7B-44E9-AC8C-1177D30F7E70}"/>
    <cellStyle name="Normal 2 6 3 2" xfId="2238" xr:uid="{DC40CF3C-0299-4ADE-A76D-36F9A107F155}"/>
    <cellStyle name="Normal 2 6 3 3" xfId="3604" xr:uid="{3B1559F2-F205-4E9A-9E4B-400758D3BF6D}"/>
    <cellStyle name="Normal 2 6 4" xfId="735" xr:uid="{171E3579-97CB-4276-9FB9-F8743286418B}"/>
    <cellStyle name="Normal 2 6 4 2" xfId="2456" xr:uid="{DE6FEF93-D1C2-4F64-A7E8-161B44806B2C}"/>
    <cellStyle name="Normal 2 6 5" xfId="953" xr:uid="{B207092D-9CB2-4F31-ACC1-B3C3CF8DDB18}"/>
    <cellStyle name="Normal 2 6 5 2" xfId="2674" xr:uid="{7D05D93C-0439-48CF-BDCD-E66123E3B804}"/>
    <cellStyle name="Normal 2 6 6" xfId="1171" xr:uid="{AFF35F3D-8E40-43A7-A288-4E8F6BD7D15C}"/>
    <cellStyle name="Normal 2 6 6 2" xfId="2892" xr:uid="{819C1B1A-D9AC-4C60-A916-AF3BADD1E16C}"/>
    <cellStyle name="Normal 2 6 7" xfId="1389" xr:uid="{E7584213-AD56-49CB-96C6-93727E725F0E}"/>
    <cellStyle name="Normal 2 6 7 2" xfId="3110" xr:uid="{598C8AE9-1242-40A4-8D37-55C20C4FD1EE}"/>
    <cellStyle name="Normal 2 6 8" xfId="1608" xr:uid="{2E5000E3-8938-4275-BB3E-0DE6864AD292}"/>
    <cellStyle name="Normal 2 6 8 2" xfId="3329" xr:uid="{12CC93D6-3EF9-4790-AA23-DB67941565A5}"/>
    <cellStyle name="Normal 2 6 9" xfId="1828" xr:uid="{A2DDD133-0951-4916-8C8E-FCB6791A44D0}"/>
    <cellStyle name="Normal 2 7" xfId="88" xr:uid="{F7150606-C2F6-48CC-9206-9A9C70BF8494}"/>
    <cellStyle name="Normal 2 7 2" xfId="334" xr:uid="{4A921BE6-708A-47CD-9607-1B5E28801A8A}"/>
    <cellStyle name="Normal 2 7 2 2" xfId="2033" xr:uid="{5CA2A004-B14E-4546-BE79-1F562C191A92}"/>
    <cellStyle name="Normal 2 7 2 3" xfId="3638" xr:uid="{5E95AEEA-7C41-4F92-839D-56762CB6E005}"/>
    <cellStyle name="Normal 2 7 3" xfId="530" xr:uid="{F95DF001-2A6E-4AF7-A951-A0EC27DBBE97}"/>
    <cellStyle name="Normal 2 7 3 2" xfId="2251" xr:uid="{3326CD95-1B9D-44DF-836E-F89097F94774}"/>
    <cellStyle name="Normal 2 7 3 3" xfId="3612" xr:uid="{2C6254D5-4D00-4316-A87B-8828D527973A}"/>
    <cellStyle name="Normal 2 7 4" xfId="748" xr:uid="{36CE051D-8319-4376-887C-1F9B4434F10F}"/>
    <cellStyle name="Normal 2 7 4 2" xfId="2469" xr:uid="{7653F1EF-CCA2-44F3-944A-BFDE7C49D095}"/>
    <cellStyle name="Normal 2 7 5" xfId="966" xr:uid="{0F5F5F81-7534-4CB8-A757-12EB3E5F6FB2}"/>
    <cellStyle name="Normal 2 7 5 2" xfId="2687" xr:uid="{15CC8639-FD36-45C5-9FD8-AB4F9C7AA13A}"/>
    <cellStyle name="Normal 2 7 6" xfId="1184" xr:uid="{EA022A45-4EEF-43C3-A306-5EA848A0E3E4}"/>
    <cellStyle name="Normal 2 7 6 2" xfId="2905" xr:uid="{01161D60-0C63-4FC8-A9D6-A8AD4822631B}"/>
    <cellStyle name="Normal 2 7 7" xfId="1402" xr:uid="{12F7A313-8EA4-45EF-8612-2A2532B2D8D7}"/>
    <cellStyle name="Normal 2 7 7 2" xfId="3123" xr:uid="{4C3F3458-8DC0-48E9-BCE8-E9CB12526A90}"/>
    <cellStyle name="Normal 2 7 8" xfId="1621" xr:uid="{A2488E75-6C66-48CA-8C15-D7BF53827A60}"/>
    <cellStyle name="Normal 2 7 8 2" xfId="3342" xr:uid="{36BE8AAD-A726-497A-B17C-6F1D7692FC14}"/>
    <cellStyle name="Normal 2 7 9" xfId="1841" xr:uid="{5A2DCCC6-69DC-4D62-8334-C3DBAF942460}"/>
    <cellStyle name="Normal 2 8" xfId="101" xr:uid="{418400B5-23E9-4A8C-8379-F970B7D23431}"/>
    <cellStyle name="Normal 2 8 2" xfId="347" xr:uid="{7320AF09-E158-4974-8B0C-D3DAD12C9BC9}"/>
    <cellStyle name="Normal 2 8 2 2" xfId="2046" xr:uid="{FD615778-E01F-4961-B4E9-B89152CAD5B1}"/>
    <cellStyle name="Normal 2 8 3" xfId="543" xr:uid="{BF88AA37-65B8-44D2-BDD1-A7C86FD311C9}"/>
    <cellStyle name="Normal 2 8 3 2" xfId="2264" xr:uid="{B7B7BA89-B5EF-4080-86CA-C2B9AB9B908D}"/>
    <cellStyle name="Normal 2 8 4" xfId="761" xr:uid="{C58D36C9-B5C7-433B-B29B-9BEF810A9AB1}"/>
    <cellStyle name="Normal 2 8 4 2" xfId="2482" xr:uid="{F43EF515-A5E1-4D7C-B080-67F2CD0D11BA}"/>
    <cellStyle name="Normal 2 8 5" xfId="979" xr:uid="{DD90FF83-C324-4CE0-A6F5-D598B9874B71}"/>
    <cellStyle name="Normal 2 8 5 2" xfId="2700" xr:uid="{E4ECE50F-7A57-4D02-8551-DEC00D2BA8A0}"/>
    <cellStyle name="Normal 2 8 6" xfId="1197" xr:uid="{4517D36C-D9D6-4016-BC54-B2743B0D8545}"/>
    <cellStyle name="Normal 2 8 6 2" xfId="2918" xr:uid="{81048E7C-6C43-450C-9820-313110759A05}"/>
    <cellStyle name="Normal 2 8 7" xfId="1415" xr:uid="{E2AA8528-921C-4C44-AE27-B2E2AAE63939}"/>
    <cellStyle name="Normal 2 8 7 2" xfId="3136" xr:uid="{0A0BE192-3236-4355-9C6F-C1529224D172}"/>
    <cellStyle name="Normal 2 8 8" xfId="1634" xr:uid="{65638D87-7355-4463-A1BB-CFAFACD2DC82}"/>
    <cellStyle name="Normal 2 8 8 2" xfId="3355" xr:uid="{BC4B1CD1-F9A1-41CB-B5F8-7D582D01146A}"/>
    <cellStyle name="Normal 2 8 9" xfId="1854" xr:uid="{8F7D85DA-11B6-4896-BBA0-B88870D4FA2A}"/>
    <cellStyle name="Normal 2 9" xfId="114" xr:uid="{0978F491-3DB9-4364-A75A-621012849533}"/>
    <cellStyle name="Normal 2 9 2" xfId="360" xr:uid="{0C6658E8-505F-4C1A-95D8-C617B91D2E43}"/>
    <cellStyle name="Normal 2 9 2 2" xfId="2059" xr:uid="{D504F919-38AD-482E-81B8-3D88ECCCC184}"/>
    <cellStyle name="Normal 2 9 3" xfId="556" xr:uid="{5A77943F-D41A-4BA3-82B2-5CA6BF77CD3D}"/>
    <cellStyle name="Normal 2 9 3 2" xfId="2277" xr:uid="{E8A0F27E-D577-48F0-86BC-3D0D57950D3C}"/>
    <cellStyle name="Normal 2 9 4" xfId="774" xr:uid="{21FC6428-0399-4795-BA28-8C9C5546F4D8}"/>
    <cellStyle name="Normal 2 9 4 2" xfId="2495" xr:uid="{69240DB5-5296-4024-9485-FEB4A1F4F5B7}"/>
    <cellStyle name="Normal 2 9 5" xfId="992" xr:uid="{5820BAF1-8F3A-40F9-A7F0-F8414D32B9E5}"/>
    <cellStyle name="Normal 2 9 5 2" xfId="2713" xr:uid="{A78650EC-E457-49A0-A9E7-2C8B7927326E}"/>
    <cellStyle name="Normal 2 9 6" xfId="1210" xr:uid="{AD9B4E47-DE99-401A-B283-10CA964A879C}"/>
    <cellStyle name="Normal 2 9 6 2" xfId="2931" xr:uid="{0A034E83-01AB-47D3-993E-5CAD7747DAC0}"/>
    <cellStyle name="Normal 2 9 7" xfId="1428" xr:uid="{1F94A1FE-B46F-4182-BA1C-FB8C62781238}"/>
    <cellStyle name="Normal 2 9 7 2" xfId="3149" xr:uid="{897B4552-B29B-45CA-AA28-AC577B28E4C4}"/>
    <cellStyle name="Normal 2 9 8" xfId="1647" xr:uid="{2FA3DBE7-DE8E-483C-8BB3-B08777E1E59F}"/>
    <cellStyle name="Normal 2 9 8 2" xfId="3368" xr:uid="{417782CE-D0FB-4326-ABDC-DA8BB916C4DF}"/>
    <cellStyle name="Normal 2 9 9" xfId="1867" xr:uid="{6AD8FCD8-BFF2-4439-BFB1-719744A208C7}"/>
    <cellStyle name="Normal 3" xfId="43" xr:uid="{8567EE0A-39AD-427F-B0BE-33812884AED8}"/>
    <cellStyle name="Normal 3 10" xfId="141" xr:uid="{5CBD5E9D-32BF-47C9-8174-7CE0E2D713B7}"/>
    <cellStyle name="Normal 3 10 2" xfId="387" xr:uid="{2B3D265A-D7B2-4F74-A73B-7BC0F50BA36E}"/>
    <cellStyle name="Normal 3 10 2 2" xfId="2086" xr:uid="{6B406DCB-EE00-4E1B-9643-7D78A9733F26}"/>
    <cellStyle name="Normal 3 10 3" xfId="583" xr:uid="{2C2498BD-B097-41F2-BFC1-F31BD0910E19}"/>
    <cellStyle name="Normal 3 10 3 2" xfId="2304" xr:uid="{23204EA9-4452-4C84-99FF-3D883295DD9C}"/>
    <cellStyle name="Normal 3 10 4" xfId="801" xr:uid="{11589DC1-9867-48F8-A816-79C2D3CABAD1}"/>
    <cellStyle name="Normal 3 10 4 2" xfId="2522" xr:uid="{B594CC40-507A-4776-8C17-37B293430243}"/>
    <cellStyle name="Normal 3 10 5" xfId="1019" xr:uid="{96D6A800-6DAF-4052-A977-5D24029B05D9}"/>
    <cellStyle name="Normal 3 10 5 2" xfId="2740" xr:uid="{8536B64B-BD6D-4C1B-A39F-5ECDC4CAC9AC}"/>
    <cellStyle name="Normal 3 10 6" xfId="1237" xr:uid="{FBB2DFB6-9033-4528-AF7F-FCE0CCB612A8}"/>
    <cellStyle name="Normal 3 10 6 2" xfId="2958" xr:uid="{C770C0AC-D644-4820-8D82-E69B86E56709}"/>
    <cellStyle name="Normal 3 10 7" xfId="1455" xr:uid="{6705F602-5051-4AEF-B312-D86DA3899F3D}"/>
    <cellStyle name="Normal 3 10 7 2" xfId="3176" xr:uid="{3A421AB3-CC19-4F2C-94ED-B00E056D4A78}"/>
    <cellStyle name="Normal 3 10 8" xfId="1674" xr:uid="{D7E09AD4-1D1B-4DC4-B5C5-ECF379EB124D}"/>
    <cellStyle name="Normal 3 10 8 2" xfId="3395" xr:uid="{72EC5178-E2C3-417A-B652-0329CC3E8E0B}"/>
    <cellStyle name="Normal 3 10 9" xfId="1894" xr:uid="{F7FE3BFF-7F1D-4FB2-A0AF-B3CFB56D254C}"/>
    <cellStyle name="Normal 3 11" xfId="154" xr:uid="{DFC5555A-5800-46E7-BF29-344EC7EA369A}"/>
    <cellStyle name="Normal 3 11 2" xfId="400" xr:uid="{F2A135C4-03D9-42AC-8C97-7EECB81DE332}"/>
    <cellStyle name="Normal 3 11 2 2" xfId="2099" xr:uid="{0405B91A-1673-4FBE-ADF9-9D2C97E05C36}"/>
    <cellStyle name="Normal 3 11 3" xfId="596" xr:uid="{7380A11C-241F-4D64-A332-C3A58A2A49AF}"/>
    <cellStyle name="Normal 3 11 3 2" xfId="2317" xr:uid="{DBB31E29-A377-4823-90A8-21E85EC2E2E6}"/>
    <cellStyle name="Normal 3 11 4" xfId="814" xr:uid="{B59C5702-CD3B-47C8-823D-73BD4040E639}"/>
    <cellStyle name="Normal 3 11 4 2" xfId="2535" xr:uid="{A6868DAC-F355-44A9-88CC-D906F84D80B2}"/>
    <cellStyle name="Normal 3 11 5" xfId="1032" xr:uid="{FB7B2549-1BE0-4030-9F14-6AE65DEB8166}"/>
    <cellStyle name="Normal 3 11 5 2" xfId="2753" xr:uid="{36B45468-87F9-4C95-AF3B-7F8ADAC64F74}"/>
    <cellStyle name="Normal 3 11 6" xfId="1250" xr:uid="{00F45DCA-E306-4ACB-B328-21F7882F0B20}"/>
    <cellStyle name="Normal 3 11 6 2" xfId="2971" xr:uid="{156F08B6-6386-4850-B3D2-C0B05FC2E025}"/>
    <cellStyle name="Normal 3 11 7" xfId="1468" xr:uid="{9491DC20-0697-4665-8C9D-1985B1D2C330}"/>
    <cellStyle name="Normal 3 11 7 2" xfId="3189" xr:uid="{FF5379DB-FFF7-40C7-8B03-86DC9BCC5C07}"/>
    <cellStyle name="Normal 3 11 8" xfId="1687" xr:uid="{4A3425B7-F644-4487-8A90-1BAD4F9BA072}"/>
    <cellStyle name="Normal 3 11 8 2" xfId="3408" xr:uid="{AF123144-AFBE-4634-925A-24ED2BC46285}"/>
    <cellStyle name="Normal 3 11 9" xfId="1907" xr:uid="{824081C0-6592-46EE-B1F3-E48523C7DE2E}"/>
    <cellStyle name="Normal 3 12" xfId="167" xr:uid="{12FB08A0-5183-4142-91CC-68CB068FA7FD}"/>
    <cellStyle name="Normal 3 12 2" xfId="413" xr:uid="{FD07E84F-ABF3-4F54-B06D-B67B7AFA1879}"/>
    <cellStyle name="Normal 3 12 2 2" xfId="2112" xr:uid="{E9E3CC18-57DD-4E97-98C7-B3D32894A06E}"/>
    <cellStyle name="Normal 3 12 3" xfId="609" xr:uid="{3454F92B-FDBB-47F8-A385-3B3F1A681E03}"/>
    <cellStyle name="Normal 3 12 3 2" xfId="2330" xr:uid="{D4F34223-E095-46A5-8FEC-75D2DB244233}"/>
    <cellStyle name="Normal 3 12 4" xfId="827" xr:uid="{1425FC3B-F74A-4B07-8DF6-A048215BF2AB}"/>
    <cellStyle name="Normal 3 12 4 2" xfId="2548" xr:uid="{96A36BC1-E8D8-4CE8-8866-20C8F98B277E}"/>
    <cellStyle name="Normal 3 12 5" xfId="1045" xr:uid="{59AACBC7-2B7E-4AE8-A8C6-E3E73277A623}"/>
    <cellStyle name="Normal 3 12 5 2" xfId="2766" xr:uid="{EB551394-C484-4C86-9641-CC5946B03F05}"/>
    <cellStyle name="Normal 3 12 6" xfId="1263" xr:uid="{16C1FA02-935A-4E42-B2D2-84CA9FA107F4}"/>
    <cellStyle name="Normal 3 12 6 2" xfId="2984" xr:uid="{069E4A76-6D37-431E-AC48-655B73684337}"/>
    <cellStyle name="Normal 3 12 7" xfId="1481" xr:uid="{377BB599-0031-4954-9C99-13D1A0B8E3CE}"/>
    <cellStyle name="Normal 3 12 7 2" xfId="3202" xr:uid="{26B7E4B0-6599-4006-988A-09C31288474F}"/>
    <cellStyle name="Normal 3 12 8" xfId="1700" xr:uid="{02E251E5-94E2-4A79-8528-9F31303CBC3F}"/>
    <cellStyle name="Normal 3 12 8 2" xfId="3421" xr:uid="{EE8D0FA7-A44C-42EA-9052-7E7F2F56C121}"/>
    <cellStyle name="Normal 3 12 9" xfId="1920" xr:uid="{215EDA5D-1F65-414F-9230-E667CAA0A89D}"/>
    <cellStyle name="Normal 3 13" xfId="180" xr:uid="{BF4AD927-2D2F-48DA-8FDC-A7635F525CE8}"/>
    <cellStyle name="Normal 3 13 2" xfId="426" xr:uid="{F6B886EE-82EC-41FB-A2F7-226D9EA1A242}"/>
    <cellStyle name="Normal 3 13 2 2" xfId="2125" xr:uid="{2DE04A78-A5B1-4BF4-A723-E8B5B9648A3D}"/>
    <cellStyle name="Normal 3 13 3" xfId="622" xr:uid="{BD921E12-CAAB-4B5C-822A-ED51AB455C99}"/>
    <cellStyle name="Normal 3 13 3 2" xfId="2343" xr:uid="{A2ADE63C-1610-4CE1-83BE-E6D3BD3150B8}"/>
    <cellStyle name="Normal 3 13 4" xfId="840" xr:uid="{F4DE9614-4557-4F93-9D48-11EA1A39C37D}"/>
    <cellStyle name="Normal 3 13 4 2" xfId="2561" xr:uid="{731EE35F-FAC8-4089-88CD-07B57522982D}"/>
    <cellStyle name="Normal 3 13 5" xfId="1058" xr:uid="{6ECF9359-BA13-436B-B9C6-EC7789CD84D5}"/>
    <cellStyle name="Normal 3 13 5 2" xfId="2779" xr:uid="{22986B5C-D8F4-4B6F-95DA-1A750AB6EFE4}"/>
    <cellStyle name="Normal 3 13 6" xfId="1276" xr:uid="{45B25E53-B7A8-4D6F-9960-EF97800A3774}"/>
    <cellStyle name="Normal 3 13 6 2" xfId="2997" xr:uid="{E343E882-230C-4947-BA53-AF95C1D1F0B1}"/>
    <cellStyle name="Normal 3 13 7" xfId="1494" xr:uid="{084EA65B-23EB-488C-B905-D3713AEBF7AD}"/>
    <cellStyle name="Normal 3 13 7 2" xfId="3215" xr:uid="{93249F82-237B-4AB6-A319-70DE8956BA68}"/>
    <cellStyle name="Normal 3 13 8" xfId="1713" xr:uid="{E7BACA9D-DCA2-4732-B159-ABE0ABA4B9D7}"/>
    <cellStyle name="Normal 3 13 8 2" xfId="3434" xr:uid="{C2ACBA07-FD26-45A4-8DF5-29839B525C9A}"/>
    <cellStyle name="Normal 3 13 9" xfId="1933" xr:uid="{15BD5AD2-3FF6-4FAB-8867-B89F8B2F1D60}"/>
    <cellStyle name="Normal 3 14" xfId="193" xr:uid="{1359E7C8-64D3-4231-A2D4-2E5EFD03744F}"/>
    <cellStyle name="Normal 3 14 2" xfId="439" xr:uid="{5318574F-FEF1-41B7-AD63-61100A96352D}"/>
    <cellStyle name="Normal 3 14 2 2" xfId="2138" xr:uid="{D5EFE4DA-AEAD-4B9C-B075-45B6EE2E7AEF}"/>
    <cellStyle name="Normal 3 14 3" xfId="635" xr:uid="{97CD6636-9064-49D9-9FC6-3BEC3EBDBF81}"/>
    <cellStyle name="Normal 3 14 3 2" xfId="2356" xr:uid="{3066D105-71D1-4D36-BE84-2649DC9AF428}"/>
    <cellStyle name="Normal 3 14 4" xfId="853" xr:uid="{6DCA4536-CEEA-4D7B-A7B6-2C2FF96F227F}"/>
    <cellStyle name="Normal 3 14 4 2" xfId="2574" xr:uid="{4E99229B-B51F-4CD1-AEA1-7821E2E3B802}"/>
    <cellStyle name="Normal 3 14 5" xfId="1071" xr:uid="{72E8B7FE-5C65-42EF-B453-9A67FC085A36}"/>
    <cellStyle name="Normal 3 14 5 2" xfId="2792" xr:uid="{4DD6A54F-A13D-441A-9F27-381A0D1595AE}"/>
    <cellStyle name="Normal 3 14 6" xfId="1289" xr:uid="{6737DCC4-4D8E-48D7-A8EE-DEC3518DFD1C}"/>
    <cellStyle name="Normal 3 14 6 2" xfId="3010" xr:uid="{EC24035F-2540-4029-BE0D-28AD85EE56F0}"/>
    <cellStyle name="Normal 3 14 7" xfId="1507" xr:uid="{2B4341E6-D082-4105-9D30-F9B70651236A}"/>
    <cellStyle name="Normal 3 14 7 2" xfId="3228" xr:uid="{FBDB7425-78FE-4A94-9234-44F9A6452290}"/>
    <cellStyle name="Normal 3 14 8" xfId="1726" xr:uid="{B3DAA89E-A74B-4E02-96EF-6850BD8FE367}"/>
    <cellStyle name="Normal 3 14 8 2" xfId="3447" xr:uid="{CF3115DE-4419-4BBF-8689-54E2EAB6F47B}"/>
    <cellStyle name="Normal 3 14 9" xfId="1946" xr:uid="{CF05A14A-C946-43FE-8024-ADA9C636F08F}"/>
    <cellStyle name="Normal 3 15" xfId="206" xr:uid="{8654CBBE-FA9A-42AD-AB53-BFC7C7D69AA7}"/>
    <cellStyle name="Normal 3 16" xfId="218" xr:uid="{808CD780-CD25-4A9F-8D4D-256698F0060F}"/>
    <cellStyle name="Normal 3 16 2" xfId="462" xr:uid="{43958D37-DDC3-4BAB-8B7C-76E856E54B40}"/>
    <cellStyle name="Normal 3 16 2 2" xfId="2161" xr:uid="{42B53C1F-E2EF-4091-BF7E-C46187DA24CC}"/>
    <cellStyle name="Normal 3 16 3" xfId="658" xr:uid="{E318AF34-E43B-4984-B43E-E564781D18A4}"/>
    <cellStyle name="Normal 3 16 3 2" xfId="2379" xr:uid="{89B6DC0F-69C8-4F02-BE18-679BFB544F4A}"/>
    <cellStyle name="Normal 3 16 4" xfId="876" xr:uid="{79BEA874-973A-42C5-B3C6-AB3934CC11FA}"/>
    <cellStyle name="Normal 3 16 4 2" xfId="2597" xr:uid="{659490B3-53DD-4079-8702-65A6415BAC77}"/>
    <cellStyle name="Normal 3 16 5" xfId="1094" xr:uid="{27E91F84-803C-4A30-8BEC-9073ACE5417D}"/>
    <cellStyle name="Normal 3 16 5 2" xfId="2815" xr:uid="{8752917A-E5E7-48B8-9F88-46D843528894}"/>
    <cellStyle name="Normal 3 16 6" xfId="1312" xr:uid="{835A457D-7F5E-44D2-8201-5CBE260459CF}"/>
    <cellStyle name="Normal 3 16 6 2" xfId="3033" xr:uid="{346AC2E4-2DFF-4742-B401-5D14B80CF943}"/>
    <cellStyle name="Normal 3 16 7" xfId="1530" xr:uid="{5933DFCF-22CD-4B63-A8D4-ED62C5055932}"/>
    <cellStyle name="Normal 3 16 7 2" xfId="3251" xr:uid="{767A5999-E774-4F68-8D94-7B50874771D3}"/>
    <cellStyle name="Normal 3 16 8" xfId="1749" xr:uid="{7D1C5A25-300E-41C6-8352-DCB8046A9EBB}"/>
    <cellStyle name="Normal 3 16 8 2" xfId="3470" xr:uid="{6A4D95FA-FF06-4E88-B0EB-37BFE4BA1E1B}"/>
    <cellStyle name="Normal 3 16 9" xfId="1969" xr:uid="{CE468AE8-8D91-4C9A-B403-B400B875C531}"/>
    <cellStyle name="Normal 3 17" xfId="231" xr:uid="{28D21655-6A7F-436A-83CC-8A92E91459A2}"/>
    <cellStyle name="Normal 3 17 2" xfId="475" xr:uid="{3810F3E7-3F43-49B9-AE2A-0C217A09F4F8}"/>
    <cellStyle name="Normal 3 17 2 2" xfId="2174" xr:uid="{7B53B690-F27D-48EC-B007-856CAD3015A2}"/>
    <cellStyle name="Normal 3 17 3" xfId="671" xr:uid="{625A1087-9F74-4AF0-8604-60F287B9782F}"/>
    <cellStyle name="Normal 3 17 3 2" xfId="2392" xr:uid="{27ABFB60-AAAC-45F8-8414-6082A43D9C99}"/>
    <cellStyle name="Normal 3 17 4" xfId="889" xr:uid="{23809BD5-E52C-4E9F-B56B-FB5C93DCD198}"/>
    <cellStyle name="Normal 3 17 4 2" xfId="2610" xr:uid="{3443A6C2-0369-4997-AB8C-4F023AA101A0}"/>
    <cellStyle name="Normal 3 17 5" xfId="1107" xr:uid="{45C29A29-B711-4977-8254-E4A254CD557E}"/>
    <cellStyle name="Normal 3 17 5 2" xfId="2828" xr:uid="{86E8BA75-A749-4920-9C04-2ED33C174EF6}"/>
    <cellStyle name="Normal 3 17 6" xfId="1325" xr:uid="{A07727E0-461E-44B5-815C-F5293FE35D91}"/>
    <cellStyle name="Normal 3 17 6 2" xfId="3046" xr:uid="{B1DDF3F5-CC3A-4F03-82D1-D1A69032C2B3}"/>
    <cellStyle name="Normal 3 17 7" xfId="1543" xr:uid="{0BA51025-9016-45C9-89D1-ABC6C42A9BCF}"/>
    <cellStyle name="Normal 3 17 7 2" xfId="3264" xr:uid="{2EEE4D81-2BEE-4BC9-ACAD-2392BDE0D867}"/>
    <cellStyle name="Normal 3 17 8" xfId="1762" xr:uid="{73338FA7-9783-477C-93C5-FD11731255B7}"/>
    <cellStyle name="Normal 3 17 8 2" xfId="3483" xr:uid="{9CFF5666-B698-45C6-9349-A7290690FB3D}"/>
    <cellStyle name="Normal 3 17 9" xfId="1982" xr:uid="{EF360E16-97A5-4824-9488-11AD8086B47A}"/>
    <cellStyle name="Normal 3 18" xfId="244" xr:uid="{5615942B-02C7-4C38-B424-94B76632CBAF}"/>
    <cellStyle name="Normal 3 18 2" xfId="684" xr:uid="{B18858C8-9AD3-4859-8FD0-695183010F61}"/>
    <cellStyle name="Normal 3 18 2 2" xfId="2405" xr:uid="{9714A3C7-C3E0-4A44-9E20-03E12F9558B4}"/>
    <cellStyle name="Normal 3 18 3" xfId="902" xr:uid="{5B493926-37E2-452F-81CA-193C11752683}"/>
    <cellStyle name="Normal 3 18 3 2" xfId="2623" xr:uid="{DF0FCB5E-18E9-40B8-8B7E-5A2948E9D9E5}"/>
    <cellStyle name="Normal 3 18 4" xfId="1120" xr:uid="{A5B0BC5F-21B6-4227-B70E-042685F4B54B}"/>
    <cellStyle name="Normal 3 18 4 2" xfId="2841" xr:uid="{A5500B03-9E27-4DE9-9D96-0E4A326CB937}"/>
    <cellStyle name="Normal 3 18 5" xfId="1338" xr:uid="{A91B5B52-9C3F-43C8-BE3B-FB1D61650252}"/>
    <cellStyle name="Normal 3 18 5 2" xfId="3059" xr:uid="{3D32A060-8EBE-49A3-AD30-2CD8D05BDC29}"/>
    <cellStyle name="Normal 3 18 6" xfId="1556" xr:uid="{220E5799-8A07-4719-A4D2-A5B54F9C2BE9}"/>
    <cellStyle name="Normal 3 18 6 2" xfId="3277" xr:uid="{D7DB2813-C334-44E8-A6AF-249628DC9284}"/>
    <cellStyle name="Normal 3 18 7" xfId="1775" xr:uid="{EACC4D84-C170-4917-911A-5E4348218D3E}"/>
    <cellStyle name="Normal 3 18 7 2" xfId="3496" xr:uid="{E19B984F-6DA3-4CD1-9CAD-253D69125901}"/>
    <cellStyle name="Normal 3 18 8" xfId="2187" xr:uid="{919EF379-D24D-48C5-B5A6-74DC0F5D9D4A}"/>
    <cellStyle name="Normal 3 19" xfId="257" xr:uid="{566CA588-97B2-45D5-AF20-4A35E2328BB5}"/>
    <cellStyle name="Normal 3 19 2" xfId="697" xr:uid="{117AC50A-A608-49E7-8E59-9398CBD5D5A9}"/>
    <cellStyle name="Normal 3 19 2 2" xfId="2418" xr:uid="{BEAD573C-CE49-4E5C-90E4-C706BD225759}"/>
    <cellStyle name="Normal 3 19 3" xfId="915" xr:uid="{06523C18-4F86-4ADE-874F-2EAB763AA9E7}"/>
    <cellStyle name="Normal 3 19 3 2" xfId="2636" xr:uid="{14A34A9A-EF71-4EC5-A3CD-E95F918D63A1}"/>
    <cellStyle name="Normal 3 19 4" xfId="1133" xr:uid="{62954CDC-28E5-4AC9-AAB4-091849D4204F}"/>
    <cellStyle name="Normal 3 19 4 2" xfId="2854" xr:uid="{306A6358-DE7F-4D29-9F2D-01A123F71ADC}"/>
    <cellStyle name="Normal 3 19 5" xfId="1351" xr:uid="{FCECEAEE-0790-4151-86C0-31111B15F2B9}"/>
    <cellStyle name="Normal 3 19 5 2" xfId="3072" xr:uid="{5A1E5CEF-CAB9-4FE2-8A3B-43A5B93BB6B4}"/>
    <cellStyle name="Normal 3 19 6" xfId="1569" xr:uid="{BF5337F7-EA51-458B-9AAA-4809A3E0F75A}"/>
    <cellStyle name="Normal 3 19 6 2" xfId="3290" xr:uid="{BA46C409-1C6C-4FBE-97AD-1B14214EF51C}"/>
    <cellStyle name="Normal 3 19 7" xfId="1788" xr:uid="{626476B0-E8EB-4476-B0FD-8C07DD547E06}"/>
    <cellStyle name="Normal 3 19 7 2" xfId="3509" xr:uid="{6EA34829-D820-4D90-974B-A9F8D7FB7248}"/>
    <cellStyle name="Normal 3 19 8" xfId="2200" xr:uid="{22AFE8F8-5CFA-4155-82C6-3FC99654FB75}"/>
    <cellStyle name="Normal 3 2" xfId="55" xr:uid="{E1221F71-0BB5-41E9-ACEF-2913B9A2F9B2}"/>
    <cellStyle name="Normal 3 2 10" xfId="157" xr:uid="{EEA9FC99-1955-4627-93A3-74EB7FECB82D}"/>
    <cellStyle name="Normal 3 2 10 2" xfId="403" xr:uid="{68AF79CA-AC4A-4A1C-A218-5E718219F18F}"/>
    <cellStyle name="Normal 3 2 10 2 2" xfId="2102" xr:uid="{A645DED2-4A03-4F1B-8880-4D2342B5218C}"/>
    <cellStyle name="Normal 3 2 10 3" xfId="599" xr:uid="{0D0785F0-396D-4E01-B726-B89602947A3F}"/>
    <cellStyle name="Normal 3 2 10 3 2" xfId="2320" xr:uid="{F671FA00-EBE7-4EDD-AE3F-62637A5099A8}"/>
    <cellStyle name="Normal 3 2 10 4" xfId="817" xr:uid="{80C9081B-D74E-427F-B4E7-851ED054D400}"/>
    <cellStyle name="Normal 3 2 10 4 2" xfId="2538" xr:uid="{52F2018C-E35E-4600-B674-BB7F60D1AB8B}"/>
    <cellStyle name="Normal 3 2 10 5" xfId="1035" xr:uid="{7830F68F-F012-4732-B086-4796871218CE}"/>
    <cellStyle name="Normal 3 2 10 5 2" xfId="2756" xr:uid="{E7A3CFCD-54E5-4585-8F65-E62DF806C050}"/>
    <cellStyle name="Normal 3 2 10 6" xfId="1253" xr:uid="{68452A9B-D251-4F7E-8271-B70B4C49C270}"/>
    <cellStyle name="Normal 3 2 10 6 2" xfId="2974" xr:uid="{7D649BA4-B22A-43BB-ABDB-169F8F45294B}"/>
    <cellStyle name="Normal 3 2 10 7" xfId="1471" xr:uid="{E38D8B88-4AF3-436E-AE98-50F76BA36D02}"/>
    <cellStyle name="Normal 3 2 10 7 2" xfId="3192" xr:uid="{728116FC-FBAE-4D83-A995-079535C67827}"/>
    <cellStyle name="Normal 3 2 10 8" xfId="1690" xr:uid="{A1BB954C-8F15-454C-877B-7AFE9F3C80EE}"/>
    <cellStyle name="Normal 3 2 10 8 2" xfId="3411" xr:uid="{EB89DBAE-084C-46EB-AE33-9E8EC46D0046}"/>
    <cellStyle name="Normal 3 2 10 9" xfId="1910" xr:uid="{E4E438EF-2B1C-44D3-A296-BE9C53D88544}"/>
    <cellStyle name="Normal 3 2 11" xfId="170" xr:uid="{758ED4DC-5E0C-418A-A153-5553021D266E}"/>
    <cellStyle name="Normal 3 2 11 2" xfId="416" xr:uid="{7C6032F6-13EB-4FB8-BF41-88C62FD1438C}"/>
    <cellStyle name="Normal 3 2 11 2 2" xfId="2115" xr:uid="{35D30CE9-319C-4748-8913-59682FA85CCE}"/>
    <cellStyle name="Normal 3 2 11 3" xfId="612" xr:uid="{7730B7C0-9077-458D-8B8D-11B386184C6A}"/>
    <cellStyle name="Normal 3 2 11 3 2" xfId="2333" xr:uid="{C9ACD2E3-1A4C-4330-9B2C-39E3DA911E8A}"/>
    <cellStyle name="Normal 3 2 11 4" xfId="830" xr:uid="{722FC2E7-2AAF-46E9-910C-CAF80CAEFF12}"/>
    <cellStyle name="Normal 3 2 11 4 2" xfId="2551" xr:uid="{769155AD-8BD4-4E9C-A14C-3E8E7E83BEE7}"/>
    <cellStyle name="Normal 3 2 11 5" xfId="1048" xr:uid="{669E879E-B204-4FED-85F4-1F6BE978ECDC}"/>
    <cellStyle name="Normal 3 2 11 5 2" xfId="2769" xr:uid="{413DE945-AA95-4C28-99A5-43590C5644F8}"/>
    <cellStyle name="Normal 3 2 11 6" xfId="1266" xr:uid="{305B255F-2B90-4C68-B112-E52D6CADFE3F}"/>
    <cellStyle name="Normal 3 2 11 6 2" xfId="2987" xr:uid="{245A4F19-C246-4CEE-A94C-0E0E563BF180}"/>
    <cellStyle name="Normal 3 2 11 7" xfId="1484" xr:uid="{F37534E0-6373-4E80-9A52-04E25573AC5F}"/>
    <cellStyle name="Normal 3 2 11 7 2" xfId="3205" xr:uid="{3551FA60-060E-46EB-B29B-7D41508879D0}"/>
    <cellStyle name="Normal 3 2 11 8" xfId="1703" xr:uid="{B38CBCE5-423D-40E4-ACF0-79D3D73E0472}"/>
    <cellStyle name="Normal 3 2 11 8 2" xfId="3424" xr:uid="{963352DB-81C9-408C-9610-207B872AC2C0}"/>
    <cellStyle name="Normal 3 2 11 9" xfId="1923" xr:uid="{19238FA3-6768-42B3-8B63-BFA0E6D383EC}"/>
    <cellStyle name="Normal 3 2 12" xfId="183" xr:uid="{6CDB4AF3-F4A4-48BA-B80C-79F3D4936C6C}"/>
    <cellStyle name="Normal 3 2 12 2" xfId="429" xr:uid="{034E2284-A9C7-4932-9D4C-EA79935ECE96}"/>
    <cellStyle name="Normal 3 2 12 2 2" xfId="2128" xr:uid="{11463613-45D6-49AB-A393-973B7127F29D}"/>
    <cellStyle name="Normal 3 2 12 3" xfId="625" xr:uid="{8412208E-16C4-4A54-9943-1F013ECC821D}"/>
    <cellStyle name="Normal 3 2 12 3 2" xfId="2346" xr:uid="{3D840EDA-9113-4CA1-A832-7394EF27D30C}"/>
    <cellStyle name="Normal 3 2 12 4" xfId="843" xr:uid="{A17CEFFF-AE26-4A0F-94FE-26840C9297BE}"/>
    <cellStyle name="Normal 3 2 12 4 2" xfId="2564" xr:uid="{C8CCACDE-F832-4AC8-8BD2-98EAB23CD505}"/>
    <cellStyle name="Normal 3 2 12 5" xfId="1061" xr:uid="{A5E91560-1A2C-4252-85FA-08CECBBBADAB}"/>
    <cellStyle name="Normal 3 2 12 5 2" xfId="2782" xr:uid="{A4A6F775-E0A6-4169-92EF-DB0830F28815}"/>
    <cellStyle name="Normal 3 2 12 6" xfId="1279" xr:uid="{AEB49B85-0BEB-4016-9B38-B066D13F9428}"/>
    <cellStyle name="Normal 3 2 12 6 2" xfId="3000" xr:uid="{9CC00A86-3AAE-4FDD-BA03-343F909D10B2}"/>
    <cellStyle name="Normal 3 2 12 7" xfId="1497" xr:uid="{4EF3532C-3176-443C-9488-D26BE1655549}"/>
    <cellStyle name="Normal 3 2 12 7 2" xfId="3218" xr:uid="{A4ED8C7F-0E5E-4CCD-96B4-0A6A9D1163BC}"/>
    <cellStyle name="Normal 3 2 12 8" xfId="1716" xr:uid="{63ADA79A-1946-4F7F-87CC-86DB0A7B4D3E}"/>
    <cellStyle name="Normal 3 2 12 8 2" xfId="3437" xr:uid="{99AB4D5D-5B31-47EF-BD22-0A8DDD301271}"/>
    <cellStyle name="Normal 3 2 12 9" xfId="1936" xr:uid="{C29F1B68-AE4C-4C4F-9441-B3694D4B76D3}"/>
    <cellStyle name="Normal 3 2 13" xfId="196" xr:uid="{9074D254-EB42-4D61-8987-CBC8DF838290}"/>
    <cellStyle name="Normal 3 2 13 2" xfId="442" xr:uid="{D28655F7-39CE-4EA2-B679-AD5A59E13854}"/>
    <cellStyle name="Normal 3 2 13 2 2" xfId="2141" xr:uid="{77ECECCE-C1FA-4926-BA5D-3F464817A0E1}"/>
    <cellStyle name="Normal 3 2 13 3" xfId="638" xr:uid="{7E7CECF3-2839-4B9B-9547-DCFD710B1D96}"/>
    <cellStyle name="Normal 3 2 13 3 2" xfId="2359" xr:uid="{54717EF9-27E8-4756-BE42-969A543AB456}"/>
    <cellStyle name="Normal 3 2 13 4" xfId="856" xr:uid="{F5593B8D-F69F-4285-A6E6-834CAA7B7A77}"/>
    <cellStyle name="Normal 3 2 13 4 2" xfId="2577" xr:uid="{EBDA948E-3B5C-441D-AE06-80266EB627BF}"/>
    <cellStyle name="Normal 3 2 13 5" xfId="1074" xr:uid="{4FB6139C-79C4-445B-B4C1-26BB094C7114}"/>
    <cellStyle name="Normal 3 2 13 5 2" xfId="2795" xr:uid="{74C00281-8DAC-4848-A7C1-D59B1FE4D7EB}"/>
    <cellStyle name="Normal 3 2 13 6" xfId="1292" xr:uid="{6B5CAE30-FD06-4015-904D-2CF7AD475B5C}"/>
    <cellStyle name="Normal 3 2 13 6 2" xfId="3013" xr:uid="{57D81D89-A8D6-4827-A9C5-2AE963DE72B2}"/>
    <cellStyle name="Normal 3 2 13 7" xfId="1510" xr:uid="{605155D9-6EC6-4A54-A27F-77B46F06B6D1}"/>
    <cellStyle name="Normal 3 2 13 7 2" xfId="3231" xr:uid="{8402365E-4862-4C58-A855-E50DF92DDCD1}"/>
    <cellStyle name="Normal 3 2 13 8" xfId="1729" xr:uid="{19D56D83-1586-44A0-9787-CB373D1F8957}"/>
    <cellStyle name="Normal 3 2 13 8 2" xfId="3450" xr:uid="{4FBEB5AE-BAF3-4336-BAA4-42A704AF6ACB}"/>
    <cellStyle name="Normal 3 2 13 9" xfId="1949" xr:uid="{5F71B53F-684C-41AE-B7F6-81539B30D009}"/>
    <cellStyle name="Normal 3 2 14" xfId="221" xr:uid="{6209975A-E28A-4C98-B2C8-1CFFB8330DDD}"/>
    <cellStyle name="Normal 3 2 14 2" xfId="465" xr:uid="{B36C68BF-865C-4D8C-83A6-A128B16BD8E2}"/>
    <cellStyle name="Normal 3 2 14 2 2" xfId="2164" xr:uid="{FBBA4FD4-0BC8-45E8-978F-096805C8DDE7}"/>
    <cellStyle name="Normal 3 2 14 3" xfId="661" xr:uid="{5B76865A-764F-414C-BD4E-FA81DAFAD5D1}"/>
    <cellStyle name="Normal 3 2 14 3 2" xfId="2382" xr:uid="{EBC3679F-8BA0-41BD-9636-9CF095B8DEC7}"/>
    <cellStyle name="Normal 3 2 14 4" xfId="879" xr:uid="{8CFCAC27-8F62-41BB-9164-647FC52F8B63}"/>
    <cellStyle name="Normal 3 2 14 4 2" xfId="2600" xr:uid="{C7DD0EED-5501-48BD-A114-BEADAEB1464F}"/>
    <cellStyle name="Normal 3 2 14 5" xfId="1097" xr:uid="{0F1BFCE1-6B9A-425B-BA9E-948BEA60C731}"/>
    <cellStyle name="Normal 3 2 14 5 2" xfId="2818" xr:uid="{2221D5F3-84A2-4B12-BECD-8CC70747C789}"/>
    <cellStyle name="Normal 3 2 14 6" xfId="1315" xr:uid="{AE1750EE-931D-4DCD-9F6E-5ADD4C2AC8C0}"/>
    <cellStyle name="Normal 3 2 14 6 2" xfId="3036" xr:uid="{82C018F8-BBA6-40F1-B9C2-6AAE02FCDB9A}"/>
    <cellStyle name="Normal 3 2 14 7" xfId="1533" xr:uid="{9F3FC07E-D61E-4636-A673-5BA57FB736BE}"/>
    <cellStyle name="Normal 3 2 14 7 2" xfId="3254" xr:uid="{81647413-16A8-43AD-8A37-0FB5D4B1DB91}"/>
    <cellStyle name="Normal 3 2 14 8" xfId="1752" xr:uid="{B7F17C3D-71FC-46DA-B2B4-6DBCF582898D}"/>
    <cellStyle name="Normal 3 2 14 8 2" xfId="3473" xr:uid="{133AE2E6-E2FD-4EF4-810E-391527C19CC9}"/>
    <cellStyle name="Normal 3 2 14 9" xfId="1972" xr:uid="{35000B97-1F7E-44D2-AE0E-67406275D60D}"/>
    <cellStyle name="Normal 3 2 15" xfId="234" xr:uid="{7210FC85-5EBE-44AB-9012-E995FF63B30C}"/>
    <cellStyle name="Normal 3 2 15 2" xfId="478" xr:uid="{02B4332B-E0A5-4CE4-AD8D-E1399CEA01C6}"/>
    <cellStyle name="Normal 3 2 15 2 2" xfId="2177" xr:uid="{35A941F4-4B4D-4CF1-B9A6-98615E75FD74}"/>
    <cellStyle name="Normal 3 2 15 3" xfId="674" xr:uid="{81E6D310-2751-4ECA-87C6-972E67810A48}"/>
    <cellStyle name="Normal 3 2 15 3 2" xfId="2395" xr:uid="{2108751C-7877-4280-8922-A4A3790732A0}"/>
    <cellStyle name="Normal 3 2 15 4" xfId="892" xr:uid="{5BF76EA1-7B9E-4E16-ACE7-E9A6D638B0BE}"/>
    <cellStyle name="Normal 3 2 15 4 2" xfId="2613" xr:uid="{48C3D14F-5524-4FA0-A241-78A257DBEA66}"/>
    <cellStyle name="Normal 3 2 15 5" xfId="1110" xr:uid="{DFF56760-7267-43D7-BB24-12ADAE40989A}"/>
    <cellStyle name="Normal 3 2 15 5 2" xfId="2831" xr:uid="{4B8095BC-0B00-4C1E-A8BE-A1A331B773F1}"/>
    <cellStyle name="Normal 3 2 15 6" xfId="1328" xr:uid="{D6C0E99E-22A5-4CAA-8993-FC38E3DBF3A6}"/>
    <cellStyle name="Normal 3 2 15 6 2" xfId="3049" xr:uid="{A9256E05-9EC8-4316-8242-ADDDE5131381}"/>
    <cellStyle name="Normal 3 2 15 7" xfId="1546" xr:uid="{EB95CE9F-8BA9-4688-95E3-0AAA68E06599}"/>
    <cellStyle name="Normal 3 2 15 7 2" xfId="3267" xr:uid="{83019DFE-C723-42BD-B9D1-70477209F178}"/>
    <cellStyle name="Normal 3 2 15 8" xfId="1765" xr:uid="{45EA818F-1593-40E1-BFA3-6F07CA2128BC}"/>
    <cellStyle name="Normal 3 2 15 8 2" xfId="3486" xr:uid="{60204A06-A3BF-4A0B-8AFD-D626224906F7}"/>
    <cellStyle name="Normal 3 2 15 9" xfId="1985" xr:uid="{F157C467-6174-421F-AFE5-A1ECA8EC1F33}"/>
    <cellStyle name="Normal 3 2 16" xfId="247" xr:uid="{FF25ADAF-64BF-4DEF-A888-03343F306C3B}"/>
    <cellStyle name="Normal 3 2 16 2" xfId="687" xr:uid="{16EACB73-F3BA-432B-9971-7040A63B90C6}"/>
    <cellStyle name="Normal 3 2 16 2 2" xfId="2408" xr:uid="{04D4FE51-3958-4980-A106-BA4ED59433C3}"/>
    <cellStyle name="Normal 3 2 16 3" xfId="905" xr:uid="{75158233-F5E5-44AC-8079-F44C18F24306}"/>
    <cellStyle name="Normal 3 2 16 3 2" xfId="2626" xr:uid="{78830BEA-5117-4E7F-8F15-71AD65CF5A5A}"/>
    <cellStyle name="Normal 3 2 16 4" xfId="1123" xr:uid="{A6178B50-F0B7-49BD-863B-5BFCC85BE272}"/>
    <cellStyle name="Normal 3 2 16 4 2" xfId="2844" xr:uid="{6B688851-9E44-4F8A-9F47-F8A75550E6DD}"/>
    <cellStyle name="Normal 3 2 16 5" xfId="1341" xr:uid="{A5F851EE-33E7-4DCD-A645-BDE56484920D}"/>
    <cellStyle name="Normal 3 2 16 5 2" xfId="3062" xr:uid="{468C08C3-7256-4DA4-92CB-3DA6E78E756B}"/>
    <cellStyle name="Normal 3 2 16 6" xfId="1559" xr:uid="{BF346024-D0A5-4D23-B105-3B8C59768F07}"/>
    <cellStyle name="Normal 3 2 16 6 2" xfId="3280" xr:uid="{551E0420-A892-401C-906F-60EF4C11F49E}"/>
    <cellStyle name="Normal 3 2 16 7" xfId="1778" xr:uid="{6EBA7AB9-41AD-4CD9-B5C3-48BCCD3D73A5}"/>
    <cellStyle name="Normal 3 2 16 7 2" xfId="3499" xr:uid="{E9E5A721-CCFA-4F27-95C9-3F61B10938BE}"/>
    <cellStyle name="Normal 3 2 16 8" xfId="2190" xr:uid="{933C101D-04F6-4BF8-AAEC-131F48A73757}"/>
    <cellStyle name="Normal 3 2 17" xfId="260" xr:uid="{AAD6FBAE-0700-4145-82CD-254ACE8559BA}"/>
    <cellStyle name="Normal 3 2 17 2" xfId="700" xr:uid="{811DDA6C-F423-41AD-8DDB-DB00C761E17B}"/>
    <cellStyle name="Normal 3 2 17 2 2" xfId="2421" xr:uid="{24F75C95-1BEC-482A-9513-70E75FB9FB66}"/>
    <cellStyle name="Normal 3 2 17 3" xfId="918" xr:uid="{9FAEDEAB-4130-4568-9136-188BA7B83E09}"/>
    <cellStyle name="Normal 3 2 17 3 2" xfId="2639" xr:uid="{13438D20-BB68-4808-BB66-0F65F81CBCF6}"/>
    <cellStyle name="Normal 3 2 17 4" xfId="1136" xr:uid="{20658ECE-58E0-4939-981E-C1B1126C8516}"/>
    <cellStyle name="Normal 3 2 17 4 2" xfId="2857" xr:uid="{98BE3D2A-BEC6-4014-8155-536E6C13EBE5}"/>
    <cellStyle name="Normal 3 2 17 5" xfId="1354" xr:uid="{F4177B1F-AAC8-4743-8C22-1CC2EA9DEB29}"/>
    <cellStyle name="Normal 3 2 17 5 2" xfId="3075" xr:uid="{29F35F76-E6EA-459E-BEE9-B09F88B3154C}"/>
    <cellStyle name="Normal 3 2 17 6" xfId="1572" xr:uid="{3835FED5-84E9-43B8-9823-EE2CCB36F539}"/>
    <cellStyle name="Normal 3 2 17 6 2" xfId="3293" xr:uid="{2839357C-BFF2-4152-BBAD-2EAFEDF207B8}"/>
    <cellStyle name="Normal 3 2 17 7" xfId="1791" xr:uid="{FCFEF875-53C1-4907-BD8D-B4853049CF5F}"/>
    <cellStyle name="Normal 3 2 17 7 2" xfId="3512" xr:uid="{824AE952-D66D-437B-98FB-EE58218B1DCC}"/>
    <cellStyle name="Normal 3 2 17 8" xfId="2203" xr:uid="{692AA8E3-90AB-4180-A44C-571DA58CB38F}"/>
    <cellStyle name="Normal 3 2 18" xfId="300" xr:uid="{A8666440-BA0F-4CFB-930B-31C540F0329D}"/>
    <cellStyle name="Normal 3 2 18 2" xfId="1998" xr:uid="{A7AA695C-E2C6-4524-BF8A-0155C5C75D00}"/>
    <cellStyle name="Normal 3 2 19" xfId="495" xr:uid="{D95C1874-EC19-47BB-A027-C1C12C8AEE62}"/>
    <cellStyle name="Normal 3 2 19 2" xfId="2216" xr:uid="{1544977A-9711-4040-A73C-C44929D4D3F3}"/>
    <cellStyle name="Normal 3 2 2" xfId="59" xr:uid="{A1B2FCEB-21C4-431D-9D47-EACB475144F4}"/>
    <cellStyle name="Normal 3 2 2 10" xfId="176" xr:uid="{753C218E-B064-455B-B188-3310AF6C3275}"/>
    <cellStyle name="Normal 3 2 2 10 2" xfId="422" xr:uid="{1D57DEA6-7EB6-4A19-9E9B-80DB21A1BFCC}"/>
    <cellStyle name="Normal 3 2 2 10 2 2" xfId="2121" xr:uid="{7C086508-D727-45C9-A782-957A76AB9067}"/>
    <cellStyle name="Normal 3 2 2 10 3" xfId="618" xr:uid="{880F80A6-02F2-4C5D-8892-C4199EE92A9A}"/>
    <cellStyle name="Normal 3 2 2 10 3 2" xfId="2339" xr:uid="{D95ECA45-EED2-4325-8853-FF3AD525CC8C}"/>
    <cellStyle name="Normal 3 2 2 10 4" xfId="836" xr:uid="{824DAC6D-F525-4976-A561-26D65B74FDDD}"/>
    <cellStyle name="Normal 3 2 2 10 4 2" xfId="2557" xr:uid="{F97CAC72-DB8C-4D44-B59D-F2B0832FF7F4}"/>
    <cellStyle name="Normal 3 2 2 10 5" xfId="1054" xr:uid="{539C63BD-BA3D-4AB9-AF55-AB8A4CF28051}"/>
    <cellStyle name="Normal 3 2 2 10 5 2" xfId="2775" xr:uid="{29EEAA9D-296C-4039-AB45-E4B4ABE331C9}"/>
    <cellStyle name="Normal 3 2 2 10 6" xfId="1272" xr:uid="{4B6D7BFE-872C-45F1-BB26-8D5A05B5DC40}"/>
    <cellStyle name="Normal 3 2 2 10 6 2" xfId="2993" xr:uid="{99070C1A-595B-4D07-98DB-8706F356066A}"/>
    <cellStyle name="Normal 3 2 2 10 7" xfId="1490" xr:uid="{454BFD23-7E46-4808-9315-5DEC5BE754CD}"/>
    <cellStyle name="Normal 3 2 2 10 7 2" xfId="3211" xr:uid="{D700EFED-20DB-4822-8547-B216086B6D18}"/>
    <cellStyle name="Normal 3 2 2 10 8" xfId="1709" xr:uid="{A0C9C54E-30ED-4C3E-BCEF-8475F234DC68}"/>
    <cellStyle name="Normal 3 2 2 10 8 2" xfId="3430" xr:uid="{7483A1E9-06A7-4183-9A91-742499BFE0C8}"/>
    <cellStyle name="Normal 3 2 2 10 9" xfId="1929" xr:uid="{2E2E97E7-2164-4842-AB64-50EF69B80DD5}"/>
    <cellStyle name="Normal 3 2 2 11" xfId="189" xr:uid="{F60F6BA1-1E54-44AF-AC59-9CC8DD49B7EC}"/>
    <cellStyle name="Normal 3 2 2 11 2" xfId="435" xr:uid="{1D9E75D4-E48F-4D9D-95EC-5E8BD1CEC668}"/>
    <cellStyle name="Normal 3 2 2 11 2 2" xfId="2134" xr:uid="{5144FFA3-1991-4AB7-BEA5-4ACA623A4854}"/>
    <cellStyle name="Normal 3 2 2 11 3" xfId="631" xr:uid="{E0B5FB02-CFE9-433B-A442-CDC17BF92943}"/>
    <cellStyle name="Normal 3 2 2 11 3 2" xfId="2352" xr:uid="{1207CA14-FD41-46BA-A34C-1CC906DE7129}"/>
    <cellStyle name="Normal 3 2 2 11 4" xfId="849" xr:uid="{ADFFACF7-933D-4175-92B5-0C596D2B57DB}"/>
    <cellStyle name="Normal 3 2 2 11 4 2" xfId="2570" xr:uid="{C705A9F9-7DD9-453E-B12B-5C68A0064D8F}"/>
    <cellStyle name="Normal 3 2 2 11 5" xfId="1067" xr:uid="{BAB91751-5E2A-4F3B-A5C0-2BE661995269}"/>
    <cellStyle name="Normal 3 2 2 11 5 2" xfId="2788" xr:uid="{2970D9E6-8F04-497E-BB17-239A3127F746}"/>
    <cellStyle name="Normal 3 2 2 11 6" xfId="1285" xr:uid="{451DE6AF-CBB8-4830-B506-EBC635494725}"/>
    <cellStyle name="Normal 3 2 2 11 6 2" xfId="3006" xr:uid="{B719BA5E-8B6F-4E9F-86C7-50527FF98F61}"/>
    <cellStyle name="Normal 3 2 2 11 7" xfId="1503" xr:uid="{D9E73DF7-4E57-4EFA-878F-5803D91B4AEA}"/>
    <cellStyle name="Normal 3 2 2 11 7 2" xfId="3224" xr:uid="{A29612F1-1C76-4024-B4E8-4E2FAFB34BA7}"/>
    <cellStyle name="Normal 3 2 2 11 8" xfId="1722" xr:uid="{C502216C-77C1-46EA-8610-94AFCED90E84}"/>
    <cellStyle name="Normal 3 2 2 11 8 2" xfId="3443" xr:uid="{409FB6A1-674C-4682-919E-97BFC93E2106}"/>
    <cellStyle name="Normal 3 2 2 11 9" xfId="1942" xr:uid="{0530C8BE-E1B5-4513-8CED-F9E5A2BD2EC6}"/>
    <cellStyle name="Normal 3 2 2 12" xfId="202" xr:uid="{06610903-4821-4BC3-A914-0CF2488D7AD0}"/>
    <cellStyle name="Normal 3 2 2 12 2" xfId="448" xr:uid="{8389B50B-D142-4509-A590-35BB354C9B28}"/>
    <cellStyle name="Normal 3 2 2 12 2 2" xfId="2147" xr:uid="{0E683D6A-E44E-491C-BB45-0AFC54A64477}"/>
    <cellStyle name="Normal 3 2 2 12 3" xfId="644" xr:uid="{25D9B3F6-9BFF-4112-B758-A08335D23C2C}"/>
    <cellStyle name="Normal 3 2 2 12 3 2" xfId="2365" xr:uid="{F408728F-01F8-460D-92BE-02B799D04284}"/>
    <cellStyle name="Normal 3 2 2 12 4" xfId="862" xr:uid="{707241FA-0F87-46AB-B0F1-04661EEFC7E6}"/>
    <cellStyle name="Normal 3 2 2 12 4 2" xfId="2583" xr:uid="{FBBB9584-5891-4C91-B8D6-DDAC7AE11F37}"/>
    <cellStyle name="Normal 3 2 2 12 5" xfId="1080" xr:uid="{C32A9278-DB82-42F6-A33E-695C2CB7A49D}"/>
    <cellStyle name="Normal 3 2 2 12 5 2" xfId="2801" xr:uid="{59E1692E-77CF-4B8E-91D8-02C72DD8CA00}"/>
    <cellStyle name="Normal 3 2 2 12 6" xfId="1298" xr:uid="{31D4D6EF-9608-4BF1-9D39-6F87C812CB87}"/>
    <cellStyle name="Normal 3 2 2 12 6 2" xfId="3019" xr:uid="{FFEBA735-431B-4224-835B-0B2868A9DB74}"/>
    <cellStyle name="Normal 3 2 2 12 7" xfId="1516" xr:uid="{B831A853-709C-493B-9BE0-DE8D7B8A8B88}"/>
    <cellStyle name="Normal 3 2 2 12 7 2" xfId="3237" xr:uid="{B9CEA46A-B25C-4899-AAB2-740FCECD2A27}"/>
    <cellStyle name="Normal 3 2 2 12 8" xfId="1735" xr:uid="{474710FB-D04D-4A44-9B8C-5382CE73DE2F}"/>
    <cellStyle name="Normal 3 2 2 12 8 2" xfId="3456" xr:uid="{D59B7BB6-9C8D-41D2-B776-7B8449AA20A4}"/>
    <cellStyle name="Normal 3 2 2 12 9" xfId="1955" xr:uid="{E03C3315-57A8-407F-83DE-618E094C9F94}"/>
    <cellStyle name="Normal 3 2 2 13" xfId="227" xr:uid="{320843DC-855A-4CDD-BD43-4CAEF9EDA231}"/>
    <cellStyle name="Normal 3 2 2 13 2" xfId="471" xr:uid="{2A375EC9-0446-444B-BFF3-A64D6C274EA2}"/>
    <cellStyle name="Normal 3 2 2 13 2 2" xfId="2170" xr:uid="{19A8E736-7DA2-47D5-8597-9138CAE0B450}"/>
    <cellStyle name="Normal 3 2 2 13 3" xfId="667" xr:uid="{059395AB-ABB5-475D-9F04-4A379090408A}"/>
    <cellStyle name="Normal 3 2 2 13 3 2" xfId="2388" xr:uid="{13CE1A0D-D3EC-4DAD-9D26-4A53C40DF438}"/>
    <cellStyle name="Normal 3 2 2 13 4" xfId="885" xr:uid="{48B40A52-6024-4F8B-8FDE-D7C6A08E97DB}"/>
    <cellStyle name="Normal 3 2 2 13 4 2" xfId="2606" xr:uid="{12DC33DA-9E34-4007-BE21-0EDE8BA1E51E}"/>
    <cellStyle name="Normal 3 2 2 13 5" xfId="1103" xr:uid="{65F1EADD-7AFC-4750-9DA4-8EF0CA9B13D6}"/>
    <cellStyle name="Normal 3 2 2 13 5 2" xfId="2824" xr:uid="{0DAF782C-F084-4676-A3DC-B00D657D34F2}"/>
    <cellStyle name="Normal 3 2 2 13 6" xfId="1321" xr:uid="{438B0188-B682-428F-A11E-4479E638BFFF}"/>
    <cellStyle name="Normal 3 2 2 13 6 2" xfId="3042" xr:uid="{B0D93F77-2B7B-4E5C-B324-9099E203FE1E}"/>
    <cellStyle name="Normal 3 2 2 13 7" xfId="1539" xr:uid="{8BBD25B8-9C20-429C-BAC2-CE80EB5BA026}"/>
    <cellStyle name="Normal 3 2 2 13 7 2" xfId="3260" xr:uid="{FE8573A3-621C-4F16-9F06-9721658FAAD3}"/>
    <cellStyle name="Normal 3 2 2 13 8" xfId="1758" xr:uid="{CF57E41A-4E43-48F9-A74D-B5BA59524917}"/>
    <cellStyle name="Normal 3 2 2 13 8 2" xfId="3479" xr:uid="{9CB858E7-F7E4-4048-8E6A-D9FEDF12FB60}"/>
    <cellStyle name="Normal 3 2 2 13 9" xfId="1978" xr:uid="{9B8B88E3-C33B-4589-B6C0-4829ADFB9114}"/>
    <cellStyle name="Normal 3 2 2 14" xfId="240" xr:uid="{76D5AFF8-773A-4174-9013-016948F73727}"/>
    <cellStyle name="Normal 3 2 2 14 2" xfId="484" xr:uid="{024E12B7-7E2E-48A4-B6D3-BF4BEBDFEF67}"/>
    <cellStyle name="Normal 3 2 2 14 2 2" xfId="2183" xr:uid="{643DBBFC-9890-4CD4-A74E-565CFC975CC9}"/>
    <cellStyle name="Normal 3 2 2 14 3" xfId="680" xr:uid="{CA8BAE8B-2147-47C0-8A9B-1641CA028D60}"/>
    <cellStyle name="Normal 3 2 2 14 3 2" xfId="2401" xr:uid="{B6F0730C-642C-4A39-8A59-799A17231F77}"/>
    <cellStyle name="Normal 3 2 2 14 4" xfId="898" xr:uid="{1699A13E-5F32-4984-8731-08F69D448878}"/>
    <cellStyle name="Normal 3 2 2 14 4 2" xfId="2619" xr:uid="{410AEC33-7DAD-4C3F-81A6-20F355E95ED8}"/>
    <cellStyle name="Normal 3 2 2 14 5" xfId="1116" xr:uid="{2197EDDC-B831-46CA-9EFC-ACAB53CDBEC6}"/>
    <cellStyle name="Normal 3 2 2 14 5 2" xfId="2837" xr:uid="{F55DAC35-0E38-46D4-9580-371F4E78027D}"/>
    <cellStyle name="Normal 3 2 2 14 6" xfId="1334" xr:uid="{1ACFCA63-641D-4BE6-90B4-91FF272DC3F4}"/>
    <cellStyle name="Normal 3 2 2 14 6 2" xfId="3055" xr:uid="{C3F2562C-B914-4BA8-BB2D-65B482257186}"/>
    <cellStyle name="Normal 3 2 2 14 7" xfId="1552" xr:uid="{6A96E16C-A949-4014-998C-4DDD4C6AD5C2}"/>
    <cellStyle name="Normal 3 2 2 14 7 2" xfId="3273" xr:uid="{72218BE2-4078-4DEB-B51D-44C2AE468525}"/>
    <cellStyle name="Normal 3 2 2 14 8" xfId="1771" xr:uid="{40F9288C-9E34-4097-A0BE-8FCDC7D367C0}"/>
    <cellStyle name="Normal 3 2 2 14 8 2" xfId="3492" xr:uid="{5DB0C3E9-F992-4FF6-B649-61CD6C62027E}"/>
    <cellStyle name="Normal 3 2 2 14 9" xfId="1991" xr:uid="{8EAB53B3-5FFE-4843-867E-76FDE28BBFE9}"/>
    <cellStyle name="Normal 3 2 2 15" xfId="253" xr:uid="{7F8341D2-26E1-40B6-94D3-AE40AEA46CF4}"/>
    <cellStyle name="Normal 3 2 2 15 2" xfId="693" xr:uid="{BEDDE1C1-E0F9-4EF8-B934-205A9D7A379B}"/>
    <cellStyle name="Normal 3 2 2 15 2 2" xfId="2414" xr:uid="{9606E66D-AEF0-4E4D-B0A1-F95EAC3EDBC5}"/>
    <cellStyle name="Normal 3 2 2 15 3" xfId="911" xr:uid="{80C6EB96-9929-4A0A-B180-266636BE69DC}"/>
    <cellStyle name="Normal 3 2 2 15 3 2" xfId="2632" xr:uid="{479181C0-B790-4324-B498-4B33D8052D5F}"/>
    <cellStyle name="Normal 3 2 2 15 4" xfId="1129" xr:uid="{E1CCC875-F5F3-45D9-96F6-714C9C39427C}"/>
    <cellStyle name="Normal 3 2 2 15 4 2" xfId="2850" xr:uid="{AFB577CE-3571-412D-A8CB-3EF6BE8D34F0}"/>
    <cellStyle name="Normal 3 2 2 15 5" xfId="1347" xr:uid="{5A6B8A3E-6340-4874-8204-5B0D5BCFA7B2}"/>
    <cellStyle name="Normal 3 2 2 15 5 2" xfId="3068" xr:uid="{F5491DA7-CF9E-48AA-A99E-3E4B58BDF29F}"/>
    <cellStyle name="Normal 3 2 2 15 6" xfId="1565" xr:uid="{85946501-80BF-46E1-8CB7-6EA799064F93}"/>
    <cellStyle name="Normal 3 2 2 15 6 2" xfId="3286" xr:uid="{CDE21E20-1B03-4418-ABD4-C0F7D62ABA48}"/>
    <cellStyle name="Normal 3 2 2 15 7" xfId="1784" xr:uid="{24429D34-9286-4A9F-80D8-720ACB6F20DB}"/>
    <cellStyle name="Normal 3 2 2 15 7 2" xfId="3505" xr:uid="{E12F19FB-93E4-44A6-91D1-F0C0525206DB}"/>
    <cellStyle name="Normal 3 2 2 15 8" xfId="2196" xr:uid="{372AD7D7-1D1B-42CA-8188-EB542406306E}"/>
    <cellStyle name="Normal 3 2 2 16" xfId="266" xr:uid="{8E46E7B6-6EA8-4DA3-B868-170FEFCFA14D}"/>
    <cellStyle name="Normal 3 2 2 16 2" xfId="706" xr:uid="{87C5EF3B-6F89-43E5-973C-AA9FCE9A9DC5}"/>
    <cellStyle name="Normal 3 2 2 16 2 2" xfId="2427" xr:uid="{ECFC26DE-9B84-41E5-B73E-176F5F919E18}"/>
    <cellStyle name="Normal 3 2 2 16 3" xfId="924" xr:uid="{57C94042-4DCC-42D7-9F91-551424BFB638}"/>
    <cellStyle name="Normal 3 2 2 16 3 2" xfId="2645" xr:uid="{3EC24854-89C7-454A-BAF8-F233ADAA3AF3}"/>
    <cellStyle name="Normal 3 2 2 16 4" xfId="1142" xr:uid="{486D62D4-1FE8-4224-BF4C-786E68895BD4}"/>
    <cellStyle name="Normal 3 2 2 16 4 2" xfId="2863" xr:uid="{0F915A57-D92C-4A9F-B8BC-497A8ACFB7C3}"/>
    <cellStyle name="Normal 3 2 2 16 5" xfId="1360" xr:uid="{0A6246D1-E146-4E3D-8EE9-BBE5C87D681A}"/>
    <cellStyle name="Normal 3 2 2 16 5 2" xfId="3081" xr:uid="{60FA4AAC-4718-400A-B0BD-CB87B18D1F46}"/>
    <cellStyle name="Normal 3 2 2 16 6" xfId="1578" xr:uid="{ABE0085D-045D-486C-8FDB-157C975817C0}"/>
    <cellStyle name="Normal 3 2 2 16 6 2" xfId="3299" xr:uid="{28BB54E9-D607-41B9-9855-E81B43641FB1}"/>
    <cellStyle name="Normal 3 2 2 16 7" xfId="1797" xr:uid="{02DABA8D-249B-49EE-92AA-817E03AF7D4E}"/>
    <cellStyle name="Normal 3 2 2 16 7 2" xfId="3518" xr:uid="{A71F5E1D-593D-45FA-83C9-3EA3CD706BB3}"/>
    <cellStyle name="Normal 3 2 2 16 8" xfId="2209" xr:uid="{3596F975-B7F6-4F7E-B61A-5036B9591804}"/>
    <cellStyle name="Normal 3 2 2 17" xfId="306" xr:uid="{256CB6A6-1CB4-413D-9D6C-7B220AF212E8}"/>
    <cellStyle name="Normal 3 2 2 17 2" xfId="2004" xr:uid="{81AFCA6E-905A-4F9E-AE2C-57DDDCBE84FB}"/>
    <cellStyle name="Normal 3 2 2 18" xfId="501" xr:uid="{5FD358F5-E660-4A12-9CE9-9B57AF1DC208}"/>
    <cellStyle name="Normal 3 2 2 18 2" xfId="2222" xr:uid="{DF26685C-35F9-4D2C-AA1E-731520D92355}"/>
    <cellStyle name="Normal 3 2 2 19" xfId="719" xr:uid="{6749FACD-D691-4758-AF5A-5CE2FFD721B4}"/>
    <cellStyle name="Normal 3 2 2 19 2" xfId="2440" xr:uid="{CBA01DEE-4EC4-409F-823F-579F3BDACDBC}"/>
    <cellStyle name="Normal 3 2 2 2" xfId="72" xr:uid="{95CF9258-493C-421C-B986-38C9A952BC40}"/>
    <cellStyle name="Normal 3 2 2 2 2" xfId="318" xr:uid="{F9C95904-8C49-4044-8C5A-2C1F7FC6B8F8}"/>
    <cellStyle name="Normal 3 2 2 2 2 2" xfId="2017" xr:uid="{354AD75C-93E5-4F00-B9B7-7DFFC1FCB5F2}"/>
    <cellStyle name="Normal 3 2 2 2 3" xfId="514" xr:uid="{7E7E9088-3DA3-40AB-BA39-8D1C0A726150}"/>
    <cellStyle name="Normal 3 2 2 2 3 2" xfId="2235" xr:uid="{496EA887-2460-4110-8A5C-A2B5DC9C1CF5}"/>
    <cellStyle name="Normal 3 2 2 2 4" xfId="732" xr:uid="{D49A6793-7EA0-47F3-BEB3-725CCCB4F025}"/>
    <cellStyle name="Normal 3 2 2 2 4 2" xfId="2453" xr:uid="{0E5F438B-C784-49C7-BFB4-F53179CEB4AB}"/>
    <cellStyle name="Normal 3 2 2 2 5" xfId="950" xr:uid="{FF6A1A21-C08A-4399-802B-76150D59C6BE}"/>
    <cellStyle name="Normal 3 2 2 2 5 2" xfId="2671" xr:uid="{99354265-3656-451C-B305-0A53CA2F1435}"/>
    <cellStyle name="Normal 3 2 2 2 6" xfId="1168" xr:uid="{2BD1D944-9C0C-4B07-95E2-486F78DBC43A}"/>
    <cellStyle name="Normal 3 2 2 2 6 2" xfId="2889" xr:uid="{6FE672B1-E0F1-4AC4-9793-67260F0AA423}"/>
    <cellStyle name="Normal 3 2 2 2 7" xfId="1386" xr:uid="{E54DE78C-6A07-4B7C-A9FC-049842D8B4DD}"/>
    <cellStyle name="Normal 3 2 2 2 7 2" xfId="3107" xr:uid="{019DBD5B-ABA5-4CFA-B19C-1990A86E2C41}"/>
    <cellStyle name="Normal 3 2 2 2 8" xfId="1605" xr:uid="{C9A6A5BF-95D8-4464-8806-A79FF843B7AC}"/>
    <cellStyle name="Normal 3 2 2 2 8 2" xfId="3326" xr:uid="{5690405D-7C3A-4E28-A271-1DFF21588F53}"/>
    <cellStyle name="Normal 3 2 2 2 9" xfId="1825" xr:uid="{601276B4-A420-49E8-9800-0BF78F509E87}"/>
    <cellStyle name="Normal 3 2 2 20" xfId="937" xr:uid="{0F75EA0E-EEF4-46B5-93D0-3E886C107CB7}"/>
    <cellStyle name="Normal 3 2 2 20 2" xfId="2658" xr:uid="{946B316D-2708-442B-BEFF-3B5A70403B37}"/>
    <cellStyle name="Normal 3 2 2 21" xfId="1155" xr:uid="{8A79BD4B-001D-41A0-A51C-A44D304B0153}"/>
    <cellStyle name="Normal 3 2 2 21 2" xfId="2876" xr:uid="{2DB5660A-67A1-49A8-A60F-3869652679A7}"/>
    <cellStyle name="Normal 3 2 2 22" xfId="1373" xr:uid="{C9312123-1850-429A-8BFC-17A096E08F1E}"/>
    <cellStyle name="Normal 3 2 2 22 2" xfId="3094" xr:uid="{732393C8-D0DF-4F09-9AE0-0B3B54BF1CFF}"/>
    <cellStyle name="Normal 3 2 2 23" xfId="1592" xr:uid="{DE3469EF-E310-4529-A76E-AC667AB0AAB3}"/>
    <cellStyle name="Normal 3 2 2 23 2" xfId="3313" xr:uid="{3A852604-E568-458E-9F82-8726C70F2338}"/>
    <cellStyle name="Normal 3 2 2 24" xfId="1812" xr:uid="{5E0009E7-FF50-4EEE-884A-2B7715FA3389}"/>
    <cellStyle name="Normal 3 2 2 3" xfId="85" xr:uid="{745C12B2-8547-410C-B32B-BEEFE36945C5}"/>
    <cellStyle name="Normal 3 2 2 3 2" xfId="331" xr:uid="{5B749FAA-2D6B-42D8-9240-72403085AA09}"/>
    <cellStyle name="Normal 3 2 2 3 2 2" xfId="2030" xr:uid="{455F8809-A3A2-4F5F-BE88-ADB39734487E}"/>
    <cellStyle name="Normal 3 2 2 3 3" xfId="527" xr:uid="{8D8C2714-8BB9-4F08-9FF6-B42E6F3BEF11}"/>
    <cellStyle name="Normal 3 2 2 3 3 2" xfId="2248" xr:uid="{E095E485-4825-45F9-BBF0-38C6A95DEB2E}"/>
    <cellStyle name="Normal 3 2 2 3 4" xfId="745" xr:uid="{3FD3BBF5-0388-40FC-B2DC-F8F88E012425}"/>
    <cellStyle name="Normal 3 2 2 3 4 2" xfId="2466" xr:uid="{036FA223-5F11-42B4-BC4A-51D0F333396F}"/>
    <cellStyle name="Normal 3 2 2 3 5" xfId="963" xr:uid="{F4079604-28D6-417D-A156-9F5FA9594CDD}"/>
    <cellStyle name="Normal 3 2 2 3 5 2" xfId="2684" xr:uid="{84443B7A-E9E8-4531-B46C-28733C0D3FA2}"/>
    <cellStyle name="Normal 3 2 2 3 6" xfId="1181" xr:uid="{90F06B7A-9025-4D16-AD80-F6D7E9FF0333}"/>
    <cellStyle name="Normal 3 2 2 3 6 2" xfId="2902" xr:uid="{CE60E954-A3D1-4EA6-917A-5B5F4B34A81D}"/>
    <cellStyle name="Normal 3 2 2 3 7" xfId="1399" xr:uid="{4FC64C92-4D2F-410D-934D-1E65FA92DEF8}"/>
    <cellStyle name="Normal 3 2 2 3 7 2" xfId="3120" xr:uid="{630A68BA-422B-44D0-8842-21733B77F82A}"/>
    <cellStyle name="Normal 3 2 2 3 8" xfId="1618" xr:uid="{83B1CE91-4B27-4EBC-81F2-62FB0AFC4377}"/>
    <cellStyle name="Normal 3 2 2 3 8 2" xfId="3339" xr:uid="{172EB01E-58F2-4D98-B7B7-428F546523EA}"/>
    <cellStyle name="Normal 3 2 2 3 9" xfId="1838" xr:uid="{F46DE058-D79C-4C88-9C79-C41DA2125B11}"/>
    <cellStyle name="Normal 3 2 2 4" xfId="98" xr:uid="{7CC6CAA4-0494-4F73-9E52-22E3D83E1337}"/>
    <cellStyle name="Normal 3 2 2 4 2" xfId="344" xr:uid="{A9784F9C-D1CB-4E59-B873-B98FC87674C0}"/>
    <cellStyle name="Normal 3 2 2 4 2 2" xfId="2043" xr:uid="{D5EE85B3-B66C-49AD-967D-E818E641EF1D}"/>
    <cellStyle name="Normal 3 2 2 4 3" xfId="540" xr:uid="{137DD094-4393-48F6-884F-A180BEEFCFB5}"/>
    <cellStyle name="Normal 3 2 2 4 3 2" xfId="2261" xr:uid="{E9EA5C24-B722-4A26-A365-D12A8592668F}"/>
    <cellStyle name="Normal 3 2 2 4 4" xfId="758" xr:uid="{49246604-3394-4785-85A2-280C90812083}"/>
    <cellStyle name="Normal 3 2 2 4 4 2" xfId="2479" xr:uid="{290BD74D-ACDD-4229-9DD0-968BC8742930}"/>
    <cellStyle name="Normal 3 2 2 4 5" xfId="976" xr:uid="{34C10822-C919-4157-849D-4FCC0E7BC2F7}"/>
    <cellStyle name="Normal 3 2 2 4 5 2" xfId="2697" xr:uid="{8237B557-CF0F-46B7-977F-2F41A77F2946}"/>
    <cellStyle name="Normal 3 2 2 4 6" xfId="1194" xr:uid="{D867D12A-A735-41FD-AC95-EFAE06D3BE96}"/>
    <cellStyle name="Normal 3 2 2 4 6 2" xfId="2915" xr:uid="{C89F00DF-3148-4C4A-9D57-9A17DD3AE658}"/>
    <cellStyle name="Normal 3 2 2 4 7" xfId="1412" xr:uid="{005FB738-2C4B-43F0-81B5-E6E3BCA4B0E7}"/>
    <cellStyle name="Normal 3 2 2 4 7 2" xfId="3133" xr:uid="{06520219-5969-4531-8833-5E1D3090B7FE}"/>
    <cellStyle name="Normal 3 2 2 4 8" xfId="1631" xr:uid="{1E62F8EE-57BE-4DEB-9F4A-3DE5075B9990}"/>
    <cellStyle name="Normal 3 2 2 4 8 2" xfId="3352" xr:uid="{33E8D195-F69F-45BE-8339-64B95C646682}"/>
    <cellStyle name="Normal 3 2 2 4 9" xfId="1851" xr:uid="{51F80B32-E7F7-4C2E-BA6B-00B1DED546CF}"/>
    <cellStyle name="Normal 3 2 2 5" xfId="111" xr:uid="{73C3C74D-F12B-44CF-BD03-5F012451A67F}"/>
    <cellStyle name="Normal 3 2 2 5 2" xfId="357" xr:uid="{E9E5BA42-68F8-404D-A60C-4E64FA76E31D}"/>
    <cellStyle name="Normal 3 2 2 5 2 2" xfId="2056" xr:uid="{BF60D364-D4DC-4A64-937A-B4F02C5F4492}"/>
    <cellStyle name="Normal 3 2 2 5 3" xfId="553" xr:uid="{B61E9CE0-17C0-490E-B25B-C680067F5D78}"/>
    <cellStyle name="Normal 3 2 2 5 3 2" xfId="2274" xr:uid="{1BD28E3A-DAF1-4C6D-9910-AAF293AFF335}"/>
    <cellStyle name="Normal 3 2 2 5 4" xfId="771" xr:uid="{7342ABAE-929A-465F-9718-D4BC9C8603C7}"/>
    <cellStyle name="Normal 3 2 2 5 4 2" xfId="2492" xr:uid="{40BE76C7-C0C3-4BAF-92FB-E6D43214A082}"/>
    <cellStyle name="Normal 3 2 2 5 5" xfId="989" xr:uid="{1ACB4BEA-ECCA-45A0-9C6C-CF66310580FA}"/>
    <cellStyle name="Normal 3 2 2 5 5 2" xfId="2710" xr:uid="{28FFBEA5-D4C1-4074-8F0E-834D89B8B473}"/>
    <cellStyle name="Normal 3 2 2 5 6" xfId="1207" xr:uid="{A84DD458-1C0B-4CD1-8AD8-FC11A10E90F9}"/>
    <cellStyle name="Normal 3 2 2 5 6 2" xfId="2928" xr:uid="{5003B6E0-7993-4ACB-A88A-B619A7D8D7EE}"/>
    <cellStyle name="Normal 3 2 2 5 7" xfId="1425" xr:uid="{59358823-A4D0-4BF7-8A67-08D70BC26FB1}"/>
    <cellStyle name="Normal 3 2 2 5 7 2" xfId="3146" xr:uid="{8E2E1EE8-83A4-43BD-8A70-DEFD08769A28}"/>
    <cellStyle name="Normal 3 2 2 5 8" xfId="1644" xr:uid="{F95D9865-5BFC-41A3-95F8-00BABF03D170}"/>
    <cellStyle name="Normal 3 2 2 5 8 2" xfId="3365" xr:uid="{DD96E7F3-E228-43E2-9FF8-40ED450FFB3F}"/>
    <cellStyle name="Normal 3 2 2 5 9" xfId="1864" xr:uid="{F0D98330-9902-4D98-B023-93BE288A826F}"/>
    <cellStyle name="Normal 3 2 2 6" xfId="124" xr:uid="{39EC6900-FF77-4603-B2B1-B4ACA8D5E4F0}"/>
    <cellStyle name="Normal 3 2 2 6 2" xfId="370" xr:uid="{FF0B64D7-8385-48E0-B4F4-D58DEB136720}"/>
    <cellStyle name="Normal 3 2 2 6 2 2" xfId="2069" xr:uid="{056C7E91-8846-41AC-AA83-AEB835756E81}"/>
    <cellStyle name="Normal 3 2 2 6 3" xfId="566" xr:uid="{BB295024-3990-41D1-AE7E-17B6A13BFD3F}"/>
    <cellStyle name="Normal 3 2 2 6 3 2" xfId="2287" xr:uid="{3A213305-234B-479D-BAFB-7F1C411C2058}"/>
    <cellStyle name="Normal 3 2 2 6 4" xfId="784" xr:uid="{7FA5F075-8EA5-4794-9531-34F3EDF88482}"/>
    <cellStyle name="Normal 3 2 2 6 4 2" xfId="2505" xr:uid="{10AB462F-4C9B-49E9-9F56-0A1FA5C26234}"/>
    <cellStyle name="Normal 3 2 2 6 5" xfId="1002" xr:uid="{3DF0A242-2E28-4204-8D20-0E8DD47208D6}"/>
    <cellStyle name="Normal 3 2 2 6 5 2" xfId="2723" xr:uid="{39C447F3-B42B-43BC-A2DA-73160AA6A452}"/>
    <cellStyle name="Normal 3 2 2 6 6" xfId="1220" xr:uid="{49E1BACB-DDB1-403E-9BC8-C8D8A6521612}"/>
    <cellStyle name="Normal 3 2 2 6 6 2" xfId="2941" xr:uid="{032B42ED-E5A8-4E31-8F07-D32FEA6FB455}"/>
    <cellStyle name="Normal 3 2 2 6 7" xfId="1438" xr:uid="{726EBC2A-65DC-40BA-BC3C-2D10F363742A}"/>
    <cellStyle name="Normal 3 2 2 6 7 2" xfId="3159" xr:uid="{9A7F3FF2-288B-405C-B6A8-B40A41BB1066}"/>
    <cellStyle name="Normal 3 2 2 6 8" xfId="1657" xr:uid="{DFC4EDCE-04AA-426A-9452-386D9C1E8322}"/>
    <cellStyle name="Normal 3 2 2 6 8 2" xfId="3378" xr:uid="{970C5498-DE3D-4E16-9334-ADCE58368B01}"/>
    <cellStyle name="Normal 3 2 2 6 9" xfId="1877" xr:uid="{6913A060-485E-46D0-B42E-09B9F530AE5D}"/>
    <cellStyle name="Normal 3 2 2 7" xfId="137" xr:uid="{CF48851C-1C76-4275-877E-435A3FEA5E65}"/>
    <cellStyle name="Normal 3 2 2 7 2" xfId="383" xr:uid="{F64EF7D4-7215-4828-AEBB-ACB1BA1D7AB9}"/>
    <cellStyle name="Normal 3 2 2 7 2 2" xfId="2082" xr:uid="{618E5793-7208-4CC4-9C7E-3C619F5F8C2F}"/>
    <cellStyle name="Normal 3 2 2 7 3" xfId="579" xr:uid="{CFB705B8-8E1C-4A07-AB27-6A96D2CBCAF4}"/>
    <cellStyle name="Normal 3 2 2 7 3 2" xfId="2300" xr:uid="{3EB0EE1A-1AB5-42C1-9040-67EAE291D434}"/>
    <cellStyle name="Normal 3 2 2 7 4" xfId="797" xr:uid="{5747AFF4-4A87-4632-8A55-28B8E26F0076}"/>
    <cellStyle name="Normal 3 2 2 7 4 2" xfId="2518" xr:uid="{E89ADA36-1D7A-437F-BA8C-D56A87F7FBFE}"/>
    <cellStyle name="Normal 3 2 2 7 5" xfId="1015" xr:uid="{12B9F7F3-0877-4815-B094-39D2DC96DEA4}"/>
    <cellStyle name="Normal 3 2 2 7 5 2" xfId="2736" xr:uid="{89294042-4B51-476E-94DE-A78A3F47FF93}"/>
    <cellStyle name="Normal 3 2 2 7 6" xfId="1233" xr:uid="{355900D2-005C-4BAD-8778-4483EBF1B6CB}"/>
    <cellStyle name="Normal 3 2 2 7 6 2" xfId="2954" xr:uid="{241C1425-AAB5-4418-9869-1D17FE230721}"/>
    <cellStyle name="Normal 3 2 2 7 7" xfId="1451" xr:uid="{27B2CF79-60DD-4B42-911C-0F25BA617CAC}"/>
    <cellStyle name="Normal 3 2 2 7 7 2" xfId="3172" xr:uid="{3084AE5E-AAF9-4A59-81B6-6959C7C1C950}"/>
    <cellStyle name="Normal 3 2 2 7 8" xfId="1670" xr:uid="{CA9775C6-A4D7-4B87-94E3-E7E7A2A361D9}"/>
    <cellStyle name="Normal 3 2 2 7 8 2" xfId="3391" xr:uid="{23F8F1A7-0865-4401-8C00-A70734390BCE}"/>
    <cellStyle name="Normal 3 2 2 7 9" xfId="1890" xr:uid="{7D3DCCA9-4FB9-47B6-BCE2-93571EC9D9E0}"/>
    <cellStyle name="Normal 3 2 2 8" xfId="150" xr:uid="{EB393741-7EFE-4768-8C7F-2AC81471DCA5}"/>
    <cellStyle name="Normal 3 2 2 8 2" xfId="396" xr:uid="{42F86A51-8822-4E4F-84BD-673C0850836F}"/>
    <cellStyle name="Normal 3 2 2 8 2 2" xfId="2095" xr:uid="{4A14307B-936B-41D4-92A4-ED6A1E58B4B0}"/>
    <cellStyle name="Normal 3 2 2 8 3" xfId="592" xr:uid="{8851763B-F827-4CA3-BAE4-F365A4D252C9}"/>
    <cellStyle name="Normal 3 2 2 8 3 2" xfId="2313" xr:uid="{1F7F2BD2-7DDE-45E9-861D-BD62056462A7}"/>
    <cellStyle name="Normal 3 2 2 8 4" xfId="810" xr:uid="{5255A3B0-B0DD-46F4-A5C3-1BA522903D19}"/>
    <cellStyle name="Normal 3 2 2 8 4 2" xfId="2531" xr:uid="{6032B773-C894-40BC-B22D-F9D3FFFE2F21}"/>
    <cellStyle name="Normal 3 2 2 8 5" xfId="1028" xr:uid="{55987F22-F427-4927-BBDA-FF127FE3B2AD}"/>
    <cellStyle name="Normal 3 2 2 8 5 2" xfId="2749" xr:uid="{96F1C31B-5440-46E5-A650-F2F27FD7EBB7}"/>
    <cellStyle name="Normal 3 2 2 8 6" xfId="1246" xr:uid="{D11B5CFC-DE56-4883-980D-AEF28D07602B}"/>
    <cellStyle name="Normal 3 2 2 8 6 2" xfId="2967" xr:uid="{B4FC6DE7-C048-42EB-8323-F8224187B52D}"/>
    <cellStyle name="Normal 3 2 2 8 7" xfId="1464" xr:uid="{E534D8C8-6838-461B-B759-BD56D123CBF7}"/>
    <cellStyle name="Normal 3 2 2 8 7 2" xfId="3185" xr:uid="{38C99E62-0558-4C0A-9B3A-611A809AEF45}"/>
    <cellStyle name="Normal 3 2 2 8 8" xfId="1683" xr:uid="{CC5093A9-FFED-4FDB-A129-7592B12C616D}"/>
    <cellStyle name="Normal 3 2 2 8 8 2" xfId="3404" xr:uid="{1BDFAB71-0176-43E1-85B6-1D868573B673}"/>
    <cellStyle name="Normal 3 2 2 8 9" xfId="1903" xr:uid="{3D108C5B-948B-43D2-951E-D113E18915E5}"/>
    <cellStyle name="Normal 3 2 2 9" xfId="163" xr:uid="{D87DE2B8-2C95-44EE-B4FF-9A1DD5A3451D}"/>
    <cellStyle name="Normal 3 2 2 9 2" xfId="409" xr:uid="{4DEEC629-DEA7-4AC5-9B31-D8378E4A28DC}"/>
    <cellStyle name="Normal 3 2 2 9 2 2" xfId="2108" xr:uid="{1B28B127-547F-4E5B-B1BE-9B4F9A7196BF}"/>
    <cellStyle name="Normal 3 2 2 9 3" xfId="605" xr:uid="{DB4BFFB0-2793-4C92-8EDD-74B421EE5620}"/>
    <cellStyle name="Normal 3 2 2 9 3 2" xfId="2326" xr:uid="{8F551772-589A-41AC-8EC1-F20A0422AD9A}"/>
    <cellStyle name="Normal 3 2 2 9 4" xfId="823" xr:uid="{10A9251C-069E-44E0-BCBD-F9000A135C58}"/>
    <cellStyle name="Normal 3 2 2 9 4 2" xfId="2544" xr:uid="{6AA8EE7C-1814-4EA1-BD42-5232974F2B10}"/>
    <cellStyle name="Normal 3 2 2 9 5" xfId="1041" xr:uid="{8829082E-5650-4DF7-B776-3A852A2A2AD2}"/>
    <cellStyle name="Normal 3 2 2 9 5 2" xfId="2762" xr:uid="{41BE054A-A8A1-4731-9BB5-95892B0445E6}"/>
    <cellStyle name="Normal 3 2 2 9 6" xfId="1259" xr:uid="{E266DBD2-9CBF-4602-95AF-CDAB3C03A38B}"/>
    <cellStyle name="Normal 3 2 2 9 6 2" xfId="2980" xr:uid="{37C9E111-7870-40DB-8199-13CA087C1C8E}"/>
    <cellStyle name="Normal 3 2 2 9 7" xfId="1477" xr:uid="{2AFE865D-BA5A-46E3-98AD-8D75BAF87F59}"/>
    <cellStyle name="Normal 3 2 2 9 7 2" xfId="3198" xr:uid="{4D88DADC-63BC-4178-B4ED-ABA992DC388A}"/>
    <cellStyle name="Normal 3 2 2 9 8" xfId="1696" xr:uid="{6061210D-5411-4C4F-977C-9C42BAE48520}"/>
    <cellStyle name="Normal 3 2 2 9 8 2" xfId="3417" xr:uid="{42E87C40-BF25-4464-8073-6EC24807DFFC}"/>
    <cellStyle name="Normal 3 2 2 9 9" xfId="1916" xr:uid="{F2522A33-5D2A-496D-8828-A30B5D662C1E}"/>
    <cellStyle name="Normal 3 2 20" xfId="713" xr:uid="{8BA26F0D-BEC4-4E3D-B3C8-42E413B372BA}"/>
    <cellStyle name="Normal 3 2 20 2" xfId="2434" xr:uid="{738B7FE7-0A87-46F4-944B-0E8ADB45806D}"/>
    <cellStyle name="Normal 3 2 21" xfId="931" xr:uid="{5A81D50E-FD1D-4498-8272-FEA318DAA642}"/>
    <cellStyle name="Normal 3 2 21 2" xfId="2652" xr:uid="{8AD972E8-F888-4698-AD49-479B6BB97F50}"/>
    <cellStyle name="Normal 3 2 22" xfId="1149" xr:uid="{3DCFFF93-6337-49F7-BB08-44F1C2FF8AAC}"/>
    <cellStyle name="Normal 3 2 22 2" xfId="2870" xr:uid="{AFA85F3B-F5ED-45F8-BF7B-9293B567B00E}"/>
    <cellStyle name="Normal 3 2 23" xfId="1367" xr:uid="{30B7666A-6B6C-43E9-8957-188EE0F7A050}"/>
    <cellStyle name="Normal 3 2 23 2" xfId="3088" xr:uid="{900A766D-30A8-42F8-9A6D-5657B95D1748}"/>
    <cellStyle name="Normal 3 2 24" xfId="1586" xr:uid="{6D4D58F7-0FC7-4112-9F74-480ECE93BBA9}"/>
    <cellStyle name="Normal 3 2 24 2" xfId="3307" xr:uid="{95A6869B-0217-44F9-B5EA-7E6A178E4BDA}"/>
    <cellStyle name="Normal 3 2 25" xfId="1806" xr:uid="{46B2D9FD-2661-4AA0-8414-293E6D95E3DA}"/>
    <cellStyle name="Normal 3 2 26" xfId="285" xr:uid="{416DACFD-476B-4790-A4E9-0AC2CE46FECF}"/>
    <cellStyle name="Normal 3 2 3" xfId="66" xr:uid="{516009F1-3D45-462D-83B5-CAD34CB4C614}"/>
    <cellStyle name="Normal 3 2 3 2" xfId="312" xr:uid="{424310A1-B18B-4F3E-9933-D6A4FC4B0387}"/>
    <cellStyle name="Normal 3 2 3 2 2" xfId="2011" xr:uid="{2B7E3344-94ED-4299-A0F4-9997AF5E4537}"/>
    <cellStyle name="Normal 3 2 3 3" xfId="508" xr:uid="{2C975A6D-1840-4E64-B767-50222FD5E169}"/>
    <cellStyle name="Normal 3 2 3 3 2" xfId="2229" xr:uid="{6725103E-7A2D-475B-AAED-B2D764E72E36}"/>
    <cellStyle name="Normal 3 2 3 4" xfId="726" xr:uid="{604ABF3C-2256-41BE-98D3-6069B147DD41}"/>
    <cellStyle name="Normal 3 2 3 4 2" xfId="2447" xr:uid="{2EF47FEF-2375-4C53-A2FB-34132A95CC08}"/>
    <cellStyle name="Normal 3 2 3 5" xfId="944" xr:uid="{40109E5F-C012-410E-B3DD-FFCFCCC9D171}"/>
    <cellStyle name="Normal 3 2 3 5 2" xfId="2665" xr:uid="{0725EF98-ABD4-446A-A9DA-44753EB2620D}"/>
    <cellStyle name="Normal 3 2 3 6" xfId="1162" xr:uid="{F4146956-8A47-4463-A25A-5896EC33567E}"/>
    <cellStyle name="Normal 3 2 3 6 2" xfId="2883" xr:uid="{9E62ACD8-DD2E-4B50-ADC8-2C5315536E8B}"/>
    <cellStyle name="Normal 3 2 3 7" xfId="1380" xr:uid="{75F663FD-D3B2-4BD8-BFC3-C80EE957939E}"/>
    <cellStyle name="Normal 3 2 3 7 2" xfId="3101" xr:uid="{EF99A052-7223-478A-B1C2-2E5D33924438}"/>
    <cellStyle name="Normal 3 2 3 8" xfId="1599" xr:uid="{6AA01644-8643-4F20-865F-FA560C8A5522}"/>
    <cellStyle name="Normal 3 2 3 8 2" xfId="3320" xr:uid="{B246C166-80BD-44D4-A256-68A3E0D67F8A}"/>
    <cellStyle name="Normal 3 2 3 9" xfId="1819" xr:uid="{323AF78E-CB87-4639-B128-6E428FEE285D}"/>
    <cellStyle name="Normal 3 2 4" xfId="79" xr:uid="{B9C30784-FC12-4F03-97D4-1E96B2195155}"/>
    <cellStyle name="Normal 3 2 4 2" xfId="325" xr:uid="{C0779B03-163F-45E9-BCB8-DA5A46E2D716}"/>
    <cellStyle name="Normal 3 2 4 2 2" xfId="2024" xr:uid="{E3CD461C-7F83-4BB7-AE2A-31F338A8E9CC}"/>
    <cellStyle name="Normal 3 2 4 3" xfId="521" xr:uid="{12F85AF9-06D6-48E8-B53C-C00191798355}"/>
    <cellStyle name="Normal 3 2 4 3 2" xfId="2242" xr:uid="{759F24E4-8F17-430C-A07A-74FE855D5E2A}"/>
    <cellStyle name="Normal 3 2 4 4" xfId="739" xr:uid="{F9C8C208-C000-4E6D-96A5-5954F9E4B672}"/>
    <cellStyle name="Normal 3 2 4 4 2" xfId="2460" xr:uid="{DE686FA6-490F-4C3D-BD1E-5320F8478D24}"/>
    <cellStyle name="Normal 3 2 4 5" xfId="957" xr:uid="{04072382-B0AB-420F-B680-D26B07FA565B}"/>
    <cellStyle name="Normal 3 2 4 5 2" xfId="2678" xr:uid="{70AF60DC-50F8-45D6-8B39-B55E5A4558FA}"/>
    <cellStyle name="Normal 3 2 4 6" xfId="1175" xr:uid="{2B2347F9-1AE7-4064-B264-9469A17112D9}"/>
    <cellStyle name="Normal 3 2 4 6 2" xfId="2896" xr:uid="{DC81A32F-2D56-4434-8646-FF6EB08C0342}"/>
    <cellStyle name="Normal 3 2 4 7" xfId="1393" xr:uid="{EA612539-1D81-492A-B6F7-7DA3FE15526C}"/>
    <cellStyle name="Normal 3 2 4 7 2" xfId="3114" xr:uid="{9571B6E9-9761-4D1B-BB60-DEE23049E68D}"/>
    <cellStyle name="Normal 3 2 4 8" xfId="1612" xr:uid="{A150A52E-D93E-4EA4-9123-70800DAB6503}"/>
    <cellStyle name="Normal 3 2 4 8 2" xfId="3333" xr:uid="{A69EAA62-191C-4295-BE07-1AC4159156C1}"/>
    <cellStyle name="Normal 3 2 4 9" xfId="1832" xr:uid="{A5626278-F0A9-4B4C-A131-1A6F9B8A3AC3}"/>
    <cellStyle name="Normal 3 2 5" xfId="92" xr:uid="{BB716FF8-5BB9-4BCB-A943-B30A17973FED}"/>
    <cellStyle name="Normal 3 2 5 2" xfId="338" xr:uid="{5DC76BCE-07CE-4D0F-BCC3-3D52FA075AE6}"/>
    <cellStyle name="Normal 3 2 5 2 2" xfId="2037" xr:uid="{8365D2E3-0DE1-434E-AA75-CBB5E120D4EC}"/>
    <cellStyle name="Normal 3 2 5 3" xfId="534" xr:uid="{ED2DD155-E676-492D-B422-104A937EAC16}"/>
    <cellStyle name="Normal 3 2 5 3 2" xfId="2255" xr:uid="{91168591-3FB1-4C07-BB45-1149159B184D}"/>
    <cellStyle name="Normal 3 2 5 4" xfId="752" xr:uid="{D8737E5B-F97F-4DE2-9718-A896787080CB}"/>
    <cellStyle name="Normal 3 2 5 4 2" xfId="2473" xr:uid="{DA6B9EC6-FD57-49B8-B296-6E17660BE459}"/>
    <cellStyle name="Normal 3 2 5 5" xfId="970" xr:uid="{127F82A4-5E06-4CFB-B7A9-DC726585A565}"/>
    <cellStyle name="Normal 3 2 5 5 2" xfId="2691" xr:uid="{89A9CC59-BB1D-4B54-AAB2-31682A14276A}"/>
    <cellStyle name="Normal 3 2 5 6" xfId="1188" xr:uid="{EE7EC0A7-6C47-42C2-9F5D-8BB14484790D}"/>
    <cellStyle name="Normal 3 2 5 6 2" xfId="2909" xr:uid="{BFF69F3D-2D59-4BC5-AFF1-CFD573E7975C}"/>
    <cellStyle name="Normal 3 2 5 7" xfId="1406" xr:uid="{480754BE-B7E0-47D5-A4DC-DA2660991678}"/>
    <cellStyle name="Normal 3 2 5 7 2" xfId="3127" xr:uid="{B6FAEB89-5160-4408-A892-9A77CFA6357E}"/>
    <cellStyle name="Normal 3 2 5 8" xfId="1625" xr:uid="{61E152F0-C3E8-441A-A516-CB96DAAF90C8}"/>
    <cellStyle name="Normal 3 2 5 8 2" xfId="3346" xr:uid="{47BC01A7-44B6-48C7-99DF-89F8B00B464C}"/>
    <cellStyle name="Normal 3 2 5 9" xfId="1845" xr:uid="{A37B0961-463F-414F-A5F7-A0270F00C6A2}"/>
    <cellStyle name="Normal 3 2 6" xfId="105" xr:uid="{09EF2303-AAEF-4D6F-805D-E29535A2E5C7}"/>
    <cellStyle name="Normal 3 2 6 2" xfId="351" xr:uid="{16ED0529-BDE2-4932-8A6F-CA4C00FBABBB}"/>
    <cellStyle name="Normal 3 2 6 2 2" xfId="2050" xr:uid="{D9D22355-8D92-496B-B33D-93955732F3E7}"/>
    <cellStyle name="Normal 3 2 6 3" xfId="547" xr:uid="{48F7FA6B-6BFB-4AAE-BEC1-6AF7DD229457}"/>
    <cellStyle name="Normal 3 2 6 3 2" xfId="2268" xr:uid="{E59F228B-577F-4130-B8BB-56CFE682921E}"/>
    <cellStyle name="Normal 3 2 6 4" xfId="765" xr:uid="{3A7590AD-A011-4DFE-85DF-1E5F50ED5DEB}"/>
    <cellStyle name="Normal 3 2 6 4 2" xfId="2486" xr:uid="{2DEB6DFA-A3BC-41ED-9100-BE5C6D69952E}"/>
    <cellStyle name="Normal 3 2 6 5" xfId="983" xr:uid="{50D20236-65E1-4BE6-95F1-28CD95878A36}"/>
    <cellStyle name="Normal 3 2 6 5 2" xfId="2704" xr:uid="{A8E48C1C-9233-47CC-9F63-EA7EB08C0FB4}"/>
    <cellStyle name="Normal 3 2 6 6" xfId="1201" xr:uid="{99B7D05A-9CA7-4793-967C-B45C3945EFAC}"/>
    <cellStyle name="Normal 3 2 6 6 2" xfId="2922" xr:uid="{9BB28DF5-495A-4F44-88E5-A34F345AE159}"/>
    <cellStyle name="Normal 3 2 6 7" xfId="1419" xr:uid="{993AA5C5-AE70-4A36-A40E-EA7F1D54673F}"/>
    <cellStyle name="Normal 3 2 6 7 2" xfId="3140" xr:uid="{16714E35-8EA5-4060-9D45-00B3B5777A0C}"/>
    <cellStyle name="Normal 3 2 6 8" xfId="1638" xr:uid="{7753B642-98B5-44E5-9EBF-2D7DF3AE0436}"/>
    <cellStyle name="Normal 3 2 6 8 2" xfId="3359" xr:uid="{97BB88CB-B4C0-48C9-862F-6DE4E2CCB01E}"/>
    <cellStyle name="Normal 3 2 6 9" xfId="1858" xr:uid="{539CF750-BA3B-4CF6-B18A-A4A4D6BE1D90}"/>
    <cellStyle name="Normal 3 2 7" xfId="118" xr:uid="{D700900F-60D2-4FCF-8465-FA7F116D6780}"/>
    <cellStyle name="Normal 3 2 7 2" xfId="364" xr:uid="{6D4B5792-AB39-47F9-945A-BF97EC2D3A18}"/>
    <cellStyle name="Normal 3 2 7 2 2" xfId="2063" xr:uid="{EE8A518B-1A20-4A98-BE70-D0BFFAD422F8}"/>
    <cellStyle name="Normal 3 2 7 3" xfId="560" xr:uid="{89AACF37-DB67-4C38-96E9-A3E96E7007C5}"/>
    <cellStyle name="Normal 3 2 7 3 2" xfId="2281" xr:uid="{5ABFCC6C-0E09-433D-B2D2-EE0BBACCEF24}"/>
    <cellStyle name="Normal 3 2 7 4" xfId="778" xr:uid="{78537D1B-912C-4E07-95E7-DAD2141C68C7}"/>
    <cellStyle name="Normal 3 2 7 4 2" xfId="2499" xr:uid="{E49449B1-9515-49E2-B89F-A770E5CD4DF0}"/>
    <cellStyle name="Normal 3 2 7 5" xfId="996" xr:uid="{A5BC1E5D-8CD1-4DE2-BD91-C80FF7C811A7}"/>
    <cellStyle name="Normal 3 2 7 5 2" xfId="2717" xr:uid="{1921540A-A683-4FEA-955E-B3DDEBBA9397}"/>
    <cellStyle name="Normal 3 2 7 6" xfId="1214" xr:uid="{5A38B788-853A-4288-B453-C2916F3C8930}"/>
    <cellStyle name="Normal 3 2 7 6 2" xfId="2935" xr:uid="{0F086D4A-9175-48F5-9CAD-15DC20628EEB}"/>
    <cellStyle name="Normal 3 2 7 7" xfId="1432" xr:uid="{862D10F3-9CF0-475D-B91C-4D3147AFDCAC}"/>
    <cellStyle name="Normal 3 2 7 7 2" xfId="3153" xr:uid="{DC6B681F-F9DF-4A35-8401-094A6AC0F6DA}"/>
    <cellStyle name="Normal 3 2 7 8" xfId="1651" xr:uid="{21BBEA6B-95C2-44CD-8C14-C4F6357B9F2D}"/>
    <cellStyle name="Normal 3 2 7 8 2" xfId="3372" xr:uid="{D4BF86BB-4217-4821-A519-81D518A7AEBB}"/>
    <cellStyle name="Normal 3 2 7 9" xfId="1871" xr:uid="{5425BF2F-71F9-4124-9BFC-3234B3E26894}"/>
    <cellStyle name="Normal 3 2 8" xfId="131" xr:uid="{02C13687-084D-45C0-97BD-BF50BE659378}"/>
    <cellStyle name="Normal 3 2 8 2" xfId="377" xr:uid="{A221384E-8285-4DFD-A2A4-0BEFC26A1D41}"/>
    <cellStyle name="Normal 3 2 8 2 2" xfId="2076" xr:uid="{7B3E47A7-2611-441F-BA51-5EFDBB9E9E15}"/>
    <cellStyle name="Normal 3 2 8 3" xfId="573" xr:uid="{E5380A22-3304-4309-9BE7-E97C0A71FE2F}"/>
    <cellStyle name="Normal 3 2 8 3 2" xfId="2294" xr:uid="{045424D4-AEDA-4308-BF19-B66EE12935B0}"/>
    <cellStyle name="Normal 3 2 8 4" xfId="791" xr:uid="{8CB1F740-9089-4462-B222-ACEEDFB100C2}"/>
    <cellStyle name="Normal 3 2 8 4 2" xfId="2512" xr:uid="{3EC60483-8C84-4DD0-8BA9-0A345A59FBA5}"/>
    <cellStyle name="Normal 3 2 8 5" xfId="1009" xr:uid="{EF23D382-10AD-4CA1-B7E0-99F05E5486C4}"/>
    <cellStyle name="Normal 3 2 8 5 2" xfId="2730" xr:uid="{7E1C2B32-042B-482B-96D7-206005DCAC78}"/>
    <cellStyle name="Normal 3 2 8 6" xfId="1227" xr:uid="{C1A73C50-BDF7-4258-9025-7047F9054FD5}"/>
    <cellStyle name="Normal 3 2 8 6 2" xfId="2948" xr:uid="{43504778-31CA-44FF-8961-728730ED4E6D}"/>
    <cellStyle name="Normal 3 2 8 7" xfId="1445" xr:uid="{7F47C841-7080-4E5B-B1A9-60EBB4513EAA}"/>
    <cellStyle name="Normal 3 2 8 7 2" xfId="3166" xr:uid="{9CD2575D-9696-4374-8F4B-67697CA88C7E}"/>
    <cellStyle name="Normal 3 2 8 8" xfId="1664" xr:uid="{4DA202C0-B881-4868-AD68-3EA6E985C497}"/>
    <cellStyle name="Normal 3 2 8 8 2" xfId="3385" xr:uid="{DF9B5381-53C8-46AE-B501-6C356D3C6D23}"/>
    <cellStyle name="Normal 3 2 8 9" xfId="1884" xr:uid="{8A3D6791-1F2B-4692-A826-BE2C368CAAC3}"/>
    <cellStyle name="Normal 3 2 9" xfId="144" xr:uid="{BCD88C98-A45D-4354-9503-895667EBE102}"/>
    <cellStyle name="Normal 3 2 9 2" xfId="390" xr:uid="{869CC37A-CD0E-47C0-9584-67AEAEAFC097}"/>
    <cellStyle name="Normal 3 2 9 2 2" xfId="2089" xr:uid="{523BD365-5AD8-4551-A0FF-1FB53B64D33B}"/>
    <cellStyle name="Normal 3 2 9 3" xfId="586" xr:uid="{21939D05-0F81-438C-9A2D-95835985CF34}"/>
    <cellStyle name="Normal 3 2 9 3 2" xfId="2307" xr:uid="{C1C73D2E-B9AA-420F-9DB8-9B1FBBD53381}"/>
    <cellStyle name="Normal 3 2 9 4" xfId="804" xr:uid="{D1FF56DC-4472-44EC-8A83-B00AE387AD28}"/>
    <cellStyle name="Normal 3 2 9 4 2" xfId="2525" xr:uid="{87967B7B-ED5B-4F72-9B84-5D154AD0C01C}"/>
    <cellStyle name="Normal 3 2 9 5" xfId="1022" xr:uid="{9F4D0BD7-7FB1-4B62-90D6-80A04B22A4DC}"/>
    <cellStyle name="Normal 3 2 9 5 2" xfId="2743" xr:uid="{6B7D9E97-7DB2-47B1-A6EB-A378BF5E24DD}"/>
    <cellStyle name="Normal 3 2 9 6" xfId="1240" xr:uid="{A7FDD0B9-53A8-4BB3-85E8-284EF5B6B46E}"/>
    <cellStyle name="Normal 3 2 9 6 2" xfId="2961" xr:uid="{B0FF0609-1260-4E61-BCF6-ED3E6BFF22DD}"/>
    <cellStyle name="Normal 3 2 9 7" xfId="1458" xr:uid="{1C01379D-68E0-4DE5-9555-620E666BF284}"/>
    <cellStyle name="Normal 3 2 9 7 2" xfId="3179" xr:uid="{DB111BEE-A05B-4DB7-B4A3-99FBAC184ED4}"/>
    <cellStyle name="Normal 3 2 9 8" xfId="1677" xr:uid="{8200B40C-3E49-4439-9873-CD37D4953444}"/>
    <cellStyle name="Normal 3 2 9 8 2" xfId="3398" xr:uid="{DBE46DD5-9BA3-46F9-BEF8-348BDC14FF05}"/>
    <cellStyle name="Normal 3 2 9 9" xfId="1897" xr:uid="{8A37B514-C910-411A-AC94-E56358591517}"/>
    <cellStyle name="Normal 3 20" xfId="52" xr:uid="{BE27C856-2F64-411A-B661-D3821946B687}"/>
    <cellStyle name="Normal 3 20 2" xfId="1995" xr:uid="{65E95A46-B5E5-4A56-8C2C-032518E89708}"/>
    <cellStyle name="Normal 3 21" xfId="492" xr:uid="{292DBDAE-F04A-4F8F-913B-98D703CDEEF2}"/>
    <cellStyle name="Normal 3 21 2" xfId="2213" xr:uid="{E6636D40-7931-4217-87BF-6C6718BDBB91}"/>
    <cellStyle name="Normal 3 22" xfId="710" xr:uid="{960978D5-BA8D-48A0-A961-EF030E411189}"/>
    <cellStyle name="Normal 3 22 2" xfId="2431" xr:uid="{9EBBD91B-A803-41A6-93AE-8D379F2657A5}"/>
    <cellStyle name="Normal 3 23" xfId="928" xr:uid="{0C2F1F22-BE84-46CE-8D98-F282FBA4D199}"/>
    <cellStyle name="Normal 3 23 2" xfId="2649" xr:uid="{6A13F12D-AB1A-43BF-9713-BB8A7A2FA4AC}"/>
    <cellStyle name="Normal 3 24" xfId="1146" xr:uid="{968EC383-70BA-4691-9832-81213BF6B1FA}"/>
    <cellStyle name="Normal 3 24 2" xfId="2867" xr:uid="{73930919-799A-488C-BDF0-FF6C1D6ADBB1}"/>
    <cellStyle name="Normal 3 25" xfId="1364" xr:uid="{1C13232E-30AB-4C3C-B424-AF1EF78839C2}"/>
    <cellStyle name="Normal 3 25 2" xfId="3085" xr:uid="{89E3E746-348B-4710-9AC4-97B6B9EA79A3}"/>
    <cellStyle name="Normal 3 26" xfId="1583" xr:uid="{87DB6ED0-31B7-43C1-B390-96637B8EF168}"/>
    <cellStyle name="Normal 3 26 2" xfId="3304" xr:uid="{1C48A4EF-D70E-4597-893A-B63453F30012}"/>
    <cellStyle name="Normal 3 27" xfId="1803" xr:uid="{93FB82A6-D65D-42C1-87A1-A21B5E981A79}"/>
    <cellStyle name="Normal 3 3" xfId="57" xr:uid="{52C2D2F5-57EF-48A1-B3F9-2FC2695E2EB1}"/>
    <cellStyle name="Normal 3 3 10" xfId="173" xr:uid="{7994E6DD-5754-4A9A-BB90-3423800584EA}"/>
    <cellStyle name="Normal 3 3 10 2" xfId="419" xr:uid="{5627D283-B888-4F7E-BF40-A145B3B7A851}"/>
    <cellStyle name="Normal 3 3 10 2 2" xfId="2118" xr:uid="{0FFFFA09-9D0E-4609-ADFD-BD4E84F6809A}"/>
    <cellStyle name="Normal 3 3 10 3" xfId="615" xr:uid="{589F99CB-F5A0-4B9E-9876-A2432E3C3AA9}"/>
    <cellStyle name="Normal 3 3 10 3 2" xfId="2336" xr:uid="{6D21ED0E-9DC3-4D3D-B76B-214FDA5842D2}"/>
    <cellStyle name="Normal 3 3 10 4" xfId="833" xr:uid="{928280DE-FF26-4EEB-A1C8-21449A68962A}"/>
    <cellStyle name="Normal 3 3 10 4 2" xfId="2554" xr:uid="{CC72928F-EF65-4609-A800-1CF4F900ECE8}"/>
    <cellStyle name="Normal 3 3 10 5" xfId="1051" xr:uid="{78BC6126-227F-488A-93A8-9D0A1BCF22D7}"/>
    <cellStyle name="Normal 3 3 10 5 2" xfId="2772" xr:uid="{320047D3-4A07-4D44-AC6F-2BB706D6621B}"/>
    <cellStyle name="Normal 3 3 10 6" xfId="1269" xr:uid="{C540DCF6-D698-49C8-95A2-0989B9343CB0}"/>
    <cellStyle name="Normal 3 3 10 6 2" xfId="2990" xr:uid="{948479C5-BC41-4B44-A2DB-A2FF2302F06D}"/>
    <cellStyle name="Normal 3 3 10 7" xfId="1487" xr:uid="{53BBCDB7-047B-4532-9485-D25223E373EA}"/>
    <cellStyle name="Normal 3 3 10 7 2" xfId="3208" xr:uid="{20D57F42-14DB-4D1E-854D-D187FF1D39CE}"/>
    <cellStyle name="Normal 3 3 10 8" xfId="1706" xr:uid="{5F6FB5D6-E9D2-4EEF-A5A7-01388CE99868}"/>
    <cellStyle name="Normal 3 3 10 8 2" xfId="3427" xr:uid="{371629AF-3FF1-4652-8462-F9941D531285}"/>
    <cellStyle name="Normal 3 3 10 9" xfId="1926" xr:uid="{84F4D666-2244-4CAD-85CD-E4D5045BF29B}"/>
    <cellStyle name="Normal 3 3 11" xfId="186" xr:uid="{8EE96142-49D1-4050-80F3-B624FD9EFE2E}"/>
    <cellStyle name="Normal 3 3 11 2" xfId="432" xr:uid="{EBFFFA6D-377E-4FE2-B65E-5B072784D703}"/>
    <cellStyle name="Normal 3 3 11 2 2" xfId="2131" xr:uid="{D059F413-3FFB-44CA-BDBA-7BBDF0BF676E}"/>
    <cellStyle name="Normal 3 3 11 3" xfId="628" xr:uid="{F3DA632E-4C1C-416B-8CB1-1793A9109B56}"/>
    <cellStyle name="Normal 3 3 11 3 2" xfId="2349" xr:uid="{ABDEC982-1ED0-4354-B019-650A024FB2CB}"/>
    <cellStyle name="Normal 3 3 11 4" xfId="846" xr:uid="{827FBCB9-0D61-4EBC-BDD5-CE9F649FC141}"/>
    <cellStyle name="Normal 3 3 11 4 2" xfId="2567" xr:uid="{0E333646-2D99-45AC-A2B6-1F65BFB50C53}"/>
    <cellStyle name="Normal 3 3 11 5" xfId="1064" xr:uid="{6B17418C-20AD-4423-80FF-77ADFF2C7F0E}"/>
    <cellStyle name="Normal 3 3 11 5 2" xfId="2785" xr:uid="{418FC17B-5435-4A07-B966-BBC70C4E2054}"/>
    <cellStyle name="Normal 3 3 11 6" xfId="1282" xr:uid="{17021BD3-58DC-42D7-99C3-AE64AF8EE93C}"/>
    <cellStyle name="Normal 3 3 11 6 2" xfId="3003" xr:uid="{2105B6B3-F91E-4A16-B3DF-68E9899BBBB5}"/>
    <cellStyle name="Normal 3 3 11 7" xfId="1500" xr:uid="{607DF826-7E38-462E-8072-AEEE0DC26332}"/>
    <cellStyle name="Normal 3 3 11 7 2" xfId="3221" xr:uid="{9891384B-5E82-4D8A-9A30-37B04C9D2985}"/>
    <cellStyle name="Normal 3 3 11 8" xfId="1719" xr:uid="{C1244FC9-3EBE-4340-A148-49A561B3E757}"/>
    <cellStyle name="Normal 3 3 11 8 2" xfId="3440" xr:uid="{B312E450-7058-4DEB-82BF-F281BED999DF}"/>
    <cellStyle name="Normal 3 3 11 9" xfId="1939" xr:uid="{9A791874-14E8-4650-AF75-EB1212392538}"/>
    <cellStyle name="Normal 3 3 12" xfId="199" xr:uid="{1C042199-B27F-43AD-9AD3-3272C3EF9C5F}"/>
    <cellStyle name="Normal 3 3 12 2" xfId="445" xr:uid="{0CF6D6B1-EF4D-4824-8E1B-FB6878196B57}"/>
    <cellStyle name="Normal 3 3 12 2 2" xfId="2144" xr:uid="{8F9BE69B-E606-449D-A430-174EBCD5F972}"/>
    <cellStyle name="Normal 3 3 12 3" xfId="641" xr:uid="{3AF2959B-86D8-4415-A018-8510AAE400CA}"/>
    <cellStyle name="Normal 3 3 12 3 2" xfId="2362" xr:uid="{0900561C-B06C-426D-83DC-619329B7F232}"/>
    <cellStyle name="Normal 3 3 12 4" xfId="859" xr:uid="{80591A6E-9C03-4915-896F-01541B501858}"/>
    <cellStyle name="Normal 3 3 12 4 2" xfId="2580" xr:uid="{093566B8-2AA0-41AC-9531-48EE9549DB46}"/>
    <cellStyle name="Normal 3 3 12 5" xfId="1077" xr:uid="{EFE12222-6E8F-4CB6-B611-3B58F5575930}"/>
    <cellStyle name="Normal 3 3 12 5 2" xfId="2798" xr:uid="{8084508B-0290-442E-9F14-E9BC44620A13}"/>
    <cellStyle name="Normal 3 3 12 6" xfId="1295" xr:uid="{2F286CDB-0564-4C61-8232-F5A0A4B4DB36}"/>
    <cellStyle name="Normal 3 3 12 6 2" xfId="3016" xr:uid="{D5740450-B02A-48D3-87AF-A413DA8E3D7E}"/>
    <cellStyle name="Normal 3 3 12 7" xfId="1513" xr:uid="{96A6FBA3-D185-4F55-9F3F-52A3BBFCBAE0}"/>
    <cellStyle name="Normal 3 3 12 7 2" xfId="3234" xr:uid="{5A4A8B74-CB80-41CF-B01E-813D054ED69F}"/>
    <cellStyle name="Normal 3 3 12 8" xfId="1732" xr:uid="{A3F389A8-FB2E-4A02-BC61-51C179AD6D31}"/>
    <cellStyle name="Normal 3 3 12 8 2" xfId="3453" xr:uid="{18B31239-D1A3-4458-B8FB-43ADCAFE8FDE}"/>
    <cellStyle name="Normal 3 3 12 9" xfId="1952" xr:uid="{65A63616-A0C7-4017-9B46-43D48205AE66}"/>
    <cellStyle name="Normal 3 3 13" xfId="224" xr:uid="{409F713A-846C-4BC1-B93C-728229548512}"/>
    <cellStyle name="Normal 3 3 13 2" xfId="468" xr:uid="{4452ACBA-1127-4B90-B889-340A77868E3D}"/>
    <cellStyle name="Normal 3 3 13 2 2" xfId="2167" xr:uid="{081DABE4-D7D0-41D0-951C-E3B1A7142281}"/>
    <cellStyle name="Normal 3 3 13 3" xfId="664" xr:uid="{3380C8C2-A5E6-4935-8205-14E68E208595}"/>
    <cellStyle name="Normal 3 3 13 3 2" xfId="2385" xr:uid="{8FC24526-290C-4051-9811-FB9EBBE93B4D}"/>
    <cellStyle name="Normal 3 3 13 4" xfId="882" xr:uid="{A4DFC73B-6CBE-4F35-9866-81017AE15A5F}"/>
    <cellStyle name="Normal 3 3 13 4 2" xfId="2603" xr:uid="{C0B406A1-5C57-43BD-8BFB-5B57F0022C0C}"/>
    <cellStyle name="Normal 3 3 13 5" xfId="1100" xr:uid="{B401E5CE-EE23-4265-BC5D-17CBC06FAA66}"/>
    <cellStyle name="Normal 3 3 13 5 2" xfId="2821" xr:uid="{405CA274-BC0C-4667-BBA6-B89C25220F3A}"/>
    <cellStyle name="Normal 3 3 13 6" xfId="1318" xr:uid="{B1D6DFFF-D1BD-45A2-B69E-D30BA40262FB}"/>
    <cellStyle name="Normal 3 3 13 6 2" xfId="3039" xr:uid="{0BD0C1E6-3950-4779-B920-48EAD69A33E3}"/>
    <cellStyle name="Normal 3 3 13 7" xfId="1536" xr:uid="{922F0C6B-3B7B-4C21-9121-F2E59757F9C8}"/>
    <cellStyle name="Normal 3 3 13 7 2" xfId="3257" xr:uid="{EE1E26C4-AD93-4A2F-934A-76F12179ECFF}"/>
    <cellStyle name="Normal 3 3 13 8" xfId="1755" xr:uid="{08470725-C22C-482E-9EB8-4BEFF549D620}"/>
    <cellStyle name="Normal 3 3 13 8 2" xfId="3476" xr:uid="{558BB5E0-E676-4931-981F-04EA0FEECDC2}"/>
    <cellStyle name="Normal 3 3 13 9" xfId="1975" xr:uid="{4E01E29D-1F98-443B-A50B-9ACC4AD5D6AA}"/>
    <cellStyle name="Normal 3 3 14" xfId="237" xr:uid="{E1C7AA74-33CB-4835-B284-9E42DF79356F}"/>
    <cellStyle name="Normal 3 3 14 2" xfId="481" xr:uid="{D0B1A2CD-A17B-4897-9520-5613AB2E1DB9}"/>
    <cellStyle name="Normal 3 3 14 2 2" xfId="2180" xr:uid="{6E6347A2-47E2-4486-B27C-FBC230CBB504}"/>
    <cellStyle name="Normal 3 3 14 3" xfId="677" xr:uid="{97C7DECE-C5F9-4584-A29D-B9C1942C501F}"/>
    <cellStyle name="Normal 3 3 14 3 2" xfId="2398" xr:uid="{5596FEC2-7E69-403F-9A78-D26523952B45}"/>
    <cellStyle name="Normal 3 3 14 4" xfId="895" xr:uid="{18F86010-ACBB-4E27-9E9C-7125CE2A271F}"/>
    <cellStyle name="Normal 3 3 14 4 2" xfId="2616" xr:uid="{24A07DC3-F445-44B0-8CC9-B2DA3394B5B6}"/>
    <cellStyle name="Normal 3 3 14 5" xfId="1113" xr:uid="{592E875E-3850-4143-99C6-A70909BBF538}"/>
    <cellStyle name="Normal 3 3 14 5 2" xfId="2834" xr:uid="{95E25E16-80AD-4E2C-8778-30EE4F74AC6D}"/>
    <cellStyle name="Normal 3 3 14 6" xfId="1331" xr:uid="{C34E3C52-16B7-4FE4-B7D2-E43C35555EA8}"/>
    <cellStyle name="Normal 3 3 14 6 2" xfId="3052" xr:uid="{ED02C0D9-188A-4F91-B1CA-D19A48285D5A}"/>
    <cellStyle name="Normal 3 3 14 7" xfId="1549" xr:uid="{9054AE21-E93C-4159-BDA8-568AE0CAD7E5}"/>
    <cellStyle name="Normal 3 3 14 7 2" xfId="3270" xr:uid="{BC1AF349-2EC3-4D41-9DCB-087E82EDEBEB}"/>
    <cellStyle name="Normal 3 3 14 8" xfId="1768" xr:uid="{B8A76FE3-835C-4DDA-9262-B3BDE150E881}"/>
    <cellStyle name="Normal 3 3 14 8 2" xfId="3489" xr:uid="{82505D9C-74E4-4246-AC6C-7C82108523DE}"/>
    <cellStyle name="Normal 3 3 14 9" xfId="1988" xr:uid="{DC85117A-9513-487A-A524-0E98A749E3CA}"/>
    <cellStyle name="Normal 3 3 15" xfId="250" xr:uid="{067D13BB-BE97-4296-A3D7-C33C7DF4F208}"/>
    <cellStyle name="Normal 3 3 15 2" xfId="690" xr:uid="{A350EE82-967A-4EFB-B0B0-8DAF4307BEDD}"/>
    <cellStyle name="Normal 3 3 15 2 2" xfId="2411" xr:uid="{ECA628F6-3057-47C6-859A-7C6FAE7201F5}"/>
    <cellStyle name="Normal 3 3 15 3" xfId="908" xr:uid="{E285BB1B-5EE4-4383-B7B8-D4B5497BBE95}"/>
    <cellStyle name="Normal 3 3 15 3 2" xfId="2629" xr:uid="{7269BC34-013A-4086-9EFF-C4D5E50F30F7}"/>
    <cellStyle name="Normal 3 3 15 4" xfId="1126" xr:uid="{3B182F1B-E8F7-4C51-9382-D653EE5D32CC}"/>
    <cellStyle name="Normal 3 3 15 4 2" xfId="2847" xr:uid="{467622ED-04F9-4FB0-BFE7-E4C81B0BAA2B}"/>
    <cellStyle name="Normal 3 3 15 5" xfId="1344" xr:uid="{9D6FC4F7-1AC6-4481-A538-766F6B411D23}"/>
    <cellStyle name="Normal 3 3 15 5 2" xfId="3065" xr:uid="{C73314F6-83A3-477A-A4BA-6EB39F8FB598}"/>
    <cellStyle name="Normal 3 3 15 6" xfId="1562" xr:uid="{04B69F9F-A1EF-469A-8AC6-4745F6036C41}"/>
    <cellStyle name="Normal 3 3 15 6 2" xfId="3283" xr:uid="{4429EC79-0305-4318-B65B-CB64A966A1D9}"/>
    <cellStyle name="Normal 3 3 15 7" xfId="1781" xr:uid="{FA613F1D-2522-4968-B5EB-92157008A8E2}"/>
    <cellStyle name="Normal 3 3 15 7 2" xfId="3502" xr:uid="{7CE4F55F-2D8A-4E43-80A4-F069EA55454B}"/>
    <cellStyle name="Normal 3 3 15 8" xfId="2193" xr:uid="{04B9CB07-4E0A-4605-9E82-16D01869E625}"/>
    <cellStyle name="Normal 3 3 16" xfId="263" xr:uid="{230BD979-4EC2-467A-8FB2-6709305F9ECE}"/>
    <cellStyle name="Normal 3 3 16 2" xfId="703" xr:uid="{EB4AB424-50D3-4C4F-8AE2-F5129EB9A12B}"/>
    <cellStyle name="Normal 3 3 16 2 2" xfId="2424" xr:uid="{79495FE4-7AC7-4A27-A2E5-FF183CD8F92A}"/>
    <cellStyle name="Normal 3 3 16 3" xfId="921" xr:uid="{3DCD6414-05E1-4326-A60D-339917F752AD}"/>
    <cellStyle name="Normal 3 3 16 3 2" xfId="2642" xr:uid="{CC1EEC03-75C0-4882-BFD4-2B7F14113F90}"/>
    <cellStyle name="Normal 3 3 16 4" xfId="1139" xr:uid="{0AF4CC47-6B42-4D63-A1F7-61AD136636CA}"/>
    <cellStyle name="Normal 3 3 16 4 2" xfId="2860" xr:uid="{F32E79D3-87D0-418C-8694-C048543E358D}"/>
    <cellStyle name="Normal 3 3 16 5" xfId="1357" xr:uid="{40DD6D73-6F66-4135-8665-A7C85AF40CAE}"/>
    <cellStyle name="Normal 3 3 16 5 2" xfId="3078" xr:uid="{38B545BF-6647-4ECE-9167-12F531F34776}"/>
    <cellStyle name="Normal 3 3 16 6" xfId="1575" xr:uid="{DAEFE2C3-0B8B-452A-B0C8-BD922A784B18}"/>
    <cellStyle name="Normal 3 3 16 6 2" xfId="3296" xr:uid="{8607AFF6-F3DB-486F-AB2C-159AAFA7CC9F}"/>
    <cellStyle name="Normal 3 3 16 7" xfId="1794" xr:uid="{63B95CFF-A8A8-4F87-9A8B-A9EBDEE35177}"/>
    <cellStyle name="Normal 3 3 16 7 2" xfId="3515" xr:uid="{1BE4C60B-9125-47A7-BA8D-60B1310328EE}"/>
    <cellStyle name="Normal 3 3 16 8" xfId="2206" xr:uid="{0091834A-A82A-4799-A4CB-8F31A4F30B28}"/>
    <cellStyle name="Normal 3 3 17" xfId="303" xr:uid="{7BA1DD8E-B937-4F5D-AF64-F7E783DC6E03}"/>
    <cellStyle name="Normal 3 3 17 2" xfId="2001" xr:uid="{07325841-BCEB-4DC4-BD10-A2A8902F4E48}"/>
    <cellStyle name="Normal 3 3 18" xfId="498" xr:uid="{AA22433B-B8D1-4378-BBA6-01F1CEFEA7DF}"/>
    <cellStyle name="Normal 3 3 18 2" xfId="2219" xr:uid="{81123AEB-62A3-486C-897B-9FB29C9C3E83}"/>
    <cellStyle name="Normal 3 3 19" xfId="716" xr:uid="{210C8CB0-0C3D-46BD-9C19-65BC23873727}"/>
    <cellStyle name="Normal 3 3 19 2" xfId="2437" xr:uid="{CB328062-6F4D-460C-A7E0-2A16E5FDEB7F}"/>
    <cellStyle name="Normal 3 3 2" xfId="69" xr:uid="{CCD8443D-B3F2-46CE-9DE8-EE8FF33CB1D6}"/>
    <cellStyle name="Normal 3 3 2 2" xfId="315" xr:uid="{D55E2CE5-AB1F-46B6-85C0-E4F283F2799A}"/>
    <cellStyle name="Normal 3 3 2 2 2" xfId="2014" xr:uid="{0A32D89E-7AA9-4E66-ACFA-A75EC1DD328B}"/>
    <cellStyle name="Normal 3 3 2 3" xfId="511" xr:uid="{8018C7F5-7C9B-4951-B584-A65BF47E0257}"/>
    <cellStyle name="Normal 3 3 2 3 2" xfId="2232" xr:uid="{7D16F572-2136-4CC0-8230-11329773E39D}"/>
    <cellStyle name="Normal 3 3 2 4" xfId="729" xr:uid="{817026F0-58E7-4014-BC64-E0BF580BC290}"/>
    <cellStyle name="Normal 3 3 2 4 2" xfId="2450" xr:uid="{9CC9DC17-CCEF-410D-A94D-AC93429563E4}"/>
    <cellStyle name="Normal 3 3 2 5" xfId="947" xr:uid="{DC15251F-FAB2-4124-87AF-E1DFD9D9E517}"/>
    <cellStyle name="Normal 3 3 2 5 2" xfId="2668" xr:uid="{35D0E9A2-C5C6-418D-8A2A-9105C6381F08}"/>
    <cellStyle name="Normal 3 3 2 6" xfId="1165" xr:uid="{F82DB97F-28C4-4677-9776-B9795E8F1FBA}"/>
    <cellStyle name="Normal 3 3 2 6 2" xfId="2886" xr:uid="{4E0D9183-5E5B-4593-96FE-683F34833C60}"/>
    <cellStyle name="Normal 3 3 2 7" xfId="1383" xr:uid="{99D6A31A-8CE0-4FDF-8F0E-783078B1206D}"/>
    <cellStyle name="Normal 3 3 2 7 2" xfId="3104" xr:uid="{51143FDB-BF16-4620-812C-E6412A041FFE}"/>
    <cellStyle name="Normal 3 3 2 8" xfId="1602" xr:uid="{EA9DE63D-FD2D-42CB-909E-4894AE5F11EC}"/>
    <cellStyle name="Normal 3 3 2 8 2" xfId="3323" xr:uid="{761AD2AC-A40B-4131-8C90-7D600D6808C0}"/>
    <cellStyle name="Normal 3 3 2 9" xfId="1822" xr:uid="{7920D822-FEF4-4598-9FB9-4B6F63FCBF4F}"/>
    <cellStyle name="Normal 3 3 20" xfId="934" xr:uid="{FFD8C5C8-265C-40CE-A737-ED899F5D0B89}"/>
    <cellStyle name="Normal 3 3 20 2" xfId="2655" xr:uid="{9451EEC3-F587-4FD2-B09B-AA53CAE870E9}"/>
    <cellStyle name="Normal 3 3 21" xfId="1152" xr:uid="{4247AF77-3EF5-4853-A824-146EA69EE88B}"/>
    <cellStyle name="Normal 3 3 21 2" xfId="2873" xr:uid="{43102AF6-F5F2-4EC3-A7FB-F4996CF69293}"/>
    <cellStyle name="Normal 3 3 22" xfId="1370" xr:uid="{2D6D3B77-F7C4-4887-8C4B-194E8F34A9FA}"/>
    <cellStyle name="Normal 3 3 22 2" xfId="3091" xr:uid="{7138D278-D134-4C2A-9823-2CA1BA0EAAB5}"/>
    <cellStyle name="Normal 3 3 23" xfId="1589" xr:uid="{8C8E4C99-8DF4-4129-8AD9-624D54AECBEB}"/>
    <cellStyle name="Normal 3 3 23 2" xfId="3310" xr:uid="{137D3E4B-6D96-46A9-957D-97C6EC46BD2F}"/>
    <cellStyle name="Normal 3 3 24" xfId="1809" xr:uid="{84D375FA-746B-41B5-90E8-8393D958087D}"/>
    <cellStyle name="Normal 3 3 3" xfId="82" xr:uid="{E6AFA984-FED8-434E-AC0A-E4DABD0332AD}"/>
    <cellStyle name="Normal 3 3 3 2" xfId="328" xr:uid="{80274558-142B-47EE-A6A0-4921D87BCF80}"/>
    <cellStyle name="Normal 3 3 3 2 2" xfId="2027" xr:uid="{53556E5D-BC26-4A8A-A3D0-32C4EB5BE08A}"/>
    <cellStyle name="Normal 3 3 3 3" xfId="524" xr:uid="{5D7BC045-02EC-4252-B92E-4C62BA621C22}"/>
    <cellStyle name="Normal 3 3 3 3 2" xfId="2245" xr:uid="{037789DF-A437-4262-B1DD-5FD8AF55EF75}"/>
    <cellStyle name="Normal 3 3 3 4" xfId="742" xr:uid="{18D4DF81-9C92-4A52-B012-9402988FECEF}"/>
    <cellStyle name="Normal 3 3 3 4 2" xfId="2463" xr:uid="{920B3D8C-2BF8-4A5A-B2CF-BFFE06B68699}"/>
    <cellStyle name="Normal 3 3 3 5" xfId="960" xr:uid="{6E464C37-DB5E-4F1E-B85D-43F22029AFC2}"/>
    <cellStyle name="Normal 3 3 3 5 2" xfId="2681" xr:uid="{EE803A2F-911E-495D-B19F-67C90E87BA9E}"/>
    <cellStyle name="Normal 3 3 3 6" xfId="1178" xr:uid="{8297C2E3-2F3B-4A60-B06E-093164D5CC55}"/>
    <cellStyle name="Normal 3 3 3 6 2" xfId="2899" xr:uid="{31727CD8-BD3C-48C9-B13A-CD4B7DDE63D1}"/>
    <cellStyle name="Normal 3 3 3 7" xfId="1396" xr:uid="{6BDB6F8A-0F02-4519-943A-66948D0A5BA3}"/>
    <cellStyle name="Normal 3 3 3 7 2" xfId="3117" xr:uid="{A66C4C06-C437-4B88-BCF0-E4247235DAAC}"/>
    <cellStyle name="Normal 3 3 3 8" xfId="1615" xr:uid="{A311948E-C748-44CC-B082-46EFF689AB1F}"/>
    <cellStyle name="Normal 3 3 3 8 2" xfId="3336" xr:uid="{61948BC4-067D-423E-8A60-92593F187AE2}"/>
    <cellStyle name="Normal 3 3 3 9" xfId="1835" xr:uid="{4862F5E1-6036-441F-949C-E762AFC4F23C}"/>
    <cellStyle name="Normal 3 3 4" xfId="95" xr:uid="{42580676-AEC8-4A07-92D8-AA431C3C57EB}"/>
    <cellStyle name="Normal 3 3 4 2" xfId="341" xr:uid="{838D5C16-46D0-4BCD-AF59-20950DE0FAE3}"/>
    <cellStyle name="Normal 3 3 4 2 2" xfId="2040" xr:uid="{6DFD1051-0D3D-4713-9CB0-356A15F788E9}"/>
    <cellStyle name="Normal 3 3 4 3" xfId="537" xr:uid="{B31F11FD-2259-475A-9797-CDDC340DAB91}"/>
    <cellStyle name="Normal 3 3 4 3 2" xfId="2258" xr:uid="{86051003-0E37-4676-94D5-FC09E6070689}"/>
    <cellStyle name="Normal 3 3 4 4" xfId="755" xr:uid="{87BDECB6-1589-4703-B2A9-42C18A4B50AF}"/>
    <cellStyle name="Normal 3 3 4 4 2" xfId="2476" xr:uid="{C77FBA3B-446A-4D01-904A-50584E2B69F4}"/>
    <cellStyle name="Normal 3 3 4 5" xfId="973" xr:uid="{A1D27A86-BD51-43BF-B5FA-469E6419F2A5}"/>
    <cellStyle name="Normal 3 3 4 5 2" xfId="2694" xr:uid="{7DE81931-F72B-45FB-8D56-CF173DD735F7}"/>
    <cellStyle name="Normal 3 3 4 6" xfId="1191" xr:uid="{DED9946F-9829-4AE5-A0EA-72747A68E87E}"/>
    <cellStyle name="Normal 3 3 4 6 2" xfId="2912" xr:uid="{62651730-8F70-4F44-8F26-8650BAC565D9}"/>
    <cellStyle name="Normal 3 3 4 7" xfId="1409" xr:uid="{E6FB1A31-39F1-4201-8FE3-B1FD98CD47F1}"/>
    <cellStyle name="Normal 3 3 4 7 2" xfId="3130" xr:uid="{24B9ECFF-B45C-4F5B-8C30-AED4CA80178D}"/>
    <cellStyle name="Normal 3 3 4 8" xfId="1628" xr:uid="{872406CF-E922-41D0-9D56-277A87FE00E2}"/>
    <cellStyle name="Normal 3 3 4 8 2" xfId="3349" xr:uid="{ADC1338E-EB18-4086-BC34-9F70521DDEC2}"/>
    <cellStyle name="Normal 3 3 4 9" xfId="1848" xr:uid="{C059C20A-4C78-49F7-8E1E-F6E4A0F606E1}"/>
    <cellStyle name="Normal 3 3 5" xfId="108" xr:uid="{9B068160-26CD-4ECA-9070-E3B04F52AAE9}"/>
    <cellStyle name="Normal 3 3 5 2" xfId="354" xr:uid="{8718D71F-AFC1-41F8-85C9-2FEA8F392294}"/>
    <cellStyle name="Normal 3 3 5 2 2" xfId="2053" xr:uid="{F58D998A-9D9B-4E31-93B4-60A2E31D7004}"/>
    <cellStyle name="Normal 3 3 5 3" xfId="550" xr:uid="{F1B41F03-70C8-4C64-A73D-14F79D01A5CB}"/>
    <cellStyle name="Normal 3 3 5 3 2" xfId="2271" xr:uid="{77EAD997-938D-4138-88E6-E3710BFCFEDD}"/>
    <cellStyle name="Normal 3 3 5 4" xfId="768" xr:uid="{435C19BF-52FB-4030-9E34-30FE4A927E94}"/>
    <cellStyle name="Normal 3 3 5 4 2" xfId="2489" xr:uid="{A6853310-0179-4E5A-B7D6-10706FF051C0}"/>
    <cellStyle name="Normal 3 3 5 5" xfId="986" xr:uid="{CEE9A2E5-E721-4B1A-BE52-41B4AC8123F5}"/>
    <cellStyle name="Normal 3 3 5 5 2" xfId="2707" xr:uid="{70D1D9CF-72AE-4F94-9A7B-3BE5B3593DBC}"/>
    <cellStyle name="Normal 3 3 5 6" xfId="1204" xr:uid="{D89D7F69-9D93-4EDB-B3A9-0FC26FCAEC96}"/>
    <cellStyle name="Normal 3 3 5 6 2" xfId="2925" xr:uid="{57A76CE0-92CC-4FA1-8A08-92F36CE2DE3A}"/>
    <cellStyle name="Normal 3 3 5 7" xfId="1422" xr:uid="{004A7F69-4FFE-4135-B1C7-2D6B3006892B}"/>
    <cellStyle name="Normal 3 3 5 7 2" xfId="3143" xr:uid="{20A9CA9E-192C-43E6-986A-E7AA2E14CF1B}"/>
    <cellStyle name="Normal 3 3 5 8" xfId="1641" xr:uid="{44CE8BB6-2AE7-462B-B674-8C7EA95B2634}"/>
    <cellStyle name="Normal 3 3 5 8 2" xfId="3362" xr:uid="{26F349AA-36BB-46B7-8895-977FCE8FB030}"/>
    <cellStyle name="Normal 3 3 5 9" xfId="1861" xr:uid="{B7E21BFD-38E4-4E4B-AA95-DD2F6C25ACB4}"/>
    <cellStyle name="Normal 3 3 6" xfId="121" xr:uid="{4BB59252-EEA2-4960-96FD-F876FFA74FCA}"/>
    <cellStyle name="Normal 3 3 6 2" xfId="367" xr:uid="{6404C3E1-6204-4789-B382-BE74BEB4AAA4}"/>
    <cellStyle name="Normal 3 3 6 2 2" xfId="2066" xr:uid="{09ABC256-755B-4846-AECD-B804F119CAB5}"/>
    <cellStyle name="Normal 3 3 6 3" xfId="563" xr:uid="{8FEC4F51-D345-4702-8334-12D3055B2293}"/>
    <cellStyle name="Normal 3 3 6 3 2" xfId="2284" xr:uid="{B5A44327-D854-41FB-9E66-77309AF57506}"/>
    <cellStyle name="Normal 3 3 6 4" xfId="781" xr:uid="{A012AEE8-D16E-429E-B948-209620D16AEB}"/>
    <cellStyle name="Normal 3 3 6 4 2" xfId="2502" xr:uid="{46BF699F-72D1-4725-BCF4-FD9A9D7992C7}"/>
    <cellStyle name="Normal 3 3 6 5" xfId="999" xr:uid="{227321AE-724D-49C6-95CD-68BF705BCF17}"/>
    <cellStyle name="Normal 3 3 6 5 2" xfId="2720" xr:uid="{D836B722-8C4B-4D42-95CA-4375D7F33017}"/>
    <cellStyle name="Normal 3 3 6 6" xfId="1217" xr:uid="{A94C4B0C-A666-4990-A0C5-AE94A2646FCE}"/>
    <cellStyle name="Normal 3 3 6 6 2" xfId="2938" xr:uid="{EC8A0101-731F-40F9-AE73-72127BA89D87}"/>
    <cellStyle name="Normal 3 3 6 7" xfId="1435" xr:uid="{18AC36C1-5123-4F58-BC52-A071E522CD99}"/>
    <cellStyle name="Normal 3 3 6 7 2" xfId="3156" xr:uid="{07677F9E-8441-4E90-8469-4E6BBCE8D051}"/>
    <cellStyle name="Normal 3 3 6 8" xfId="1654" xr:uid="{5A00DD7B-715C-44EB-A328-A913FB4ACE84}"/>
    <cellStyle name="Normal 3 3 6 8 2" xfId="3375" xr:uid="{FC47F702-1955-4113-870A-49D10F99807E}"/>
    <cellStyle name="Normal 3 3 6 9" xfId="1874" xr:uid="{B0C2375E-DF16-4B77-96F2-5E631B124E47}"/>
    <cellStyle name="Normal 3 3 7" xfId="134" xr:uid="{2E1988A7-EF05-4B8E-A741-D804B1426A6C}"/>
    <cellStyle name="Normal 3 3 7 2" xfId="380" xr:uid="{A3B11B7A-7E0B-4B0D-9960-FBF6AB9F3F26}"/>
    <cellStyle name="Normal 3 3 7 2 2" xfId="2079" xr:uid="{168C7844-E014-4D93-8820-3CB232A19206}"/>
    <cellStyle name="Normal 3 3 7 3" xfId="576" xr:uid="{4108BEB1-6376-4064-B862-FB0E05D7FC70}"/>
    <cellStyle name="Normal 3 3 7 3 2" xfId="2297" xr:uid="{F6F83E37-AE2B-42B5-9227-32019F5D5C13}"/>
    <cellStyle name="Normal 3 3 7 4" xfId="794" xr:uid="{535D479C-1D96-4392-8FED-15C4C6483D2F}"/>
    <cellStyle name="Normal 3 3 7 4 2" xfId="2515" xr:uid="{FD4F0C7A-2546-4119-906E-B13223AE1F0D}"/>
    <cellStyle name="Normal 3 3 7 5" xfId="1012" xr:uid="{CD5F3333-5F83-40C0-988C-835142705E75}"/>
    <cellStyle name="Normal 3 3 7 5 2" xfId="2733" xr:uid="{BC31679B-8148-4BA4-9C6B-CF80A6B5CA8C}"/>
    <cellStyle name="Normal 3 3 7 6" xfId="1230" xr:uid="{E01EA655-871A-4ABD-AB66-B316A4CAE1EC}"/>
    <cellStyle name="Normal 3 3 7 6 2" xfId="2951" xr:uid="{3B8FA2FC-6951-4736-B0BB-4E9FB7AA5C70}"/>
    <cellStyle name="Normal 3 3 7 7" xfId="1448" xr:uid="{72D069B2-727E-4E8B-BFEF-C9590C6A030A}"/>
    <cellStyle name="Normal 3 3 7 7 2" xfId="3169" xr:uid="{13721EB1-A36A-49E1-902A-D181AC510C7E}"/>
    <cellStyle name="Normal 3 3 7 8" xfId="1667" xr:uid="{C1747433-D769-46FA-8EAB-5170FFD22ACA}"/>
    <cellStyle name="Normal 3 3 7 8 2" xfId="3388" xr:uid="{3AB45F8A-1405-41F0-B808-A34D4CEB3E14}"/>
    <cellStyle name="Normal 3 3 7 9" xfId="1887" xr:uid="{CFC13DA1-4642-4B47-B3C3-7AFFC0AA436C}"/>
    <cellStyle name="Normal 3 3 8" xfId="147" xr:uid="{4D9312E2-E8A0-4A3E-9EBB-ABDEFD667363}"/>
    <cellStyle name="Normal 3 3 8 2" xfId="393" xr:uid="{1C1E4CF2-8386-43ED-B43E-83816224E35E}"/>
    <cellStyle name="Normal 3 3 8 2 2" xfId="2092" xr:uid="{AD352C07-396D-4120-BD26-7AFCC5A59BAC}"/>
    <cellStyle name="Normal 3 3 8 3" xfId="589" xr:uid="{8AB4455D-AC33-46C9-BC3F-922711449B37}"/>
    <cellStyle name="Normal 3 3 8 3 2" xfId="2310" xr:uid="{D08CF2BE-E647-4714-A52D-E6060916B598}"/>
    <cellStyle name="Normal 3 3 8 4" xfId="807" xr:uid="{DD5CE5D4-E722-4C22-AA24-20D9D505B083}"/>
    <cellStyle name="Normal 3 3 8 4 2" xfId="2528" xr:uid="{B5395D6A-1353-46F6-9582-90C042321BEF}"/>
    <cellStyle name="Normal 3 3 8 5" xfId="1025" xr:uid="{218880BD-8168-4E26-9502-A0EEA13D2008}"/>
    <cellStyle name="Normal 3 3 8 5 2" xfId="2746" xr:uid="{6026E7F5-9986-4754-8BE0-F939A573D016}"/>
    <cellStyle name="Normal 3 3 8 6" xfId="1243" xr:uid="{33E973D1-DA97-4C03-A90C-669389B0A97E}"/>
    <cellStyle name="Normal 3 3 8 6 2" xfId="2964" xr:uid="{A94C4A05-8173-4794-95BE-1E98AA0F50D7}"/>
    <cellStyle name="Normal 3 3 8 7" xfId="1461" xr:uid="{DD0EED20-CC0F-491B-A0C6-EAC9C6522787}"/>
    <cellStyle name="Normal 3 3 8 7 2" xfId="3182" xr:uid="{626CEEA5-A97F-461F-A70F-507A326862FB}"/>
    <cellStyle name="Normal 3 3 8 8" xfId="1680" xr:uid="{C58F6931-5951-4668-B98C-C53A5ED0449D}"/>
    <cellStyle name="Normal 3 3 8 8 2" xfId="3401" xr:uid="{89B39853-4D75-4D50-A1B4-DF65109C2675}"/>
    <cellStyle name="Normal 3 3 8 9" xfId="1900" xr:uid="{2C5E26F6-EB05-4A65-9282-0800FAA8EC4D}"/>
    <cellStyle name="Normal 3 3 9" xfId="160" xr:uid="{8F3141EA-A6B9-4D83-ACD9-E162FBA9CA67}"/>
    <cellStyle name="Normal 3 3 9 2" xfId="406" xr:uid="{532630AE-5814-4183-8720-D89A60DD4F1B}"/>
    <cellStyle name="Normal 3 3 9 2 2" xfId="2105" xr:uid="{A6FE3E6A-1D32-4BB7-AC8A-018146AF9F30}"/>
    <cellStyle name="Normal 3 3 9 3" xfId="602" xr:uid="{9B67F405-E5C7-4F2D-8EAF-3524390B7D40}"/>
    <cellStyle name="Normal 3 3 9 3 2" xfId="2323" xr:uid="{48C864A5-EC96-4001-8F4E-65AB389447AF}"/>
    <cellStyle name="Normal 3 3 9 4" xfId="820" xr:uid="{34E2D910-EE09-42AC-B92B-45A63E427D99}"/>
    <cellStyle name="Normal 3 3 9 4 2" xfId="2541" xr:uid="{D387F992-6C38-4515-994B-0EC337668574}"/>
    <cellStyle name="Normal 3 3 9 5" xfId="1038" xr:uid="{FF5ACAA8-E30B-4DC4-8DEB-02138E605163}"/>
    <cellStyle name="Normal 3 3 9 5 2" xfId="2759" xr:uid="{922EE7CF-5744-4D2D-8DF7-5F914AFB8F3D}"/>
    <cellStyle name="Normal 3 3 9 6" xfId="1256" xr:uid="{E95B921A-BFA7-4AE3-8625-9ED4DEC5D6EC}"/>
    <cellStyle name="Normal 3 3 9 6 2" xfId="2977" xr:uid="{DE722D2F-E15B-469E-95D9-4739E9731057}"/>
    <cellStyle name="Normal 3 3 9 7" xfId="1474" xr:uid="{F107F7C5-B25E-438D-93F7-7922C02009B2}"/>
    <cellStyle name="Normal 3 3 9 7 2" xfId="3195" xr:uid="{0FCCC8C8-CE19-4C3A-8FCB-5D6206FFA8F2}"/>
    <cellStyle name="Normal 3 3 9 8" xfId="1693" xr:uid="{519BA666-00CE-4151-A978-0835F8777EB7}"/>
    <cellStyle name="Normal 3 3 9 8 2" xfId="3414" xr:uid="{D4413519-438F-4F97-8762-D1008C9830E7}"/>
    <cellStyle name="Normal 3 3 9 9" xfId="1913" xr:uid="{80DEA991-ADAC-4564-B038-03B7FA904A6A}"/>
    <cellStyle name="Normal 3 4" xfId="63" xr:uid="{F86DD2AF-17C0-47AA-A3DD-D6AC3268AE4E}"/>
    <cellStyle name="Normal 3 4 2" xfId="309" xr:uid="{1B4E478C-D6D6-4567-9F1D-54EFD963FA54}"/>
    <cellStyle name="Normal 3 4 2 2" xfId="2008" xr:uid="{F47F2A4B-DE29-43C0-B159-335885C079EC}"/>
    <cellStyle name="Normal 3 4 2 3" xfId="3639" xr:uid="{FE90AEE4-3BD8-4D9D-97EC-656C39F2C2E4}"/>
    <cellStyle name="Normal 3 4 3" xfId="505" xr:uid="{6A17F97A-6C13-4461-A50B-EE13FDD60032}"/>
    <cellStyle name="Normal 3 4 3 2" xfId="2226" xr:uid="{C52B168C-AE1B-4222-805A-43174A966F6D}"/>
    <cellStyle name="Normal 3 4 3 3" xfId="3613" xr:uid="{FFD0D855-DE36-415A-BD89-77D318EBA460}"/>
    <cellStyle name="Normal 3 4 4" xfId="723" xr:uid="{F9B90B6A-95D8-4DC1-9461-2150C86FF983}"/>
    <cellStyle name="Normal 3 4 4 2" xfId="2444" xr:uid="{D889E7E5-3D04-47E6-84F2-728753F5CA17}"/>
    <cellStyle name="Normal 3 4 5" xfId="941" xr:uid="{4BE03AC7-9781-440F-9845-53A4E41211D3}"/>
    <cellStyle name="Normal 3 4 5 2" xfId="2662" xr:uid="{68BABABB-FD10-4A7C-B431-CDA8E3B59B47}"/>
    <cellStyle name="Normal 3 4 6" xfId="1159" xr:uid="{E3E59A06-C7C9-4D1C-AA6E-1637B6ACFE2A}"/>
    <cellStyle name="Normal 3 4 6 2" xfId="2880" xr:uid="{CC5D6840-14DA-4D93-BB5F-88CA313AA845}"/>
    <cellStyle name="Normal 3 4 7" xfId="1377" xr:uid="{E62C58F8-D0AC-4E84-953B-20D6FD73AC98}"/>
    <cellStyle name="Normal 3 4 7 2" xfId="3098" xr:uid="{18167BE9-5EB3-457C-B479-2BD3C3887902}"/>
    <cellStyle name="Normal 3 4 8" xfId="1596" xr:uid="{B408AA9F-3AFD-42E5-A1C7-098E1EEC668B}"/>
    <cellStyle name="Normal 3 4 8 2" xfId="3317" xr:uid="{2CE46E75-0124-4915-BFF2-95E0FDB29D42}"/>
    <cellStyle name="Normal 3 4 9" xfId="1816" xr:uid="{8DBBF023-09FE-4267-A6CD-D548306E1F57}"/>
    <cellStyle name="Normal 3 5" xfId="76" xr:uid="{B6F450E7-C502-453E-9A04-AACEBEF7FFD7}"/>
    <cellStyle name="Normal 3 5 2" xfId="322" xr:uid="{FEF91CCE-8CBA-4C01-B8B1-BF8C43B641E2}"/>
    <cellStyle name="Normal 3 5 2 2" xfId="2021" xr:uid="{43BDA387-A068-4ACB-A933-88D078D7535D}"/>
    <cellStyle name="Normal 3 5 3" xfId="518" xr:uid="{7021D060-EB8C-4B6D-94F7-8CB8912707FD}"/>
    <cellStyle name="Normal 3 5 3 2" xfId="2239" xr:uid="{278C95FC-76CF-4082-8C3A-09ED4DF660FF}"/>
    <cellStyle name="Normal 3 5 4" xfId="736" xr:uid="{1F132975-82B9-44CA-A8FF-F39CFDA9A27F}"/>
    <cellStyle name="Normal 3 5 4 2" xfId="2457" xr:uid="{88908D80-7C45-4C73-B8A9-C59A779E020F}"/>
    <cellStyle name="Normal 3 5 5" xfId="954" xr:uid="{203A3C9C-FFC9-4C96-BEEA-648670F5FE18}"/>
    <cellStyle name="Normal 3 5 5 2" xfId="2675" xr:uid="{0D9B9D35-A7F3-433D-86C0-ABF54E0785BD}"/>
    <cellStyle name="Normal 3 5 6" xfId="1172" xr:uid="{9BB60B0E-7D49-41DE-845E-7FA1167B778C}"/>
    <cellStyle name="Normal 3 5 6 2" xfId="2893" xr:uid="{ED7010C7-9350-4267-9389-1A45F9BD891F}"/>
    <cellStyle name="Normal 3 5 7" xfId="1390" xr:uid="{AB46B0B6-97BE-432D-AAD3-D40AB4ED27E3}"/>
    <cellStyle name="Normal 3 5 7 2" xfId="3111" xr:uid="{8077DD56-D0B0-40E8-A908-F1843D23B5AD}"/>
    <cellStyle name="Normal 3 5 8" xfId="1609" xr:uid="{A934D9B0-5ADA-4635-BCFC-D0C8CA54EBAA}"/>
    <cellStyle name="Normal 3 5 8 2" xfId="3330" xr:uid="{092F072F-3ECB-4A3C-8EE0-F0148849A855}"/>
    <cellStyle name="Normal 3 5 9" xfId="1829" xr:uid="{3252F75A-A746-445D-9B22-67FA2A0A458A}"/>
    <cellStyle name="Normal 3 6" xfId="89" xr:uid="{456665F9-CD8A-405B-92CA-EC7C7D5DCB5F}"/>
    <cellStyle name="Normal 3 6 2" xfId="335" xr:uid="{2B776C14-D805-4EE9-82E9-410684841627}"/>
    <cellStyle name="Normal 3 6 2 2" xfId="2034" xr:uid="{187BB9DC-53FD-4C82-B1D5-E7A5EFAE71D1}"/>
    <cellStyle name="Normal 3 6 3" xfId="531" xr:uid="{7E0368C7-863E-49F3-B1B9-CE0EF97AC07E}"/>
    <cellStyle name="Normal 3 6 3 2" xfId="2252" xr:uid="{C5ABD4A3-8E26-4D78-89C1-A49E53823F93}"/>
    <cellStyle name="Normal 3 6 4" xfId="749" xr:uid="{FF766640-DDB1-4058-B635-D5B868CCE2EC}"/>
    <cellStyle name="Normal 3 6 4 2" xfId="2470" xr:uid="{78A4AC2C-AE30-4B0C-84BC-AFCE1251E9ED}"/>
    <cellStyle name="Normal 3 6 5" xfId="967" xr:uid="{913A6679-3DDB-4B1D-8F52-B73A983C4477}"/>
    <cellStyle name="Normal 3 6 5 2" xfId="2688" xr:uid="{0BB9B480-C071-45C9-B11D-29D551EE13B4}"/>
    <cellStyle name="Normal 3 6 6" xfId="1185" xr:uid="{38AD5845-0D06-4327-B927-886C78B7592D}"/>
    <cellStyle name="Normal 3 6 6 2" xfId="2906" xr:uid="{F0428748-CA92-495F-9682-8B71BD8E0530}"/>
    <cellStyle name="Normal 3 6 7" xfId="1403" xr:uid="{FF9CF0EB-2BBC-4E1F-A167-9B5AEBA5ABA1}"/>
    <cellStyle name="Normal 3 6 7 2" xfId="3124" xr:uid="{CF064792-E27B-49A0-8CAF-94D54EEA6AF5}"/>
    <cellStyle name="Normal 3 6 8" xfId="1622" xr:uid="{D14DD49D-3BFC-435F-B3E0-CD672B4CC8B6}"/>
    <cellStyle name="Normal 3 6 8 2" xfId="3343" xr:uid="{BC7F8C57-250C-4F97-811B-D1B4B5C9FB2F}"/>
    <cellStyle name="Normal 3 6 9" xfId="1842" xr:uid="{F46F9206-31E0-49E1-BED7-D9F46B8AA0DF}"/>
    <cellStyle name="Normal 3 7" xfId="102" xr:uid="{30C54D37-0170-48A6-A534-B53DFB52E51B}"/>
    <cellStyle name="Normal 3 7 2" xfId="348" xr:uid="{0C38CBA9-0437-4C71-976D-1BABBCBBE5B6}"/>
    <cellStyle name="Normal 3 7 2 2" xfId="2047" xr:uid="{23A1442D-83B4-4CEF-9396-6B4CC05456D1}"/>
    <cellStyle name="Normal 3 7 3" xfId="544" xr:uid="{0E34D847-B466-41BF-87BE-6CFC0B3A1BCB}"/>
    <cellStyle name="Normal 3 7 3 2" xfId="2265" xr:uid="{799972E0-22C5-481F-A9BF-05802BF6E5C1}"/>
    <cellStyle name="Normal 3 7 4" xfId="762" xr:uid="{A2DA8D83-81CB-4713-A992-2D92058187A2}"/>
    <cellStyle name="Normal 3 7 4 2" xfId="2483" xr:uid="{8EB038E2-E04A-4EFE-A62A-834D0DAF7C55}"/>
    <cellStyle name="Normal 3 7 5" xfId="980" xr:uid="{63ABD713-DCD4-42CE-BF87-06BDFD452ADF}"/>
    <cellStyle name="Normal 3 7 5 2" xfId="2701" xr:uid="{525E575B-6475-4AAA-A24D-F09CA8EDA23E}"/>
    <cellStyle name="Normal 3 7 6" xfId="1198" xr:uid="{FD399946-39EC-4E29-BF79-1DDB156E7C5D}"/>
    <cellStyle name="Normal 3 7 6 2" xfId="2919" xr:uid="{FADC236E-D9C0-4A93-8413-EEDC3BD74942}"/>
    <cellStyle name="Normal 3 7 7" xfId="1416" xr:uid="{B6D1C3F6-2C8F-4D3C-9C11-9947EA99A30A}"/>
    <cellStyle name="Normal 3 7 7 2" xfId="3137" xr:uid="{054681D1-192D-44B2-A64C-B21F947978F2}"/>
    <cellStyle name="Normal 3 7 8" xfId="1635" xr:uid="{CC896B75-8402-409F-A0D3-3645550D6C9C}"/>
    <cellStyle name="Normal 3 7 8 2" xfId="3356" xr:uid="{76157F74-98E1-4489-B377-165BED45F46B}"/>
    <cellStyle name="Normal 3 7 9" xfId="1855" xr:uid="{33DBDB7D-48D3-43C8-8A49-4F076E493AEC}"/>
    <cellStyle name="Normal 3 8" xfId="115" xr:uid="{19A5AA99-8843-4BD5-B906-B0B68E591134}"/>
    <cellStyle name="Normal 3 8 2" xfId="361" xr:uid="{3715CA5C-4354-4945-8F18-4EE2F4F842D4}"/>
    <cellStyle name="Normal 3 8 2 2" xfId="2060" xr:uid="{D617271E-7059-414E-A502-E91BAFDFEFB2}"/>
    <cellStyle name="Normal 3 8 3" xfId="557" xr:uid="{FAFF39A7-F6EE-40CB-A5FE-D6CC8DB7A4FC}"/>
    <cellStyle name="Normal 3 8 3 2" xfId="2278" xr:uid="{48CBBCEC-DD36-4705-A1DC-B54FFC1E15ED}"/>
    <cellStyle name="Normal 3 8 4" xfId="775" xr:uid="{4FD8AE9F-BF1C-46DC-9AB3-C918092C6838}"/>
    <cellStyle name="Normal 3 8 4 2" xfId="2496" xr:uid="{34EE7C94-2A2F-4F26-A904-607342565306}"/>
    <cellStyle name="Normal 3 8 5" xfId="993" xr:uid="{AFD9200B-DFF5-4AAF-89A5-3CA67838B7FB}"/>
    <cellStyle name="Normal 3 8 5 2" xfId="2714" xr:uid="{9B59992D-9ACC-4152-BA8C-078466E5399A}"/>
    <cellStyle name="Normal 3 8 6" xfId="1211" xr:uid="{461B87CD-5E78-4E26-B123-00A3B674CD42}"/>
    <cellStyle name="Normal 3 8 6 2" xfId="2932" xr:uid="{E17046E6-9987-45A7-8B0C-3042A2E2469C}"/>
    <cellStyle name="Normal 3 8 7" xfId="1429" xr:uid="{CCE6BBB1-4C15-4A64-8C12-CAE6897CE28B}"/>
    <cellStyle name="Normal 3 8 7 2" xfId="3150" xr:uid="{D1B4EE01-B896-48D1-85ED-26F663C13230}"/>
    <cellStyle name="Normal 3 8 8" xfId="1648" xr:uid="{2782E09F-A8D3-445E-95BA-546B908B89BF}"/>
    <cellStyle name="Normal 3 8 8 2" xfId="3369" xr:uid="{4735A6C7-6A81-4ADB-9BF0-964F21BB2FF0}"/>
    <cellStyle name="Normal 3 8 9" xfId="1868" xr:uid="{73C9374C-1897-4845-8B6B-E80E32DAD0D7}"/>
    <cellStyle name="Normal 3 9" xfId="128" xr:uid="{6C6535EA-B253-4A77-B977-AC23849EC77B}"/>
    <cellStyle name="Normal 3 9 2" xfId="374" xr:uid="{7C827BD2-737A-4F9E-A66C-28FC5ADB9E88}"/>
    <cellStyle name="Normal 3 9 2 2" xfId="2073" xr:uid="{3166C775-5472-4156-8590-34B65B8B5BF6}"/>
    <cellStyle name="Normal 3 9 3" xfId="570" xr:uid="{A7605490-E350-4581-80EF-63F1957715D6}"/>
    <cellStyle name="Normal 3 9 3 2" xfId="2291" xr:uid="{9E73CABB-0E14-484E-A2C3-9C7F33E9CDAB}"/>
    <cellStyle name="Normal 3 9 4" xfId="788" xr:uid="{DDF5D7D8-3330-4EE3-8449-7B0FF5B4D5D0}"/>
    <cellStyle name="Normal 3 9 4 2" xfId="2509" xr:uid="{33BBC527-CA38-44F7-92F1-A1B7F415164A}"/>
    <cellStyle name="Normal 3 9 5" xfId="1006" xr:uid="{F29593FC-04BA-4010-8A1E-A67A2FC8E043}"/>
    <cellStyle name="Normal 3 9 5 2" xfId="2727" xr:uid="{8884E701-602D-40E9-811F-3FCB60794253}"/>
    <cellStyle name="Normal 3 9 6" xfId="1224" xr:uid="{480EB4B6-0AD5-4960-9088-E5215E9029FB}"/>
    <cellStyle name="Normal 3 9 6 2" xfId="2945" xr:uid="{FDB91869-8D64-4616-8B6B-86132A7C1B4C}"/>
    <cellStyle name="Normal 3 9 7" xfId="1442" xr:uid="{3526E598-8861-43E9-BAB7-A572EA72928C}"/>
    <cellStyle name="Normal 3 9 7 2" xfId="3163" xr:uid="{EB7D727F-9DB1-4F0D-874E-C7F258F600D3}"/>
    <cellStyle name="Normal 3 9 8" xfId="1661" xr:uid="{6AD91E2B-16D1-45AD-B774-7BDA4E5360CE}"/>
    <cellStyle name="Normal 3 9 8 2" xfId="3382" xr:uid="{DA310BEA-A769-457F-895E-E23F37F2E65E}"/>
    <cellStyle name="Normal 3 9 9" xfId="1881" xr:uid="{428F615D-AD25-47BD-A9F9-BDAD9CECB0ED}"/>
    <cellStyle name="Normal 4" xfId="46" xr:uid="{0ECAED5A-513C-44F1-8291-7D4A7ED4265F}"/>
    <cellStyle name="Normal 4 10" xfId="142" xr:uid="{BB30947B-FB95-4B52-AFE6-A1E03F221020}"/>
    <cellStyle name="Normal 4 10 2" xfId="388" xr:uid="{576660DF-0B92-4C61-ADCA-EAFAE881E344}"/>
    <cellStyle name="Normal 4 10 2 2" xfId="2087" xr:uid="{3206E4BE-414F-4694-929F-539760E274D6}"/>
    <cellStyle name="Normal 4 10 2 2 2" xfId="4408" xr:uid="{5F5701D1-25B6-4D8F-A194-DA71888E3D4C}"/>
    <cellStyle name="Normal 4 10 2 3" xfId="4139" xr:uid="{CCABBE1A-3C9A-4177-A960-FE9DAE17DFF9}"/>
    <cellStyle name="Normal 4 10 3" xfId="584" xr:uid="{441B5846-A473-4882-A46A-2E1950827FCE}"/>
    <cellStyle name="Normal 4 10 3 2" xfId="2305" xr:uid="{77F95928-1311-4A5D-BEBC-1DC3411154A3}"/>
    <cellStyle name="Normal 4 10 4" xfId="802" xr:uid="{FB3618F3-5059-4F2A-8DDE-E21AF8467859}"/>
    <cellStyle name="Normal 4 10 4 2" xfId="2523" xr:uid="{AED6BC2B-92EE-4FD9-AF16-27D56E2AA54B}"/>
    <cellStyle name="Normal 4 10 5" xfId="1020" xr:uid="{151B160C-986F-4A83-B09E-1B6674C6C7C1}"/>
    <cellStyle name="Normal 4 10 5 2" xfId="2741" xr:uid="{8987E0FB-A880-4ABC-B7C7-9C866A14647F}"/>
    <cellStyle name="Normal 4 10 6" xfId="1238" xr:uid="{C841DCCB-7197-431D-BCDF-BC0FB322EE91}"/>
    <cellStyle name="Normal 4 10 6 2" xfId="2959" xr:uid="{81581429-C78D-4531-B2CF-6FBDBF46A322}"/>
    <cellStyle name="Normal 4 10 7" xfId="1456" xr:uid="{82894FB8-F083-4375-8D5F-C89B432CED39}"/>
    <cellStyle name="Normal 4 10 7 2" xfId="3177" xr:uid="{2F76349F-C589-490C-A313-1B59C4EE0698}"/>
    <cellStyle name="Normal 4 10 8" xfId="1675" xr:uid="{586797CC-870A-4CB9-9323-ADB8F37F7A40}"/>
    <cellStyle name="Normal 4 10 8 2" xfId="3396" xr:uid="{6BD3E638-B452-4E6F-8809-069555949A0B}"/>
    <cellStyle name="Normal 4 10 9" xfId="1895" xr:uid="{C0E70154-6506-4F4C-AC5A-6F7303015354}"/>
    <cellStyle name="Normal 4 11" xfId="155" xr:uid="{28F5931E-D8A6-4984-95E6-D1FAE7020F68}"/>
    <cellStyle name="Normal 4 11 2" xfId="401" xr:uid="{D6134FC1-56D5-4D68-8D97-942309DABD74}"/>
    <cellStyle name="Normal 4 11 2 2" xfId="2100" xr:uid="{D3C8DE0C-DB84-49E5-9507-A5027BC56E02}"/>
    <cellStyle name="Normal 4 11 3" xfId="597" xr:uid="{B7ED9ED5-EE2D-469F-913F-956CCCAB5140}"/>
    <cellStyle name="Normal 4 11 3 2" xfId="2318" xr:uid="{5BF992D6-0D7E-4F7F-9BD5-5912C9D67F4B}"/>
    <cellStyle name="Normal 4 11 4" xfId="815" xr:uid="{5FB6EDDF-AE0E-4D24-BEEE-FB86A0C7A9BE}"/>
    <cellStyle name="Normal 4 11 4 2" xfId="2536" xr:uid="{CBDCABE1-07A6-4866-86AA-94A61196DC9B}"/>
    <cellStyle name="Normal 4 11 5" xfId="1033" xr:uid="{66C0B63D-043B-4295-BC8F-3CEDC1267534}"/>
    <cellStyle name="Normal 4 11 5 2" xfId="2754" xr:uid="{EBC73BA9-7DF9-4E41-BC19-48E0FB3F318C}"/>
    <cellStyle name="Normal 4 11 6" xfId="1251" xr:uid="{4773545C-F583-46F9-AE47-3C91E053CEBE}"/>
    <cellStyle name="Normal 4 11 6 2" xfId="2972" xr:uid="{692C3C0C-08AA-47B1-9C9E-FB2F00693062}"/>
    <cellStyle name="Normal 4 11 7" xfId="1469" xr:uid="{DFB89223-BA1A-4618-8CE3-F1800FFD10DC}"/>
    <cellStyle name="Normal 4 11 7 2" xfId="3190" xr:uid="{C64A0D51-3153-4093-9140-C4784B9511B5}"/>
    <cellStyle name="Normal 4 11 8" xfId="1688" xr:uid="{7034A3EE-0D46-40D4-AE5D-6FD3B5BD507B}"/>
    <cellStyle name="Normal 4 11 8 2" xfId="3409" xr:uid="{CF6C2722-079A-4A3C-B93B-34B2BF30D9FE}"/>
    <cellStyle name="Normal 4 11 9" xfId="1908" xr:uid="{64C79683-3730-481D-8E13-694A0DC977FA}"/>
    <cellStyle name="Normal 4 12" xfId="168" xr:uid="{BED61E09-BAF9-4B5C-AAA9-2598B5AF643F}"/>
    <cellStyle name="Normal 4 12 2" xfId="414" xr:uid="{8784D1ED-1D49-4B47-9FCA-19552F191282}"/>
    <cellStyle name="Normal 4 12 2 2" xfId="2113" xr:uid="{F089DC41-7900-4A94-9359-74C8340ED730}"/>
    <cellStyle name="Normal 4 12 3" xfId="610" xr:uid="{C2B68004-256C-44F2-97F7-FDA10987EF8B}"/>
    <cellStyle name="Normal 4 12 3 2" xfId="2331" xr:uid="{B594616F-FF81-4F19-9DA2-CEC1AAE9F8C7}"/>
    <cellStyle name="Normal 4 12 4" xfId="828" xr:uid="{10953B7E-D4AB-4655-A84A-7FFE263F2849}"/>
    <cellStyle name="Normal 4 12 4 2" xfId="2549" xr:uid="{7E71245F-CDD4-42B9-85A4-66BDC4FFCC58}"/>
    <cellStyle name="Normal 4 12 5" xfId="1046" xr:uid="{1FC623D9-FAA8-4D8F-BC1B-F3311D0252B5}"/>
    <cellStyle name="Normal 4 12 5 2" xfId="2767" xr:uid="{D6B14F71-C17F-4741-879D-153D346427BA}"/>
    <cellStyle name="Normal 4 12 6" xfId="1264" xr:uid="{F6F2C639-DC61-4CF9-AD05-AEF11529B861}"/>
    <cellStyle name="Normal 4 12 6 2" xfId="2985" xr:uid="{AA23AAEA-E2FA-4977-82CA-24ABDBF962C3}"/>
    <cellStyle name="Normal 4 12 7" xfId="1482" xr:uid="{7A08FB5C-40B8-41CA-A878-27B4AEA9B19F}"/>
    <cellStyle name="Normal 4 12 7 2" xfId="3203" xr:uid="{58F2E393-BCBC-4832-B2E6-3D9D3F0077DE}"/>
    <cellStyle name="Normal 4 12 8" xfId="1701" xr:uid="{2F802659-CEF6-4598-A8AA-52E67A254DBA}"/>
    <cellStyle name="Normal 4 12 8 2" xfId="3422" xr:uid="{DAEA5047-10C0-4820-8B48-22A676B3D3BD}"/>
    <cellStyle name="Normal 4 12 9" xfId="1921" xr:uid="{D1FEC0FC-CE5E-4267-8E86-318D3BD58FF9}"/>
    <cellStyle name="Normal 4 13" xfId="181" xr:uid="{BF73C1EC-1D21-4DA9-A058-E0AF55C6E300}"/>
    <cellStyle name="Normal 4 13 2" xfId="427" xr:uid="{72483E63-5312-457B-9765-F081D61256CD}"/>
    <cellStyle name="Normal 4 13 2 2" xfId="2126" xr:uid="{DA3E4D98-B2B1-412E-8AC8-7DCE5E120AA8}"/>
    <cellStyle name="Normal 4 13 3" xfId="623" xr:uid="{3709FBE2-3935-443C-B2DC-47238AD3BA4B}"/>
    <cellStyle name="Normal 4 13 3 2" xfId="2344" xr:uid="{32B7B7C9-AFC5-41A3-8200-32368838782C}"/>
    <cellStyle name="Normal 4 13 4" xfId="841" xr:uid="{237283A6-5FB1-442F-9ECF-4B2D34DAE46B}"/>
    <cellStyle name="Normal 4 13 4 2" xfId="2562" xr:uid="{F3B28A9D-EC7F-4AFF-87ED-79BDB3E74944}"/>
    <cellStyle name="Normal 4 13 5" xfId="1059" xr:uid="{965A2B1A-C22A-4587-8075-196F80493F0F}"/>
    <cellStyle name="Normal 4 13 5 2" xfId="2780" xr:uid="{C3D835CF-8A21-4A64-813F-5727B2B7ACE6}"/>
    <cellStyle name="Normal 4 13 6" xfId="1277" xr:uid="{80BC3A1F-729B-4BDE-820A-22284C5D26F2}"/>
    <cellStyle name="Normal 4 13 6 2" xfId="2998" xr:uid="{BA419F77-513B-4558-AF85-A67D335C9113}"/>
    <cellStyle name="Normal 4 13 7" xfId="1495" xr:uid="{B0F34586-6439-476D-9594-93FC047F721C}"/>
    <cellStyle name="Normal 4 13 7 2" xfId="3216" xr:uid="{12E09EA1-983C-4B17-BAF5-4197CC3B980C}"/>
    <cellStyle name="Normal 4 13 8" xfId="1714" xr:uid="{228F2592-A87D-4C24-BC78-6A3B261E415A}"/>
    <cellStyle name="Normal 4 13 8 2" xfId="3435" xr:uid="{6DDEC520-E5FC-4026-940A-DEA72312B5E8}"/>
    <cellStyle name="Normal 4 13 9" xfId="1934" xr:uid="{797A68D4-C34E-49AD-858F-EA9FDEE64EED}"/>
    <cellStyle name="Normal 4 14" xfId="194" xr:uid="{1F61FE76-1BF7-422D-B73C-FC2E3B531DC1}"/>
    <cellStyle name="Normal 4 14 2" xfId="440" xr:uid="{5977EE07-FD7E-4B41-B551-4D69287A6C27}"/>
    <cellStyle name="Normal 4 14 2 2" xfId="2139" xr:uid="{BBD81E8E-93DE-4EED-BF6B-22C3679EC1AF}"/>
    <cellStyle name="Normal 4 14 3" xfId="636" xr:uid="{83748772-075F-42A1-BA1E-9F0C6835629A}"/>
    <cellStyle name="Normal 4 14 3 2" xfId="2357" xr:uid="{54E8D2D8-F72B-4626-A93A-FC0D50E83AD5}"/>
    <cellStyle name="Normal 4 14 4" xfId="854" xr:uid="{1219CD5C-5D7D-4EC8-A16C-1067888C6661}"/>
    <cellStyle name="Normal 4 14 4 2" xfId="2575" xr:uid="{61FEF2D3-FC4C-4118-B07E-5B12D7842294}"/>
    <cellStyle name="Normal 4 14 5" xfId="1072" xr:uid="{A8FD8D24-334E-46A8-B213-C8F392E969D0}"/>
    <cellStyle name="Normal 4 14 5 2" xfId="2793" xr:uid="{0445F324-671D-4AF8-A1F8-9A7514788878}"/>
    <cellStyle name="Normal 4 14 6" xfId="1290" xr:uid="{D396DF7A-32E2-4267-9DA0-061E91C1C3FA}"/>
    <cellStyle name="Normal 4 14 6 2" xfId="3011" xr:uid="{4CB1ACAB-0F55-4BB2-A233-CDC8735BCC29}"/>
    <cellStyle name="Normal 4 14 7" xfId="1508" xr:uid="{9B866022-C01F-4C20-9721-49B06308510C}"/>
    <cellStyle name="Normal 4 14 7 2" xfId="3229" xr:uid="{9CE75F50-8D7E-48C7-8241-E144E4DF1AFD}"/>
    <cellStyle name="Normal 4 14 8" xfId="1727" xr:uid="{2F06EF5E-A76E-4410-BD19-C8B4A448BDD8}"/>
    <cellStyle name="Normal 4 14 8 2" xfId="3448" xr:uid="{B04FB266-A635-490A-A580-72517A490E2C}"/>
    <cellStyle name="Normal 4 14 9" xfId="1947" xr:uid="{4EAE47B4-259C-479B-BFC3-568115F26213}"/>
    <cellStyle name="Normal 4 15" xfId="207" xr:uid="{5B340046-4731-49A3-A036-49ACE53397C5}"/>
    <cellStyle name="Normal 4 15 2" xfId="451" xr:uid="{EA7A04F6-1FE2-449A-994C-61AB210564C1}"/>
    <cellStyle name="Normal 4 15 2 2" xfId="2150" xr:uid="{386F3A3D-2809-455A-8E57-471D8ABDAD8E}"/>
    <cellStyle name="Normal 4 15 3" xfId="647" xr:uid="{84DBF74C-805C-4E43-A703-0ADA83615BC3}"/>
    <cellStyle name="Normal 4 15 3 2" xfId="2368" xr:uid="{68884B8F-56F9-4AD1-9227-8DF197E12BFD}"/>
    <cellStyle name="Normal 4 15 4" xfId="865" xr:uid="{F1E35587-3B60-402B-9B59-8B7A580D9BD2}"/>
    <cellStyle name="Normal 4 15 4 2" xfId="2586" xr:uid="{7E3BB1EF-43A1-4EBE-982C-31168E96F48D}"/>
    <cellStyle name="Normal 4 15 5" xfId="1083" xr:uid="{2C000829-B85B-4C5A-BD7B-2CB25319DB63}"/>
    <cellStyle name="Normal 4 15 5 2" xfId="2804" xr:uid="{FBDDD188-5F5A-4F12-B816-3B62067BDAC7}"/>
    <cellStyle name="Normal 4 15 6" xfId="1301" xr:uid="{AFAF5E02-DDA4-4330-B7E1-DEFF5B1EAA3A}"/>
    <cellStyle name="Normal 4 15 6 2" xfId="3022" xr:uid="{26976674-98C6-4441-8A75-8A33C8E76C23}"/>
    <cellStyle name="Normal 4 15 7" xfId="1519" xr:uid="{C4C18A1D-2D7A-4EB3-850D-6792F675902D}"/>
    <cellStyle name="Normal 4 15 7 2" xfId="3240" xr:uid="{BC686977-3013-4786-8136-473DA727C9AC}"/>
    <cellStyle name="Normal 4 15 8" xfId="1738" xr:uid="{58F05EE0-B6DA-418F-A7EE-B2E2B397223C}"/>
    <cellStyle name="Normal 4 15 8 2" xfId="3459" xr:uid="{BDF08785-4B57-4ED1-9E15-1CDF0447E466}"/>
    <cellStyle name="Normal 4 15 9" xfId="1958" xr:uid="{62001419-E258-4DFE-8838-C07D35DE62F0}"/>
    <cellStyle name="Normal 4 16" xfId="219" xr:uid="{BF1FAD9D-3B82-4E93-A6FE-EB9077A803E7}"/>
    <cellStyle name="Normal 4 16 2" xfId="463" xr:uid="{DEA38FF5-9AA4-46EF-93B4-D8B9BB022210}"/>
    <cellStyle name="Normal 4 16 2 2" xfId="2162" xr:uid="{5EDEE4A5-B6A7-4054-849D-F44A8D952315}"/>
    <cellStyle name="Normal 4 16 3" xfId="659" xr:uid="{00D6A1E7-7EC2-48FE-A794-661A2FF70D59}"/>
    <cellStyle name="Normal 4 16 3 2" xfId="2380" xr:uid="{7F510EC0-A552-453B-9BA9-8127A772FF55}"/>
    <cellStyle name="Normal 4 16 4" xfId="877" xr:uid="{A31FD120-4F5D-4161-A016-3EB9700DFAD2}"/>
    <cellStyle name="Normal 4 16 4 2" xfId="2598" xr:uid="{2C8B7DC7-E777-4688-A404-B5509E31A283}"/>
    <cellStyle name="Normal 4 16 5" xfId="1095" xr:uid="{C0A728E7-2D02-4035-A376-AFDAC67FD604}"/>
    <cellStyle name="Normal 4 16 5 2" xfId="2816" xr:uid="{5BCB0947-3AAC-4F0D-820D-8881C2A3DC42}"/>
    <cellStyle name="Normal 4 16 6" xfId="1313" xr:uid="{9BA73543-D1A8-40E9-AD14-5BD7A6F35AEA}"/>
    <cellStyle name="Normal 4 16 6 2" xfId="3034" xr:uid="{F318F60F-5E69-4E63-BBF3-EBCE027C359B}"/>
    <cellStyle name="Normal 4 16 7" xfId="1531" xr:uid="{3ECB061F-97FA-4656-A242-DAA802F90BCC}"/>
    <cellStyle name="Normal 4 16 7 2" xfId="3252" xr:uid="{90606B9E-A987-4153-AF79-0FB1DB37E944}"/>
    <cellStyle name="Normal 4 16 8" xfId="1750" xr:uid="{A7014378-E438-4DB6-9C79-5D73D7B1EF5A}"/>
    <cellStyle name="Normal 4 16 8 2" xfId="3471" xr:uid="{0A999381-C859-4012-9210-DBC16C447565}"/>
    <cellStyle name="Normal 4 16 9" xfId="1970" xr:uid="{9BD5B77D-037C-465C-829D-7F030980BD49}"/>
    <cellStyle name="Normal 4 17" xfId="232" xr:uid="{B2043A1A-56B2-474D-893A-9F4E2804229D}"/>
    <cellStyle name="Normal 4 17 2" xfId="476" xr:uid="{59484131-DC37-4CB9-B8A7-72B094CD48FA}"/>
    <cellStyle name="Normal 4 17 2 2" xfId="2175" xr:uid="{5A0BC007-CCF7-476B-B5C3-B36CE030888B}"/>
    <cellStyle name="Normal 4 17 3" xfId="672" xr:uid="{A5B64AD3-CF05-4211-AC79-38E4B3B383D1}"/>
    <cellStyle name="Normal 4 17 3 2" xfId="2393" xr:uid="{5D1EF185-9F56-4F09-A949-8718479497CB}"/>
    <cellStyle name="Normal 4 17 4" xfId="890" xr:uid="{FA13B54E-676D-4EDF-A1E1-A202613E8ECB}"/>
    <cellStyle name="Normal 4 17 4 2" xfId="2611" xr:uid="{F1E4E5A2-B4BC-417A-8762-2DED214A1419}"/>
    <cellStyle name="Normal 4 17 5" xfId="1108" xr:uid="{501857AC-6FCB-4C1A-9289-0A95538CA3FE}"/>
    <cellStyle name="Normal 4 17 5 2" xfId="2829" xr:uid="{BE4A63C5-B4E0-41B0-959B-AFEC107C6E2C}"/>
    <cellStyle name="Normal 4 17 6" xfId="1326" xr:uid="{86FF5DD5-1A08-4572-A41E-D3D1256EC571}"/>
    <cellStyle name="Normal 4 17 6 2" xfId="3047" xr:uid="{82073772-0EE8-4523-B582-6B99B5E2D39D}"/>
    <cellStyle name="Normal 4 17 7" xfId="1544" xr:uid="{913649FD-304D-4D81-B623-F88511F17C29}"/>
    <cellStyle name="Normal 4 17 7 2" xfId="3265" xr:uid="{7F216D08-79A0-4CE0-A060-0D1CF7C243A8}"/>
    <cellStyle name="Normal 4 17 8" xfId="1763" xr:uid="{5474B2D4-109D-4B3A-858A-EEBC32106441}"/>
    <cellStyle name="Normal 4 17 8 2" xfId="3484" xr:uid="{08225965-99A8-4038-AE35-A7C1B8D730D4}"/>
    <cellStyle name="Normal 4 17 9" xfId="1983" xr:uid="{40A544ED-7E85-46D5-BABC-93EE762304B2}"/>
    <cellStyle name="Normal 4 18" xfId="245" xr:uid="{2EF4EA97-997F-4270-BDE9-72F227CB0A26}"/>
    <cellStyle name="Normal 4 18 2" xfId="685" xr:uid="{51E0C119-D133-4F6F-A8F2-29646B7D0797}"/>
    <cellStyle name="Normal 4 18 2 2" xfId="2406" xr:uid="{CC5F512E-D314-4876-861E-50384EF98AB5}"/>
    <cellStyle name="Normal 4 18 3" xfId="903" xr:uid="{3C2EB50B-9A2A-4832-BF9C-AEFC1409C512}"/>
    <cellStyle name="Normal 4 18 3 2" xfId="2624" xr:uid="{672C6BB3-2AAF-44DA-93A5-84ED434EB3FD}"/>
    <cellStyle name="Normal 4 18 4" xfId="1121" xr:uid="{3AD04B1E-4438-4D5A-B535-A67D871B7400}"/>
    <cellStyle name="Normal 4 18 4 2" xfId="2842" xr:uid="{42660725-E739-4E24-8E01-686C11C89CEE}"/>
    <cellStyle name="Normal 4 18 5" xfId="1339" xr:uid="{83ED58D6-1B40-4FAF-8408-68A38040E853}"/>
    <cellStyle name="Normal 4 18 5 2" xfId="3060" xr:uid="{1E8EFAEA-DF9B-4964-BC7D-E76591B9847B}"/>
    <cellStyle name="Normal 4 18 6" xfId="1557" xr:uid="{D73E2764-7F94-47ED-9593-6EB90F429110}"/>
    <cellStyle name="Normal 4 18 6 2" xfId="3278" xr:uid="{6668B1CB-C7DA-4C9E-B4CF-7D3812D8FF54}"/>
    <cellStyle name="Normal 4 18 7" xfId="1776" xr:uid="{6026DBE5-841B-4FCB-9452-8E7424A105DA}"/>
    <cellStyle name="Normal 4 18 7 2" xfId="3497" xr:uid="{893DAB66-16D4-4009-B278-C8A210785028}"/>
    <cellStyle name="Normal 4 18 8" xfId="2188" xr:uid="{BC0FEDB5-AD1F-4C0D-8FE1-362B3D41E054}"/>
    <cellStyle name="Normal 4 19" xfId="258" xr:uid="{42F85D6E-E549-4413-A3E8-9D67C88F165E}"/>
    <cellStyle name="Normal 4 19 2" xfId="698" xr:uid="{51A6D17D-C77F-49C4-B5B0-8990F02BCB64}"/>
    <cellStyle name="Normal 4 19 2 2" xfId="2419" xr:uid="{6E1DEC7F-D4E5-4175-AFB8-061361EC5048}"/>
    <cellStyle name="Normal 4 19 3" xfId="916" xr:uid="{EA9DEF16-6CCB-49C8-BDE8-E69E628677C6}"/>
    <cellStyle name="Normal 4 19 3 2" xfId="2637" xr:uid="{AAC5FCAC-CE47-4BD5-AC5F-A6558FB859FF}"/>
    <cellStyle name="Normal 4 19 4" xfId="1134" xr:uid="{48B27F78-08A2-40C6-915F-F72A6BA2AC17}"/>
    <cellStyle name="Normal 4 19 4 2" xfId="2855" xr:uid="{E5663F95-F765-4209-8ACC-A20B93DE909B}"/>
    <cellStyle name="Normal 4 19 5" xfId="1352" xr:uid="{64CADB42-F166-459F-ACED-8671CE1D8504}"/>
    <cellStyle name="Normal 4 19 5 2" xfId="3073" xr:uid="{970B207B-39E7-45E6-A9A2-A7C4083BA552}"/>
    <cellStyle name="Normal 4 19 6" xfId="1570" xr:uid="{52833E01-6541-49C9-A3DA-0C0A26B12D2F}"/>
    <cellStyle name="Normal 4 19 6 2" xfId="3291" xr:uid="{245742B0-A796-4D78-ADD4-5AFEBC674EC4}"/>
    <cellStyle name="Normal 4 19 7" xfId="1789" xr:uid="{3370104D-1EB5-4DC1-8672-0AE99BF28C73}"/>
    <cellStyle name="Normal 4 19 7 2" xfId="3510" xr:uid="{15C6B1F2-23AB-4408-8B46-2CD01DC33718}"/>
    <cellStyle name="Normal 4 19 8" xfId="2201" xr:uid="{C421E1BF-87AF-4149-AE7C-CC7838FA80A9}"/>
    <cellStyle name="Normal 4 2" xfId="47" xr:uid="{F2F60F7D-B909-4AAB-AF3A-C51AE09F6807}"/>
    <cellStyle name="Normal 4 2 10" xfId="158" xr:uid="{30280264-84CA-4BF8-963A-76C5D0BE7F65}"/>
    <cellStyle name="Normal 4 2 10 2" xfId="404" xr:uid="{A242B967-489F-4127-9EFD-14D31D78F9EC}"/>
    <cellStyle name="Normal 4 2 10 2 2" xfId="2103" xr:uid="{EC1FF8E4-7F94-4305-A3E5-3FE4BFCEAB7D}"/>
    <cellStyle name="Normal 4 2 10 3" xfId="600" xr:uid="{9218EBDE-6065-415A-8EB8-1E16146164B2}"/>
    <cellStyle name="Normal 4 2 10 3 2" xfId="2321" xr:uid="{F2EA7FA8-1FA8-4769-9B2B-2F8C5265CDF5}"/>
    <cellStyle name="Normal 4 2 10 4" xfId="818" xr:uid="{DB5EB46F-34FE-41B9-80FB-BB85D2BCB43D}"/>
    <cellStyle name="Normal 4 2 10 4 2" xfId="2539" xr:uid="{DA3D2AA3-67FC-4011-A6F5-8FB2169D1600}"/>
    <cellStyle name="Normal 4 2 10 5" xfId="1036" xr:uid="{1BE0FA38-4CDA-4756-9645-183104D4E927}"/>
    <cellStyle name="Normal 4 2 10 5 2" xfId="2757" xr:uid="{F98F2426-B94E-43EA-A879-C92193CB30C1}"/>
    <cellStyle name="Normal 4 2 10 6" xfId="1254" xr:uid="{3439CED9-BF1F-4AA5-8A8C-E46F53A5F30E}"/>
    <cellStyle name="Normal 4 2 10 6 2" xfId="2975" xr:uid="{C74BC187-5710-4FEA-BD98-081B205DB54F}"/>
    <cellStyle name="Normal 4 2 10 7" xfId="1472" xr:uid="{A043DFF4-9D41-4951-9348-827E868054FA}"/>
    <cellStyle name="Normal 4 2 10 7 2" xfId="3193" xr:uid="{75AB3B11-6199-4954-8D1A-6EBE7809719A}"/>
    <cellStyle name="Normal 4 2 10 8" xfId="1691" xr:uid="{3805008E-2DFD-4A62-BDDA-C34DFE99FA37}"/>
    <cellStyle name="Normal 4 2 10 8 2" xfId="3412" xr:uid="{6B0E4810-7851-41DB-B5F9-9BE37A173DCF}"/>
    <cellStyle name="Normal 4 2 10 9" xfId="1911" xr:uid="{9F03686A-54BC-4908-912D-CD7802F27FEF}"/>
    <cellStyle name="Normal 4 2 11" xfId="171" xr:uid="{F6602318-6344-42E6-A20D-F5F2919AD282}"/>
    <cellStyle name="Normal 4 2 11 2" xfId="417" xr:uid="{853FA873-29C8-4C55-977D-56F3C0055A0B}"/>
    <cellStyle name="Normal 4 2 11 2 2" xfId="2116" xr:uid="{F5419ED5-2440-46EB-9D34-79A2E81C1C91}"/>
    <cellStyle name="Normal 4 2 11 3" xfId="613" xr:uid="{6D16CBA9-D7A7-486D-BFCD-1647B46B9C37}"/>
    <cellStyle name="Normal 4 2 11 3 2" xfId="2334" xr:uid="{56151945-F2B9-466E-8016-4FEE62A8D835}"/>
    <cellStyle name="Normal 4 2 11 4" xfId="831" xr:uid="{47E5F7E6-7A38-4FAC-A06A-681E165FC7E2}"/>
    <cellStyle name="Normal 4 2 11 4 2" xfId="2552" xr:uid="{CBDC2068-9D53-4A02-B68E-E2591C646EF7}"/>
    <cellStyle name="Normal 4 2 11 5" xfId="1049" xr:uid="{C2610F6C-2F41-4B46-8461-8FDF221D3B25}"/>
    <cellStyle name="Normal 4 2 11 5 2" xfId="2770" xr:uid="{DBD4BAA5-87D6-4720-AC94-6A9FD143CE81}"/>
    <cellStyle name="Normal 4 2 11 6" xfId="1267" xr:uid="{F43019D4-5718-41AE-ADCF-B22FC1D0CA64}"/>
    <cellStyle name="Normal 4 2 11 6 2" xfId="2988" xr:uid="{96CD2C01-E469-415B-B995-AC9944286B3A}"/>
    <cellStyle name="Normal 4 2 11 7" xfId="1485" xr:uid="{A313EFD6-046A-4C26-8FE5-C370C780CDA2}"/>
    <cellStyle name="Normal 4 2 11 7 2" xfId="3206" xr:uid="{7A905027-28DD-4DF1-8572-BF2522BAE8CF}"/>
    <cellStyle name="Normal 4 2 11 8" xfId="1704" xr:uid="{0A6F182E-49E5-4437-88C6-9BF5ECE22D33}"/>
    <cellStyle name="Normal 4 2 11 8 2" xfId="3425" xr:uid="{9B0D0237-74FC-434B-8110-0EB59878E307}"/>
    <cellStyle name="Normal 4 2 11 9" xfId="1924" xr:uid="{DF0507E9-D0D7-41EA-903C-1D792E145D0A}"/>
    <cellStyle name="Normal 4 2 12" xfId="184" xr:uid="{0F376EBA-FE12-4D74-8062-76BA35AE420B}"/>
    <cellStyle name="Normal 4 2 12 2" xfId="430" xr:uid="{012A1754-8BBB-40A9-BC6E-EB3E37A50D83}"/>
    <cellStyle name="Normal 4 2 12 2 2" xfId="2129" xr:uid="{3394B5A3-5CB0-4A8D-8F0B-6AA4DDC2A5E3}"/>
    <cellStyle name="Normal 4 2 12 3" xfId="626" xr:uid="{B066768E-7874-4949-8B16-B9CF853B2594}"/>
    <cellStyle name="Normal 4 2 12 3 2" xfId="2347" xr:uid="{5E8A1E34-022F-434F-BD39-B0A613DD8B3E}"/>
    <cellStyle name="Normal 4 2 12 4" xfId="844" xr:uid="{561721AA-5629-4A81-A08F-5E84C0DF3045}"/>
    <cellStyle name="Normal 4 2 12 4 2" xfId="2565" xr:uid="{65D1407D-392B-488C-A68A-9F6B1B0C05FC}"/>
    <cellStyle name="Normal 4 2 12 5" xfId="1062" xr:uid="{C6626C71-7863-4FD4-86AC-A5E125F4148B}"/>
    <cellStyle name="Normal 4 2 12 5 2" xfId="2783" xr:uid="{98393C3B-A8A9-4444-BEAC-432ECC1F5364}"/>
    <cellStyle name="Normal 4 2 12 6" xfId="1280" xr:uid="{8322A78A-5048-401E-B951-456F290B273B}"/>
    <cellStyle name="Normal 4 2 12 6 2" xfId="3001" xr:uid="{C864A5F7-2CE3-495E-867E-90948D6AD1C4}"/>
    <cellStyle name="Normal 4 2 12 7" xfId="1498" xr:uid="{BBC43F90-7D82-4C3C-BC23-A8B862602327}"/>
    <cellStyle name="Normal 4 2 12 7 2" xfId="3219" xr:uid="{5415C2F2-2E91-4E0E-9DFB-F2BA67059139}"/>
    <cellStyle name="Normal 4 2 12 8" xfId="1717" xr:uid="{3C529D89-D6EB-4A43-AD33-1AE5BF676872}"/>
    <cellStyle name="Normal 4 2 12 8 2" xfId="3438" xr:uid="{1D6CD38D-C9B7-45BC-B3DD-F0FD0BDAC727}"/>
    <cellStyle name="Normal 4 2 12 9" xfId="1937" xr:uid="{571D4928-AA3E-4232-B0EB-8C7CA707C9FF}"/>
    <cellStyle name="Normal 4 2 13" xfId="197" xr:uid="{525876A3-7E38-429E-B0CA-9751997A22C8}"/>
    <cellStyle name="Normal 4 2 13 2" xfId="443" xr:uid="{DE89A2EF-B3BF-4124-8B85-C95C8E74E1B3}"/>
    <cellStyle name="Normal 4 2 13 2 2" xfId="2142" xr:uid="{0E8E5A1E-D627-4FDF-8FC4-230FFFACAB78}"/>
    <cellStyle name="Normal 4 2 13 3" xfId="639" xr:uid="{F3D867CA-7B24-458D-8695-D44E243FCA61}"/>
    <cellStyle name="Normal 4 2 13 3 2" xfId="2360" xr:uid="{ACB07775-85CE-4688-92DB-BDE01A9868C7}"/>
    <cellStyle name="Normal 4 2 13 4" xfId="857" xr:uid="{A60562F3-436F-493C-B781-6BA2A7928BD4}"/>
    <cellStyle name="Normal 4 2 13 4 2" xfId="2578" xr:uid="{73592030-BA98-406F-BE4A-D0FF12F3F10E}"/>
    <cellStyle name="Normal 4 2 13 5" xfId="1075" xr:uid="{383BFACD-36A6-4C58-80A8-900D2B4DBBCA}"/>
    <cellStyle name="Normal 4 2 13 5 2" xfId="2796" xr:uid="{2B6B2D28-717C-4D38-88A0-AA7D434EDB1B}"/>
    <cellStyle name="Normal 4 2 13 6" xfId="1293" xr:uid="{B76EA928-5AEE-420A-8E30-09E20E47D338}"/>
    <cellStyle name="Normal 4 2 13 6 2" xfId="3014" xr:uid="{F8A81C72-6B78-43B3-B934-0D4822E9342A}"/>
    <cellStyle name="Normal 4 2 13 7" xfId="1511" xr:uid="{8AE573CD-789A-4AC6-863B-366CF5EA3D2C}"/>
    <cellStyle name="Normal 4 2 13 7 2" xfId="3232" xr:uid="{575FE80B-402B-4E18-8B99-80B626D42F68}"/>
    <cellStyle name="Normal 4 2 13 8" xfId="1730" xr:uid="{7EA58BCE-3753-49B8-9927-4B531BAADFEB}"/>
    <cellStyle name="Normal 4 2 13 8 2" xfId="3451" xr:uid="{991AFE19-7323-49FE-B838-C2AE30ACEB8C}"/>
    <cellStyle name="Normal 4 2 13 9" xfId="1950" xr:uid="{C5F243FB-4F02-4C03-9A55-477C194D825B}"/>
    <cellStyle name="Normal 4 2 14" xfId="208" xr:uid="{189917B8-D391-4753-B2A8-B096C2D32299}"/>
    <cellStyle name="Normal 4 2 14 2" xfId="452" xr:uid="{BABC3FDD-AE38-4547-B643-98AA56900F04}"/>
    <cellStyle name="Normal 4 2 14 2 2" xfId="2151" xr:uid="{D85C4378-77E3-4272-8C59-87925011D4C0}"/>
    <cellStyle name="Normal 4 2 14 3" xfId="648" xr:uid="{723392AA-3C42-4B09-81F9-C664552AC709}"/>
    <cellStyle name="Normal 4 2 14 3 2" xfId="2369" xr:uid="{3CB8D24E-FDFF-400F-9596-5BD09B40AE62}"/>
    <cellStyle name="Normal 4 2 14 4" xfId="866" xr:uid="{7ABB09A7-6E3C-4654-B98F-76541E2B6AF8}"/>
    <cellStyle name="Normal 4 2 14 4 2" xfId="2587" xr:uid="{52CDC4E3-6234-4F7A-B65C-885F36EFA4C6}"/>
    <cellStyle name="Normal 4 2 14 5" xfId="1084" xr:uid="{AE65ECBA-A893-4B91-9149-B99A346C10B1}"/>
    <cellStyle name="Normal 4 2 14 5 2" xfId="2805" xr:uid="{BCD304E7-08A1-4A1E-B585-7965A79E1BF2}"/>
    <cellStyle name="Normal 4 2 14 6" xfId="1302" xr:uid="{DC2327F2-18B9-41E8-BDA7-85195CE55023}"/>
    <cellStyle name="Normal 4 2 14 6 2" xfId="3023" xr:uid="{5D557A53-4EC6-45CC-B9A6-D47041E87225}"/>
    <cellStyle name="Normal 4 2 14 7" xfId="1520" xr:uid="{170C1833-5167-47B6-A686-614EE3F66A77}"/>
    <cellStyle name="Normal 4 2 14 7 2" xfId="3241" xr:uid="{40F3B0C7-8E53-42F4-A447-8800705687A0}"/>
    <cellStyle name="Normal 4 2 14 8" xfId="1739" xr:uid="{58614188-C863-44DA-938A-42596DDB30D2}"/>
    <cellStyle name="Normal 4 2 14 8 2" xfId="3460" xr:uid="{E04EC275-146C-420B-8051-75BE978051EA}"/>
    <cellStyle name="Normal 4 2 14 9" xfId="1959" xr:uid="{FBD862DB-7E4D-4884-B761-C29EA2EFD515}"/>
    <cellStyle name="Normal 4 2 15" xfId="222" xr:uid="{2284E1E3-55C6-43AA-A7F7-31D81AF18AE0}"/>
    <cellStyle name="Normal 4 2 15 2" xfId="466" xr:uid="{3C86EDAE-8FAC-4925-B473-22A7F22561F2}"/>
    <cellStyle name="Normal 4 2 15 2 2" xfId="2165" xr:uid="{EE233509-51B0-4282-A919-047D8416B621}"/>
    <cellStyle name="Normal 4 2 15 3" xfId="662" xr:uid="{51DE5028-1073-4DE9-8116-ACEF17291948}"/>
    <cellStyle name="Normal 4 2 15 3 2" xfId="2383" xr:uid="{E904C4D2-5E8B-4D7B-AF3F-2FB4E5FED224}"/>
    <cellStyle name="Normal 4 2 15 4" xfId="880" xr:uid="{6EF28555-52B8-4557-96EC-CEA376CE540B}"/>
    <cellStyle name="Normal 4 2 15 4 2" xfId="2601" xr:uid="{C818F80B-B64A-4567-AB1F-D57C9D248E1E}"/>
    <cellStyle name="Normal 4 2 15 5" xfId="1098" xr:uid="{71583971-6B43-450F-B7A8-BC6238D57DD5}"/>
    <cellStyle name="Normal 4 2 15 5 2" xfId="2819" xr:uid="{80C1D3A2-B698-48C1-BF24-CF2943E02246}"/>
    <cellStyle name="Normal 4 2 15 6" xfId="1316" xr:uid="{8F2901B0-9C60-45ED-A681-BE506DDFE354}"/>
    <cellStyle name="Normal 4 2 15 6 2" xfId="3037" xr:uid="{CB608E90-B270-4762-A2AA-A9E320638DEF}"/>
    <cellStyle name="Normal 4 2 15 7" xfId="1534" xr:uid="{7D49DD95-8DD3-41E2-BA91-2F5552E55EF4}"/>
    <cellStyle name="Normal 4 2 15 7 2" xfId="3255" xr:uid="{DA6A336B-1785-47B3-B201-B39D18D480D3}"/>
    <cellStyle name="Normal 4 2 15 8" xfId="1753" xr:uid="{5DCCD92B-F35C-433C-9C50-B7B3E88B71A4}"/>
    <cellStyle name="Normal 4 2 15 8 2" xfId="3474" xr:uid="{7E1E2FC2-9776-482C-BBC9-79FED49E95DB}"/>
    <cellStyle name="Normal 4 2 15 9" xfId="1973" xr:uid="{3D044997-8A78-4A21-B467-6B42D5A077B2}"/>
    <cellStyle name="Normal 4 2 16" xfId="235" xr:uid="{3C82D3AA-0D12-4EDF-9F27-240DC43D9708}"/>
    <cellStyle name="Normal 4 2 16 2" xfId="479" xr:uid="{A5A67B51-E588-4135-AF5F-82566C70B4AC}"/>
    <cellStyle name="Normal 4 2 16 2 2" xfId="2178" xr:uid="{93126779-B982-498B-8479-C5DA72D15D5A}"/>
    <cellStyle name="Normal 4 2 16 3" xfId="675" xr:uid="{436F859C-470B-4D0E-90AD-A0628EA9BF99}"/>
    <cellStyle name="Normal 4 2 16 3 2" xfId="2396" xr:uid="{A444285D-D6E8-4C93-B0B8-EFC575C5A848}"/>
    <cellStyle name="Normal 4 2 16 4" xfId="893" xr:uid="{BEA49870-4848-4416-8DE5-786C2F45C4A0}"/>
    <cellStyle name="Normal 4 2 16 4 2" xfId="2614" xr:uid="{A91C35FB-7D42-456A-8191-0325FB20694E}"/>
    <cellStyle name="Normal 4 2 16 5" xfId="1111" xr:uid="{36C45D8D-521A-418D-9E51-050B4AFAE801}"/>
    <cellStyle name="Normal 4 2 16 5 2" xfId="2832" xr:uid="{5BAB707C-9DF2-4F9F-B2F2-AFFFE7C6F98B}"/>
    <cellStyle name="Normal 4 2 16 6" xfId="1329" xr:uid="{1AD9F01D-A391-498E-95D9-083571FB6148}"/>
    <cellStyle name="Normal 4 2 16 6 2" xfId="3050" xr:uid="{DE281BC3-CB5B-4C22-989C-B2582600DDC7}"/>
    <cellStyle name="Normal 4 2 16 7" xfId="1547" xr:uid="{83B879FC-DC19-4975-AB3F-527CE1B568D0}"/>
    <cellStyle name="Normal 4 2 16 7 2" xfId="3268" xr:uid="{9173EBAF-8B19-437D-815C-F73072CBFD03}"/>
    <cellStyle name="Normal 4 2 16 8" xfId="1766" xr:uid="{DA4ED665-3217-4BC5-8E56-7CEF886C2A59}"/>
    <cellStyle name="Normal 4 2 16 8 2" xfId="3487" xr:uid="{150B2170-FA6E-4296-B3EB-183AD1DF7DB4}"/>
    <cellStyle name="Normal 4 2 16 9" xfId="1986" xr:uid="{D2749958-568F-4499-9F5A-CDE5712FD15B}"/>
    <cellStyle name="Normal 4 2 17" xfId="248" xr:uid="{86787C2C-5CE1-46BC-991D-605A5FF83B57}"/>
    <cellStyle name="Normal 4 2 17 2" xfId="688" xr:uid="{546E29B2-B58E-4D26-B8F8-35D575180ED3}"/>
    <cellStyle name="Normal 4 2 17 2 2" xfId="2409" xr:uid="{4D675167-F441-4BD5-B5F6-0676D7B254CF}"/>
    <cellStyle name="Normal 4 2 17 3" xfId="906" xr:uid="{42ED8178-76BE-4045-9BAB-E8FF47296898}"/>
    <cellStyle name="Normal 4 2 17 3 2" xfId="2627" xr:uid="{30A6C437-2DD0-44E0-AEFD-96377C05B0B2}"/>
    <cellStyle name="Normal 4 2 17 4" xfId="1124" xr:uid="{4E14567D-600B-4841-9C75-BBDB0B0B8008}"/>
    <cellStyle name="Normal 4 2 17 4 2" xfId="2845" xr:uid="{74D54BB8-8C39-44AE-A9D0-B340EDF44DEF}"/>
    <cellStyle name="Normal 4 2 17 5" xfId="1342" xr:uid="{B629AA9F-2602-4B71-82C2-A8006FD4EDA4}"/>
    <cellStyle name="Normal 4 2 17 5 2" xfId="3063" xr:uid="{FAAE9116-5565-4C10-A12E-8DBB1F566F56}"/>
    <cellStyle name="Normal 4 2 17 6" xfId="1560" xr:uid="{6A44C3FA-D4E0-4184-9A32-C1E9ACEE79DC}"/>
    <cellStyle name="Normal 4 2 17 6 2" xfId="3281" xr:uid="{C1A10B7F-AE36-4D53-95F7-CDB58676D937}"/>
    <cellStyle name="Normal 4 2 17 7" xfId="1779" xr:uid="{DDC48A48-893B-47B1-B75A-66F1908851A0}"/>
    <cellStyle name="Normal 4 2 17 7 2" xfId="3500" xr:uid="{0ED5517E-1F04-4552-A3AA-9701A0F7D024}"/>
    <cellStyle name="Normal 4 2 17 8" xfId="2191" xr:uid="{86185CFC-ED87-44A0-8EB7-E916F1784F8F}"/>
    <cellStyle name="Normal 4 2 18" xfId="261" xr:uid="{78ACE207-D959-4EA6-9E7D-2539B3047FB0}"/>
    <cellStyle name="Normal 4 2 18 2" xfId="701" xr:uid="{88D582B1-4FDD-4854-9CC6-486EC7F23A6B}"/>
    <cellStyle name="Normal 4 2 18 2 2" xfId="2422" xr:uid="{A3A3276A-07CF-4F2D-8C80-71D5B2918C0E}"/>
    <cellStyle name="Normal 4 2 18 3" xfId="919" xr:uid="{2F29F6C1-E94C-4E30-BDB3-EF00BF811C39}"/>
    <cellStyle name="Normal 4 2 18 3 2" xfId="2640" xr:uid="{FD990FFD-7079-4280-B037-E15F88F49054}"/>
    <cellStyle name="Normal 4 2 18 4" xfId="1137" xr:uid="{A8CDE583-DDED-4A86-9A2D-109CB6102B5C}"/>
    <cellStyle name="Normal 4 2 18 4 2" xfId="2858" xr:uid="{7A734D00-4F3D-4414-B7A9-A35BD9629AD6}"/>
    <cellStyle name="Normal 4 2 18 5" xfId="1355" xr:uid="{948177C7-B265-4177-9298-D3D21D05F2B1}"/>
    <cellStyle name="Normal 4 2 18 5 2" xfId="3076" xr:uid="{86F507A6-972C-4844-AB23-C7180472EB08}"/>
    <cellStyle name="Normal 4 2 18 6" xfId="1573" xr:uid="{C2D068BD-4DF1-4613-9D9E-D4C6CDAE66D4}"/>
    <cellStyle name="Normal 4 2 18 6 2" xfId="3294" xr:uid="{F8A52ED2-7DA0-4C02-8822-75E92AB27F61}"/>
    <cellStyle name="Normal 4 2 18 7" xfId="1792" xr:uid="{EEDA64BC-128E-4EAE-8CD4-5FF814AF3A78}"/>
    <cellStyle name="Normal 4 2 18 7 2" xfId="3513" xr:uid="{DF7AA51D-34A0-41F3-9A33-01209234DE7C}"/>
    <cellStyle name="Normal 4 2 18 8" xfId="2204" xr:uid="{44573AF0-4726-4814-8312-452AA68D4CAB}"/>
    <cellStyle name="Normal 4 2 19" xfId="301" xr:uid="{BC372BD7-3528-4DFD-9CF1-FCDF3F855E8B}"/>
    <cellStyle name="Normal 4 2 19 2" xfId="1999" xr:uid="{BA400554-5F89-4B80-B882-98C69F9CB2E8}"/>
    <cellStyle name="Normal 4 2 2" xfId="60" xr:uid="{BC99EF5F-B101-4AC1-AE41-9E2963D6CE06}"/>
    <cellStyle name="Normal 4 2 2 10" xfId="177" xr:uid="{37FB7EB3-9C97-4E5E-99CD-D40E88DA4459}"/>
    <cellStyle name="Normal 4 2 2 10 2" xfId="423" xr:uid="{BDE2497C-DAEA-411C-88C1-BB2F0347FD7F}"/>
    <cellStyle name="Normal 4 2 2 10 2 2" xfId="2122" xr:uid="{7EB9B93F-8D1E-47DC-B480-F08766C997E1}"/>
    <cellStyle name="Normal 4 2 2 10 3" xfId="619" xr:uid="{85A1CA0E-1264-4BAA-921D-77917C0DBA08}"/>
    <cellStyle name="Normal 4 2 2 10 3 2" xfId="2340" xr:uid="{9FED89BE-CE43-4776-8CCB-4A85862D88D7}"/>
    <cellStyle name="Normal 4 2 2 10 4" xfId="837" xr:uid="{2BEEEFF9-1AC2-4AFD-BE8C-182F79479940}"/>
    <cellStyle name="Normal 4 2 2 10 4 2" xfId="2558" xr:uid="{7E6C5B8B-FD7F-4A62-BE52-5B3DE1D81E25}"/>
    <cellStyle name="Normal 4 2 2 10 5" xfId="1055" xr:uid="{72306E8F-C3D0-48A4-AF44-8151DFA88034}"/>
    <cellStyle name="Normal 4 2 2 10 5 2" xfId="2776" xr:uid="{73927875-F65B-4AA8-AF6C-904970D07A44}"/>
    <cellStyle name="Normal 4 2 2 10 6" xfId="1273" xr:uid="{D83CEC9B-7A1F-452A-B55B-2E1EDC66049A}"/>
    <cellStyle name="Normal 4 2 2 10 6 2" xfId="2994" xr:uid="{7366FC7B-65A9-4533-B3A5-4A5E5F9E7F7A}"/>
    <cellStyle name="Normal 4 2 2 10 7" xfId="1491" xr:uid="{4E273D79-BBC9-44D0-9E53-E0879FAA2769}"/>
    <cellStyle name="Normal 4 2 2 10 7 2" xfId="3212" xr:uid="{0455780D-015E-4B1A-AC2F-F62416D6793B}"/>
    <cellStyle name="Normal 4 2 2 10 8" xfId="1710" xr:uid="{7EC2039B-B9C9-45D6-B9C4-5B7807927B6F}"/>
    <cellStyle name="Normal 4 2 2 10 8 2" xfId="3431" xr:uid="{7F585225-3E23-481C-98FC-F1C4DAACDA4E}"/>
    <cellStyle name="Normal 4 2 2 10 9" xfId="1930" xr:uid="{DB0FCFA9-72BA-442C-B35A-DD34433E7CC6}"/>
    <cellStyle name="Normal 4 2 2 11" xfId="190" xr:uid="{5EEE12DA-ADC5-4501-A061-206CAD455CFC}"/>
    <cellStyle name="Normal 4 2 2 11 2" xfId="436" xr:uid="{2BC77CA8-2665-4760-8249-3CCD554593C4}"/>
    <cellStyle name="Normal 4 2 2 11 2 2" xfId="2135" xr:uid="{A7AB1242-7374-49EC-84CE-EBE2FF90F8D7}"/>
    <cellStyle name="Normal 4 2 2 11 3" xfId="632" xr:uid="{19847596-BCE7-44A1-BA6B-EBA4EC9D40EE}"/>
    <cellStyle name="Normal 4 2 2 11 3 2" xfId="2353" xr:uid="{6C852DC3-1601-4A00-B6FF-9A8CBB51E411}"/>
    <cellStyle name="Normal 4 2 2 11 4" xfId="850" xr:uid="{7E38BEFB-5BF6-403F-834B-86218374383C}"/>
    <cellStyle name="Normal 4 2 2 11 4 2" xfId="2571" xr:uid="{D88E606B-F75C-45DF-93FB-A81C1BA4EB4D}"/>
    <cellStyle name="Normal 4 2 2 11 5" xfId="1068" xr:uid="{7716FE10-0288-4E7A-A277-A8254AD64407}"/>
    <cellStyle name="Normal 4 2 2 11 5 2" xfId="2789" xr:uid="{E72BC9B5-6AC4-495D-ABD9-E167C18DC1CF}"/>
    <cellStyle name="Normal 4 2 2 11 6" xfId="1286" xr:uid="{F0638EBF-F435-45AE-8E11-44FBDD1285C3}"/>
    <cellStyle name="Normal 4 2 2 11 6 2" xfId="3007" xr:uid="{1829A154-F0BE-4A16-AFEC-08152CF7E7CE}"/>
    <cellStyle name="Normal 4 2 2 11 7" xfId="1504" xr:uid="{930DA36E-DA91-4632-A71F-9F052127A0EE}"/>
    <cellStyle name="Normal 4 2 2 11 7 2" xfId="3225" xr:uid="{30FADE55-1FEC-4A1E-A658-CBAA5C259DA0}"/>
    <cellStyle name="Normal 4 2 2 11 8" xfId="1723" xr:uid="{0681F4CC-2500-4844-B537-A75866C6244F}"/>
    <cellStyle name="Normal 4 2 2 11 8 2" xfId="3444" xr:uid="{1CF7BDFE-2286-4E41-BB2D-DE3C92CF3911}"/>
    <cellStyle name="Normal 4 2 2 11 9" xfId="1943" xr:uid="{F000A8DB-A0BF-4190-AD06-1DA4BBE85AFA}"/>
    <cellStyle name="Normal 4 2 2 12" xfId="203" xr:uid="{FBA9E878-1994-49F1-BAA2-F68217A62408}"/>
    <cellStyle name="Normal 4 2 2 12 2" xfId="449" xr:uid="{468B0D91-0E92-4C9F-BAD9-A0F694845CA0}"/>
    <cellStyle name="Normal 4 2 2 12 2 2" xfId="2148" xr:uid="{C93D85D1-6B92-4619-ACEB-9459F4CCF10C}"/>
    <cellStyle name="Normal 4 2 2 12 3" xfId="645" xr:uid="{E2BD96F6-6920-4CD8-9901-D207DAC604AA}"/>
    <cellStyle name="Normal 4 2 2 12 3 2" xfId="2366" xr:uid="{6D1C2886-465B-496E-B6C1-34FDFF2A2AF0}"/>
    <cellStyle name="Normal 4 2 2 12 4" xfId="863" xr:uid="{CC3EE103-C807-4DA9-AB67-FEE6F09BA13B}"/>
    <cellStyle name="Normal 4 2 2 12 4 2" xfId="2584" xr:uid="{F24E8837-57AA-401A-9B6A-C3B67ED28D3D}"/>
    <cellStyle name="Normal 4 2 2 12 5" xfId="1081" xr:uid="{6FAB1C5B-E05F-4A22-94EA-EA0F9EE80F18}"/>
    <cellStyle name="Normal 4 2 2 12 5 2" xfId="2802" xr:uid="{4B41C88E-8A5F-451E-857A-B2150AEAF102}"/>
    <cellStyle name="Normal 4 2 2 12 6" xfId="1299" xr:uid="{3F15173B-A7AD-4FD6-9BC0-39A3A87E24C8}"/>
    <cellStyle name="Normal 4 2 2 12 6 2" xfId="3020" xr:uid="{F970F290-D5DC-4267-A632-CD9397FF67E6}"/>
    <cellStyle name="Normal 4 2 2 12 7" xfId="1517" xr:uid="{A59D5273-C85A-46B4-8540-CACCAE66BD0F}"/>
    <cellStyle name="Normal 4 2 2 12 7 2" xfId="3238" xr:uid="{FB7E8D3D-7F21-43D8-9715-A1FCD5A843B6}"/>
    <cellStyle name="Normal 4 2 2 12 8" xfId="1736" xr:uid="{2F242A92-9410-45FD-BBF2-BC565DCC38EE}"/>
    <cellStyle name="Normal 4 2 2 12 8 2" xfId="3457" xr:uid="{BB54EC07-45F1-466E-8782-86ABF45EABC6}"/>
    <cellStyle name="Normal 4 2 2 12 9" xfId="1956" xr:uid="{AFFB8721-DFF3-4FA0-97CB-E350FCB8B06D}"/>
    <cellStyle name="Normal 4 2 2 13" xfId="210" xr:uid="{7BCFDDF6-1BCF-42A2-AD1C-69DB3C8C2277}"/>
    <cellStyle name="Normal 4 2 2 13 2" xfId="454" xr:uid="{02C49A7D-476C-47A5-8AC9-B09C9B120B68}"/>
    <cellStyle name="Normal 4 2 2 13 2 2" xfId="2153" xr:uid="{3BDB24B9-C14F-4EC3-83DA-61EA66C94DD7}"/>
    <cellStyle name="Normal 4 2 2 13 3" xfId="650" xr:uid="{48BEFB72-604B-436A-99F0-BAC24F6A793F}"/>
    <cellStyle name="Normal 4 2 2 13 3 2" xfId="2371" xr:uid="{CE77CE61-B66D-47EA-9359-2CBFE693F48B}"/>
    <cellStyle name="Normal 4 2 2 13 4" xfId="868" xr:uid="{8B2DB506-0597-4087-ADF3-184A0D9E5B21}"/>
    <cellStyle name="Normal 4 2 2 13 4 2" xfId="2589" xr:uid="{E3722E8E-94C3-45DB-8845-071CC750C684}"/>
    <cellStyle name="Normal 4 2 2 13 5" xfId="1086" xr:uid="{A0FCD78C-5C20-4703-BDE6-8DEE1EC4FF03}"/>
    <cellStyle name="Normal 4 2 2 13 5 2" xfId="2807" xr:uid="{7532968A-5449-4571-A923-8E174049609B}"/>
    <cellStyle name="Normal 4 2 2 13 6" xfId="1304" xr:uid="{0095289F-4A98-4B5D-918B-EC4BCCDB79EC}"/>
    <cellStyle name="Normal 4 2 2 13 6 2" xfId="3025" xr:uid="{894976D1-43A9-46B8-A18C-A27B89D33CD2}"/>
    <cellStyle name="Normal 4 2 2 13 7" xfId="1522" xr:uid="{52F7891E-43F6-4BD2-8659-CD4285D86833}"/>
    <cellStyle name="Normal 4 2 2 13 7 2" xfId="3243" xr:uid="{79FF1193-A0A6-4CE8-A442-E2BC5E9BE62D}"/>
    <cellStyle name="Normal 4 2 2 13 8" xfId="1741" xr:uid="{187E2CFA-3C04-40C6-AB83-A0497C97ADF2}"/>
    <cellStyle name="Normal 4 2 2 13 8 2" xfId="3462" xr:uid="{887D1E6D-F378-4C6D-852D-F328D66004CE}"/>
    <cellStyle name="Normal 4 2 2 13 9" xfId="1961" xr:uid="{7BC5233F-D0BE-4FCB-8D8B-0FA30BDB0006}"/>
    <cellStyle name="Normal 4 2 2 14" xfId="228" xr:uid="{64E778A4-E02B-4875-9982-0DEDA7FEAB21}"/>
    <cellStyle name="Normal 4 2 2 14 2" xfId="472" xr:uid="{315BB6E8-44E0-4E4A-82CC-C32AA47C30B6}"/>
    <cellStyle name="Normal 4 2 2 14 2 2" xfId="2171" xr:uid="{FF05E461-2B28-44F9-B802-C989745BDF33}"/>
    <cellStyle name="Normal 4 2 2 14 3" xfId="668" xr:uid="{64A8A313-800B-4BEC-8BD0-E2642A386043}"/>
    <cellStyle name="Normal 4 2 2 14 3 2" xfId="2389" xr:uid="{F5966788-1179-4A43-8543-1DEF529AC0D3}"/>
    <cellStyle name="Normal 4 2 2 14 4" xfId="886" xr:uid="{E01D2558-5A8D-468F-B14C-45A158331DE6}"/>
    <cellStyle name="Normal 4 2 2 14 4 2" xfId="2607" xr:uid="{E08597B3-05E3-48AB-8500-2A7244CDD7FE}"/>
    <cellStyle name="Normal 4 2 2 14 5" xfId="1104" xr:uid="{4DD05685-F0DD-48F1-9C40-1B45A2E4A5D9}"/>
    <cellStyle name="Normal 4 2 2 14 5 2" xfId="2825" xr:uid="{C3AA10C5-9207-480D-AF74-DC259E713BCF}"/>
    <cellStyle name="Normal 4 2 2 14 6" xfId="1322" xr:uid="{6E39910C-E26B-4CEB-9D67-C200A7E13857}"/>
    <cellStyle name="Normal 4 2 2 14 6 2" xfId="3043" xr:uid="{56E2018A-529F-4733-9561-25FC3D1FB527}"/>
    <cellStyle name="Normal 4 2 2 14 7" xfId="1540" xr:uid="{BCD99F2A-DCB5-4944-8A16-09267ECBAE75}"/>
    <cellStyle name="Normal 4 2 2 14 7 2" xfId="3261" xr:uid="{5B29FF43-E2F7-4B8D-AAD0-612F7B5253B9}"/>
    <cellStyle name="Normal 4 2 2 14 8" xfId="1759" xr:uid="{109BDC79-CED0-4AC6-A424-3F01038BCEF3}"/>
    <cellStyle name="Normal 4 2 2 14 8 2" xfId="3480" xr:uid="{7CBC8808-E589-4149-8209-286A6CA3291A}"/>
    <cellStyle name="Normal 4 2 2 14 9" xfId="1979" xr:uid="{662605AB-E646-4082-889A-A5A4A4971D61}"/>
    <cellStyle name="Normal 4 2 2 15" xfId="241" xr:uid="{5005301B-0DF3-4EA5-B3CD-902830EE8A50}"/>
    <cellStyle name="Normal 4 2 2 15 2" xfId="485" xr:uid="{80C4DEFA-F3DB-4A14-BB88-7A588E9B8427}"/>
    <cellStyle name="Normal 4 2 2 15 2 2" xfId="2184" xr:uid="{8B58EAC8-B332-415C-845F-E360E59B5F59}"/>
    <cellStyle name="Normal 4 2 2 15 3" xfId="681" xr:uid="{F681E347-152F-452E-8F03-2B134BDA845B}"/>
    <cellStyle name="Normal 4 2 2 15 3 2" xfId="2402" xr:uid="{C5364B97-99A3-46E3-B253-3FA6E25F7393}"/>
    <cellStyle name="Normal 4 2 2 15 4" xfId="899" xr:uid="{47E3CB2A-8BCA-4A45-B84E-597A229A2AD0}"/>
    <cellStyle name="Normal 4 2 2 15 4 2" xfId="2620" xr:uid="{BF5F5771-EBAE-4E68-A733-CB580253885C}"/>
    <cellStyle name="Normal 4 2 2 15 5" xfId="1117" xr:uid="{A9CB6697-88DC-4B97-9619-6ED3C0322ADA}"/>
    <cellStyle name="Normal 4 2 2 15 5 2" xfId="2838" xr:uid="{360F3250-97C8-4687-83F8-058613C75BD7}"/>
    <cellStyle name="Normal 4 2 2 15 6" xfId="1335" xr:uid="{C249097A-A34C-4AA1-B6F8-E51595ACFEFC}"/>
    <cellStyle name="Normal 4 2 2 15 6 2" xfId="3056" xr:uid="{0B0B04A3-4BD3-4AFC-9AA4-4DCA99A9F82D}"/>
    <cellStyle name="Normal 4 2 2 15 7" xfId="1553" xr:uid="{F0A5E8A1-7134-40E8-9EB8-B174CC7FB7EA}"/>
    <cellStyle name="Normal 4 2 2 15 7 2" xfId="3274" xr:uid="{8DBE9F13-2083-4A4D-BB4F-A7C2AC99DDFA}"/>
    <cellStyle name="Normal 4 2 2 15 8" xfId="1772" xr:uid="{FF42780B-159B-41B1-B480-CF9265863D28}"/>
    <cellStyle name="Normal 4 2 2 15 8 2" xfId="3493" xr:uid="{522FC66C-6FDA-46A7-B1D6-805FA743B1C2}"/>
    <cellStyle name="Normal 4 2 2 15 9" xfId="1992" xr:uid="{F0DEF802-536F-4C90-A760-A5F8D1E9F621}"/>
    <cellStyle name="Normal 4 2 2 16" xfId="254" xr:uid="{D8570BEB-7177-45D1-B75E-6B9C159EA67A}"/>
    <cellStyle name="Normal 4 2 2 16 2" xfId="694" xr:uid="{ECAAFB0E-1D02-47BB-847B-8D51FAADE9BA}"/>
    <cellStyle name="Normal 4 2 2 16 2 2" xfId="2415" xr:uid="{1ABA5D9A-AE14-453C-9AB8-10675C36E9FD}"/>
    <cellStyle name="Normal 4 2 2 16 3" xfId="912" xr:uid="{7080864D-E17B-4ACF-9566-E4DCB129409C}"/>
    <cellStyle name="Normal 4 2 2 16 3 2" xfId="2633" xr:uid="{4879AA17-1F6D-4A4C-86FF-D846B4040989}"/>
    <cellStyle name="Normal 4 2 2 16 4" xfId="1130" xr:uid="{1D89D1D5-66DC-45A5-9D2E-01C12EC18245}"/>
    <cellStyle name="Normal 4 2 2 16 4 2" xfId="2851" xr:uid="{A67035B7-67EF-4D56-AB6F-626261A8CF62}"/>
    <cellStyle name="Normal 4 2 2 16 5" xfId="1348" xr:uid="{817BEDD8-C6DB-4560-B0CE-90961DF8289B}"/>
    <cellStyle name="Normal 4 2 2 16 5 2" xfId="3069" xr:uid="{2DF331CA-8C2E-4BB0-A6AF-77063B39A569}"/>
    <cellStyle name="Normal 4 2 2 16 6" xfId="1566" xr:uid="{4867FD5A-6E27-49D6-BAA8-4FC27AD4281C}"/>
    <cellStyle name="Normal 4 2 2 16 6 2" xfId="3287" xr:uid="{22830837-D97F-4CBF-87A6-E74005B6F4AC}"/>
    <cellStyle name="Normal 4 2 2 16 7" xfId="1785" xr:uid="{822371B0-B613-471D-962F-32D61B4632E7}"/>
    <cellStyle name="Normal 4 2 2 16 7 2" xfId="3506" xr:uid="{E2F8B091-53F9-4231-9236-9FEF11411653}"/>
    <cellStyle name="Normal 4 2 2 16 8" xfId="2197" xr:uid="{68537154-490C-46A3-BA83-233E807C1DA2}"/>
    <cellStyle name="Normal 4 2 2 17" xfId="267" xr:uid="{81A2F97E-4524-4819-ACEF-2CF46A985B88}"/>
    <cellStyle name="Normal 4 2 2 17 2" xfId="707" xr:uid="{03A3E5C2-7AAC-45B1-8812-66C604C6607B}"/>
    <cellStyle name="Normal 4 2 2 17 2 2" xfId="2428" xr:uid="{93F139D4-B321-4664-B586-5B1E94ECFAE0}"/>
    <cellStyle name="Normal 4 2 2 17 3" xfId="925" xr:uid="{5D8EE7AC-5105-4CEC-A076-F53322AEB057}"/>
    <cellStyle name="Normal 4 2 2 17 3 2" xfId="2646" xr:uid="{C2507A62-0B11-4EBF-9D5D-6C891734A9FF}"/>
    <cellStyle name="Normal 4 2 2 17 4" xfId="1143" xr:uid="{1FC0540F-0354-47C4-85A1-EA6CAA9471A4}"/>
    <cellStyle name="Normal 4 2 2 17 4 2" xfId="2864" xr:uid="{AEFB1D63-D363-4912-8985-407ECE331D5F}"/>
    <cellStyle name="Normal 4 2 2 17 5" xfId="1361" xr:uid="{5E1C80D3-5B40-4B5C-8710-1141D303B93D}"/>
    <cellStyle name="Normal 4 2 2 17 5 2" xfId="3082" xr:uid="{EB15AD94-EB6D-4929-A37F-A7E649156A55}"/>
    <cellStyle name="Normal 4 2 2 17 6" xfId="1579" xr:uid="{19D08086-60FD-49C3-B24D-E59FBA6FA250}"/>
    <cellStyle name="Normal 4 2 2 17 6 2" xfId="3300" xr:uid="{A26B17BA-2791-410A-8AFA-22186D25319C}"/>
    <cellStyle name="Normal 4 2 2 17 7" xfId="1798" xr:uid="{C503CECF-35DB-4713-8B4F-A500F348B9F6}"/>
    <cellStyle name="Normal 4 2 2 17 7 2" xfId="3519" xr:uid="{4CD22BAF-17C8-46E4-B13E-5919353D88D7}"/>
    <cellStyle name="Normal 4 2 2 17 8" xfId="2210" xr:uid="{14A05E11-893D-4085-884F-123E24A7B1C4}"/>
    <cellStyle name="Normal 4 2 2 18" xfId="307" xr:uid="{774F854F-7147-463B-A5CA-5CA558DD45C8}"/>
    <cellStyle name="Normal 4 2 2 18 2" xfId="2005" xr:uid="{726AF024-CDC8-4068-92EC-5A102E9062A6}"/>
    <cellStyle name="Normal 4 2 2 19" xfId="502" xr:uid="{665F88D2-5D00-4477-9EFD-60FC17D4ED01}"/>
    <cellStyle name="Normal 4 2 2 19 2" xfId="2223" xr:uid="{6E384B46-E121-4426-8513-9D480C0E3899}"/>
    <cellStyle name="Normal 4 2 2 2" xfId="73" xr:uid="{1205E274-D7AD-457B-B7E7-53A7EF28D4E5}"/>
    <cellStyle name="Normal 4 2 2 2 10" xfId="1826" xr:uid="{94406F8F-00DC-4959-910F-0D9527659C90}"/>
    <cellStyle name="Normal 4 2 2 2 2" xfId="215" xr:uid="{3C717E05-B2FA-4DEC-88FE-CCF4BA02C9E0}"/>
    <cellStyle name="Normal 4 2 2 2 2 2" xfId="459" xr:uid="{DB152FC2-FF80-4B3D-B779-8FCC7FD54EB8}"/>
    <cellStyle name="Normal 4 2 2 2 2 2 2" xfId="2158" xr:uid="{E8F33828-62A0-4436-A34D-4D5BB1A5231F}"/>
    <cellStyle name="Normal 4 2 2 2 2 2 2 2" xfId="3772" xr:uid="{42218984-76E6-4A4C-8E91-51A9A2DCCCC3}"/>
    <cellStyle name="Normal 4 2 2 2 2 2 2 2 2" xfId="4012" xr:uid="{3CF7BE9A-11F0-49D2-8A00-7EDD2B83FA30}"/>
    <cellStyle name="Normal 4 2 2 2 2 2 2 2 2 2" xfId="4550" xr:uid="{38E6034F-CD95-43A0-80E1-1BACC624458A}"/>
    <cellStyle name="Normal 4 2 2 2 2 2 2 2 3" xfId="4281" xr:uid="{B59A2294-C0DB-4EB3-8BE8-16ECE6A933C8}"/>
    <cellStyle name="Normal 4 2 2 2 2 2 2 3" xfId="3892" xr:uid="{EAED41D9-0FA6-45DB-8FE6-9A6710F65B1E}"/>
    <cellStyle name="Normal 4 2 2 2 2 2 2 3 2" xfId="4401" xr:uid="{8DF2A168-2437-4BBE-80D5-5DAFC8AB161E}"/>
    <cellStyle name="Normal 4 2 2 2 2 2 2 4" xfId="4132" xr:uid="{72E5D163-2817-4C62-B0D9-72891A1B5F1F}"/>
    <cellStyle name="Normal 4 2 2 2 2 2 3" xfId="3725" xr:uid="{784A738B-1677-41DC-96CA-C14C1283BD4E}"/>
    <cellStyle name="Normal 4 2 2 2 2 2 3 2" xfId="3944" xr:uid="{AD767037-3354-4E1F-8B5D-3CD3AB601E7A}"/>
    <cellStyle name="Normal 4 2 2 2 2 2 3 2 2" xfId="4478" xr:uid="{40610741-BF94-4BCD-9EB2-43F959EFAC7E}"/>
    <cellStyle name="Normal 4 2 2 2 2 2 3 3" xfId="4209" xr:uid="{35E9665F-5231-443C-9E75-16051BB5A1F0}"/>
    <cellStyle name="Normal 4 2 2 2 2 2 4" xfId="3824" xr:uid="{80D5D202-4C12-45D0-A70C-BEF99B0A4C6C}"/>
    <cellStyle name="Normal 4 2 2 2 2 2 4 2" xfId="4333" xr:uid="{834AEEB8-22CE-4612-AF3C-5AD9DC9625E5}"/>
    <cellStyle name="Normal 4 2 2 2 2 2 5" xfId="4064" xr:uid="{540217B0-7892-4779-A8FE-2C0FDEA9CCD7}"/>
    <cellStyle name="Normal 4 2 2 2 2 3" xfId="655" xr:uid="{1394FA17-4056-4B0D-8A2D-825DE5D77DB1}"/>
    <cellStyle name="Normal 4 2 2 2 2 3 2" xfId="2376" xr:uid="{362A4375-9C74-4F11-A1B3-8593C1752ED2}"/>
    <cellStyle name="Normal 4 2 2 2 2 3 2 2" xfId="3976" xr:uid="{72246F4E-D74A-4119-A1F9-B4A9D5A223A8}"/>
    <cellStyle name="Normal 4 2 2 2 2 3 2 2 2" xfId="4514" xr:uid="{1FE14A8B-E0A7-498E-8C5B-FD8F185A6C16}"/>
    <cellStyle name="Normal 4 2 2 2 2 3 2 3" xfId="4245" xr:uid="{D87348A7-CA4A-4908-9EAA-3F2A300ACCF1}"/>
    <cellStyle name="Normal 4 2 2 2 2 3 3" xfId="3856" xr:uid="{8C60DAD0-1178-404D-A9B0-3D564EBE1E77}"/>
    <cellStyle name="Normal 4 2 2 2 2 3 3 2" xfId="4365" xr:uid="{9CB72D0B-9141-4488-95B0-CD81D06A4D24}"/>
    <cellStyle name="Normal 4 2 2 2 2 3 4" xfId="4096" xr:uid="{682864BF-872F-4EFE-9C71-67720ED1B5E0}"/>
    <cellStyle name="Normal 4 2 2 2 2 4" xfId="873" xr:uid="{3EA96A25-F1CD-4626-80A2-92E607F9661E}"/>
    <cellStyle name="Normal 4 2 2 2 2 4 2" xfId="2594" xr:uid="{EA71F85A-4A81-4DA1-957A-158EC954B576}"/>
    <cellStyle name="Normal 4 2 2 2 2 4 2 2" xfId="4442" xr:uid="{287B83E8-5A26-48F0-AD80-2F7F204641BB}"/>
    <cellStyle name="Normal 4 2 2 2 2 4 3" xfId="4173" xr:uid="{3DF46CE5-6250-4377-95C0-D90400FAE66F}"/>
    <cellStyle name="Normal 4 2 2 2 2 5" xfId="1091" xr:uid="{7A94D105-04BB-4F06-A2C9-0EA0C2511F5E}"/>
    <cellStyle name="Normal 4 2 2 2 2 5 2" xfId="2812" xr:uid="{411291B8-C8DF-4335-A9F4-26EAE15D1920}"/>
    <cellStyle name="Normal 4 2 2 2 2 6" xfId="1309" xr:uid="{686ECEE0-C200-4EA5-84D6-9C7ED3D5F334}"/>
    <cellStyle name="Normal 4 2 2 2 2 6 2" xfId="3030" xr:uid="{3753629C-3609-4A50-9415-FF98BA7BFD18}"/>
    <cellStyle name="Normal 4 2 2 2 2 7" xfId="1527" xr:uid="{7C2C8D23-611E-43E7-84DD-245516D43B3B}"/>
    <cellStyle name="Normal 4 2 2 2 2 7 2" xfId="3248" xr:uid="{6E79BD11-E05B-4038-BD93-03388B040060}"/>
    <cellStyle name="Normal 4 2 2 2 2 8" xfId="1746" xr:uid="{A9D66253-3C9D-4A84-B125-D8749D30A779}"/>
    <cellStyle name="Normal 4 2 2 2 2 8 2" xfId="3467" xr:uid="{FB3E1517-FE92-4776-A8D1-1E3F04FCF0F5}"/>
    <cellStyle name="Normal 4 2 2 2 2 9" xfId="1966" xr:uid="{FC0FD519-BCA1-4D62-A970-A3AC1710954A}"/>
    <cellStyle name="Normal 4 2 2 2 3" xfId="319" xr:uid="{A96ABCD3-700F-4B10-B553-C57DB9BE5668}"/>
    <cellStyle name="Normal 4 2 2 2 3 2" xfId="2018" xr:uid="{B3736BD1-EF26-4327-969B-10B2E7A7DB6B}"/>
    <cellStyle name="Normal 4 2 2 2 3 2 2" xfId="3754" xr:uid="{72E2ADF9-E545-4414-91DD-D8F08BB1FE04}"/>
    <cellStyle name="Normal 4 2 2 2 3 2 2 2" xfId="3994" xr:uid="{F30E5537-1341-426A-AD37-DE6F5DF48670}"/>
    <cellStyle name="Normal 4 2 2 2 3 2 2 2 2" xfId="4532" xr:uid="{21B188AE-589B-458E-BDFB-89635FF20A8F}"/>
    <cellStyle name="Normal 4 2 2 2 3 2 2 3" xfId="4263" xr:uid="{AC7DFB4F-1E97-4495-9F03-9A927F6C28DB}"/>
    <cellStyle name="Normal 4 2 2 2 3 2 3" xfId="3874" xr:uid="{B96D5A6E-9BA9-47F6-9380-600CCF982CC8}"/>
    <cellStyle name="Normal 4 2 2 2 3 2 3 2" xfId="4383" xr:uid="{528452B6-E3CA-48B3-B4E2-741B8C2F1E60}"/>
    <cellStyle name="Normal 4 2 2 2 3 2 4" xfId="4114" xr:uid="{6854138A-0F07-438E-9E6B-4AE50DEE5616}"/>
    <cellStyle name="Normal 4 2 2 2 3 3" xfId="3707" xr:uid="{69798957-A980-4482-8817-25B7EB29CB6D}"/>
    <cellStyle name="Normal 4 2 2 2 3 3 2" xfId="3926" xr:uid="{0ED6D176-DCBD-46B8-BF07-CEA7D78B22A7}"/>
    <cellStyle name="Normal 4 2 2 2 3 3 2 2" xfId="4460" xr:uid="{267A724F-9896-4751-9282-22E3FC37DFBA}"/>
    <cellStyle name="Normal 4 2 2 2 3 3 3" xfId="4191" xr:uid="{2D3CC7EC-61A0-4196-8C78-D5480BCB12D0}"/>
    <cellStyle name="Normal 4 2 2 2 3 4" xfId="3806" xr:uid="{55696709-773C-44C6-9BB1-4AF3840D4E30}"/>
    <cellStyle name="Normal 4 2 2 2 3 4 2" xfId="4315" xr:uid="{EE9DB304-6432-4B24-9B42-E4E601E3D894}"/>
    <cellStyle name="Normal 4 2 2 2 3 5" xfId="4046" xr:uid="{D041001A-C633-404E-974C-CEF7B9320B0E}"/>
    <cellStyle name="Normal 4 2 2 2 4" xfId="515" xr:uid="{D8E440D2-806D-48E4-AEAB-5049D3B5716D}"/>
    <cellStyle name="Normal 4 2 2 2 4 2" xfId="2236" xr:uid="{15C2AE7F-8736-4AC5-AB11-EFE33D5C3B76}"/>
    <cellStyle name="Normal 4 2 2 2 4 2 2" xfId="3958" xr:uid="{148EA33D-0F85-4ADB-90A7-6EE2DB53891B}"/>
    <cellStyle name="Normal 4 2 2 2 4 2 2 2" xfId="4496" xr:uid="{50CC8D51-CFBF-44EE-A8B7-CC9F44994CED}"/>
    <cellStyle name="Normal 4 2 2 2 4 2 3" xfId="4227" xr:uid="{99A92528-3131-4021-991F-1040D0C3AAD8}"/>
    <cellStyle name="Normal 4 2 2 2 4 3" xfId="3838" xr:uid="{B081A798-6A1F-42E9-AF7F-A475580FD793}"/>
    <cellStyle name="Normal 4 2 2 2 4 3 2" xfId="4347" xr:uid="{A4335DAD-1C74-43BF-9FC3-3DE407D3100B}"/>
    <cellStyle name="Normal 4 2 2 2 4 4" xfId="4078" xr:uid="{2B766ABE-BF93-4724-AFAD-D10AC9CA4823}"/>
    <cellStyle name="Normal 4 2 2 2 5" xfId="733" xr:uid="{E4F7FD5F-B4C7-45D1-8DC6-AA547DF69C5E}"/>
    <cellStyle name="Normal 4 2 2 2 5 2" xfId="2454" xr:uid="{FB713011-EC2E-4AE1-92DC-12BAA949ED12}"/>
    <cellStyle name="Normal 4 2 2 2 5 2 2" xfId="4424" xr:uid="{8EADFA12-9E85-4A2A-9866-179A97B81489}"/>
    <cellStyle name="Normal 4 2 2 2 5 3" xfId="4155" xr:uid="{62122EBD-9461-48C1-AC64-D7673E6A7103}"/>
    <cellStyle name="Normal 4 2 2 2 6" xfId="951" xr:uid="{90DBB42F-3CC5-48FD-91E3-3E909D41BC37}"/>
    <cellStyle name="Normal 4 2 2 2 6 2" xfId="2672" xr:uid="{99977D8D-A0DC-4102-BF66-A21F714E10CA}"/>
    <cellStyle name="Normal 4 2 2 2 7" xfId="1169" xr:uid="{78982463-D815-498D-894E-CBD3DE19A775}"/>
    <cellStyle name="Normal 4 2 2 2 7 2" xfId="2890" xr:uid="{B7B118E5-83E8-4622-93D4-D63FDF2B6393}"/>
    <cellStyle name="Normal 4 2 2 2 8" xfId="1387" xr:uid="{6EFF15AC-9FDF-4A8D-B6F0-33FB188171A4}"/>
    <cellStyle name="Normal 4 2 2 2 8 2" xfId="3108" xr:uid="{F6DC4A69-1ACB-48FC-BCB0-6F11CB08F10D}"/>
    <cellStyle name="Normal 4 2 2 2 9" xfId="1606" xr:uid="{4E6470CF-D5E8-4CF5-ABDB-42056645189D}"/>
    <cellStyle name="Normal 4 2 2 2 9 2" xfId="3327" xr:uid="{519BE336-7D03-4B21-9E88-56B58BFA2606}"/>
    <cellStyle name="Normal 4 2 2 20" xfId="720" xr:uid="{293A67C0-0B4D-4941-BE72-4C4C0F4CFC5E}"/>
    <cellStyle name="Normal 4 2 2 20 2" xfId="2441" xr:uid="{0DF21EC5-0ACC-4E12-8CAC-D09713903A22}"/>
    <cellStyle name="Normal 4 2 2 21" xfId="938" xr:uid="{3EC848B2-C18F-48BD-ACB5-337759BD7CB7}"/>
    <cellStyle name="Normal 4 2 2 21 2" xfId="2659" xr:uid="{8F37EC7D-DBD1-4C10-A5A4-E84EA1F90BE3}"/>
    <cellStyle name="Normal 4 2 2 22" xfId="1156" xr:uid="{B8B001D7-ADFD-4458-9093-7ACA2AB53356}"/>
    <cellStyle name="Normal 4 2 2 22 2" xfId="2877" xr:uid="{8BC53AD0-CCED-49F8-B9CB-D2C9D0FCD492}"/>
    <cellStyle name="Normal 4 2 2 23" xfId="1374" xr:uid="{F1B4DACF-0C4E-4667-B7BD-5630B494E4BC}"/>
    <cellStyle name="Normal 4 2 2 23 2" xfId="3095" xr:uid="{C3B2D520-77F8-401B-9EC8-DE0E5017C231}"/>
    <cellStyle name="Normal 4 2 2 24" xfId="1593" xr:uid="{1CBD8F1E-389A-4AF3-AA46-A762394B828B}"/>
    <cellStyle name="Normal 4 2 2 24 2" xfId="3314" xr:uid="{253897C5-8104-4E65-9904-8102999FB0C5}"/>
    <cellStyle name="Normal 4 2 2 25" xfId="1813" xr:uid="{7D4A63CB-682C-425D-BD71-7909000E7905}"/>
    <cellStyle name="Normal 4 2 2 3" xfId="86" xr:uid="{93059E68-03E5-477E-A77E-5BD81B3DFB43}"/>
    <cellStyle name="Normal 4 2 2 3 2" xfId="332" xr:uid="{CDA094B9-F8E6-4E5C-8F90-26892CB98FF4}"/>
    <cellStyle name="Normal 4 2 2 3 2 2" xfId="2031" xr:uid="{9C3F5548-37D0-4D49-B3E8-777EC2FBDE66}"/>
    <cellStyle name="Normal 4 2 2 3 2 2 2" xfId="3763" xr:uid="{7EAF4678-28ED-45C7-8615-99FD15482008}"/>
    <cellStyle name="Normal 4 2 2 3 2 2 2 2" xfId="4003" xr:uid="{EECC5112-EF89-4643-AEDF-C0085F0E46C9}"/>
    <cellStyle name="Normal 4 2 2 3 2 2 2 2 2" xfId="4541" xr:uid="{97AC36F1-C66F-4ADB-A568-9D48588A4875}"/>
    <cellStyle name="Normal 4 2 2 3 2 2 2 3" xfId="4272" xr:uid="{E411B61E-7731-495D-8A3F-2460D0C52C8C}"/>
    <cellStyle name="Normal 4 2 2 3 2 2 3" xfId="3883" xr:uid="{083CB6BC-F1C2-4C63-A197-0E8DB8CC3A0D}"/>
    <cellStyle name="Normal 4 2 2 3 2 2 3 2" xfId="4392" xr:uid="{52BA4EAD-E7D3-4FEF-8FF5-6A664B274444}"/>
    <cellStyle name="Normal 4 2 2 3 2 2 4" xfId="4123" xr:uid="{5F930101-066D-46AA-B213-967ACEAD70A8}"/>
    <cellStyle name="Normal 4 2 2 3 2 3" xfId="3716" xr:uid="{9980F78E-F4AB-4D8F-9629-72494085469F}"/>
    <cellStyle name="Normal 4 2 2 3 2 3 2" xfId="3935" xr:uid="{97AB6709-F7DD-472D-AE85-857C773B0730}"/>
    <cellStyle name="Normal 4 2 2 3 2 3 2 2" xfId="4469" xr:uid="{3059E8E7-D2FA-40FD-8C8A-7DD539EB6594}"/>
    <cellStyle name="Normal 4 2 2 3 2 3 3" xfId="4200" xr:uid="{1464D292-DD17-4612-BEF6-364DC9D75743}"/>
    <cellStyle name="Normal 4 2 2 3 2 4" xfId="3815" xr:uid="{8C5BAC8F-8D68-47A2-A166-EB59D44B9B70}"/>
    <cellStyle name="Normal 4 2 2 3 2 4 2" xfId="4324" xr:uid="{E32BEF99-400E-440B-800E-0B4AC4E6228C}"/>
    <cellStyle name="Normal 4 2 2 3 2 5" xfId="4055" xr:uid="{C506B0BC-BC8B-43FA-BAA3-A8534A4220A0}"/>
    <cellStyle name="Normal 4 2 2 3 3" xfId="528" xr:uid="{E8B83FFF-3F3B-45F0-9BCF-2DE143E50B06}"/>
    <cellStyle name="Normal 4 2 2 3 3 2" xfId="2249" xr:uid="{8D9B3BD7-BF0C-417A-9843-C61DB1A42731}"/>
    <cellStyle name="Normal 4 2 2 3 3 2 2" xfId="3967" xr:uid="{AC3976B1-ED50-4E88-B242-7539F1A03744}"/>
    <cellStyle name="Normal 4 2 2 3 3 2 2 2" xfId="4505" xr:uid="{317C43AF-55D2-463F-9533-FBAC68560788}"/>
    <cellStyle name="Normal 4 2 2 3 3 2 3" xfId="4236" xr:uid="{BA2C3BD6-05DC-46B3-93A0-FC5F73572051}"/>
    <cellStyle name="Normal 4 2 2 3 3 3" xfId="3847" xr:uid="{4099CA09-B60A-4F85-868A-3DF6D6BD2C78}"/>
    <cellStyle name="Normal 4 2 2 3 3 3 2" xfId="4356" xr:uid="{CA8B63DA-3818-44CF-9EBD-FAAFF0372459}"/>
    <cellStyle name="Normal 4 2 2 3 3 4" xfId="4087" xr:uid="{AA3C9641-904A-410D-8200-78D04A0844CD}"/>
    <cellStyle name="Normal 4 2 2 3 4" xfId="746" xr:uid="{BA7F2E60-6946-4F8B-93E5-43CDFA10A0E6}"/>
    <cellStyle name="Normal 4 2 2 3 4 2" xfId="2467" xr:uid="{39497B2E-47FD-42D6-A6F8-7534C3A95D3B}"/>
    <cellStyle name="Normal 4 2 2 3 4 2 2" xfId="4433" xr:uid="{1B7BCF1A-9068-44DB-BAC4-259C8DBD8925}"/>
    <cellStyle name="Normal 4 2 2 3 4 3" xfId="4164" xr:uid="{90EB5531-6D8C-4C95-965D-DBE9AE35292C}"/>
    <cellStyle name="Normal 4 2 2 3 5" xfId="964" xr:uid="{E4501DB9-16E8-4C84-B845-50AA5E65AC58}"/>
    <cellStyle name="Normal 4 2 2 3 5 2" xfId="2685" xr:uid="{D3EFD638-37C3-453E-AF3E-A853D25528CC}"/>
    <cellStyle name="Normal 4 2 2 3 6" xfId="1182" xr:uid="{6714CB79-B996-4F80-A3B9-32D84F9D4A0A}"/>
    <cellStyle name="Normal 4 2 2 3 6 2" xfId="2903" xr:uid="{1297AD29-DBEF-44BE-B0EE-B65AA3494C11}"/>
    <cellStyle name="Normal 4 2 2 3 7" xfId="1400" xr:uid="{3A9DBFE5-C9D6-4584-A467-F42CDC3FFCB6}"/>
    <cellStyle name="Normal 4 2 2 3 7 2" xfId="3121" xr:uid="{2B11E219-66BB-4F3A-9783-495AB4F4198B}"/>
    <cellStyle name="Normal 4 2 2 3 8" xfId="1619" xr:uid="{A483B553-BAEA-4CCB-9818-5B6548440A52}"/>
    <cellStyle name="Normal 4 2 2 3 8 2" xfId="3340" xr:uid="{D32A3FE3-D5AB-48DF-9850-92AE21B62EED}"/>
    <cellStyle name="Normal 4 2 2 3 9" xfId="1839" xr:uid="{FE7F6D94-B5BE-407C-A1C7-1310EBF6DDFA}"/>
    <cellStyle name="Normal 4 2 2 4" xfId="99" xr:uid="{5680BA37-D612-40CE-9B67-979351C7DD14}"/>
    <cellStyle name="Normal 4 2 2 4 2" xfId="345" xr:uid="{D240C8B0-D5D7-44F9-BBA7-A5E712559516}"/>
    <cellStyle name="Normal 4 2 2 4 2 2" xfId="2044" xr:uid="{A415C08B-31B6-40B4-B9CA-88B0E9D8691D}"/>
    <cellStyle name="Normal 4 2 2 4 2 2 2" xfId="3985" xr:uid="{4B130F06-1913-43A6-A4A0-4DD25AF4F44C}"/>
    <cellStyle name="Normal 4 2 2 4 2 2 2 2" xfId="4523" xr:uid="{10F56186-D066-4D4B-B84F-78369AB8164F}"/>
    <cellStyle name="Normal 4 2 2 4 2 2 3" xfId="4254" xr:uid="{1663E0A1-856E-430F-831F-8A56C6AF8463}"/>
    <cellStyle name="Normal 4 2 2 4 2 3" xfId="3865" xr:uid="{87E22CC0-2373-4297-8A79-84E942DF1F1E}"/>
    <cellStyle name="Normal 4 2 2 4 2 3 2" xfId="4374" xr:uid="{C0F4FD93-7805-4A03-9FFD-122663B3360B}"/>
    <cellStyle name="Normal 4 2 2 4 2 4" xfId="4105" xr:uid="{CDB8FBFA-B838-4E6E-976C-31BB47F5EBFA}"/>
    <cellStyle name="Normal 4 2 2 4 3" xfId="541" xr:uid="{2B226D35-D850-4BAD-8B41-2171D6CAD8D6}"/>
    <cellStyle name="Normal 4 2 2 4 3 2" xfId="2262" xr:uid="{E9D8B9A5-D08B-4F05-AC16-B0BA2AC97578}"/>
    <cellStyle name="Normal 4 2 2 4 3 2 2" xfId="4451" xr:uid="{9EB8A6B9-BFF5-4042-8B42-9972F4FDAC54}"/>
    <cellStyle name="Normal 4 2 2 4 3 3" xfId="4182" xr:uid="{91FF5026-FF26-4A14-BB03-30E01A3B5E08}"/>
    <cellStyle name="Normal 4 2 2 4 4" xfId="759" xr:uid="{1D2791D1-BA4D-450A-A9AE-2333C5E90715}"/>
    <cellStyle name="Normal 4 2 2 4 4 2" xfId="2480" xr:uid="{51E27BEC-41A2-4794-AFD9-4D0DFE37539B}"/>
    <cellStyle name="Normal 4 2 2 4 5" xfId="977" xr:uid="{8C22056F-7CBF-43F2-8027-051EEBE39497}"/>
    <cellStyle name="Normal 4 2 2 4 5 2" xfId="2698" xr:uid="{C5243E4D-2470-4A42-9B13-FD50D4C9733F}"/>
    <cellStyle name="Normal 4 2 2 4 6" xfId="1195" xr:uid="{FF56163A-E4CD-435C-807E-0252D62917FB}"/>
    <cellStyle name="Normal 4 2 2 4 6 2" xfId="2916" xr:uid="{3B829D38-E14C-4047-BA28-0F90EDABDA70}"/>
    <cellStyle name="Normal 4 2 2 4 7" xfId="1413" xr:uid="{02FA4DDD-AB5A-4DA0-BABF-CEF22371A7D9}"/>
    <cellStyle name="Normal 4 2 2 4 7 2" xfId="3134" xr:uid="{38B3A78E-314E-4A09-B2DC-6699653B2CA1}"/>
    <cellStyle name="Normal 4 2 2 4 8" xfId="1632" xr:uid="{4EAE62B9-C1F5-4BFB-9970-BD4DD43A7EFC}"/>
    <cellStyle name="Normal 4 2 2 4 8 2" xfId="3353" xr:uid="{724E5BAB-8848-42CE-A544-71F47EBC433F}"/>
    <cellStyle name="Normal 4 2 2 4 9" xfId="1852" xr:uid="{C1C12864-C143-4A40-B6B3-741F1A82FEE2}"/>
    <cellStyle name="Normal 4 2 2 5" xfId="112" xr:uid="{E659E451-0F01-4839-AF80-C3985EDDD9CF}"/>
    <cellStyle name="Normal 4 2 2 5 2" xfId="358" xr:uid="{D1613A08-FBA3-4ECC-AE1F-C95891F3D07B}"/>
    <cellStyle name="Normal 4 2 2 5 2 2" xfId="2057" xr:uid="{74B7C59E-A9D6-451B-8752-4CEAB305469D}"/>
    <cellStyle name="Normal 4 2 2 5 2 2 2" xfId="4487" xr:uid="{FB68346B-5033-4B7B-95E8-01E83413096E}"/>
    <cellStyle name="Normal 4 2 2 5 2 3" xfId="4218" xr:uid="{F33DC13B-9DDB-45F5-B77E-F9B75452DCCA}"/>
    <cellStyle name="Normal 4 2 2 5 3" xfId="554" xr:uid="{EBD4FE16-6E6C-4CD9-91A8-072DD997D782}"/>
    <cellStyle name="Normal 4 2 2 5 3 2" xfId="2275" xr:uid="{7DDA06A2-E901-43A4-A51C-983E765EAB04}"/>
    <cellStyle name="Normal 4 2 2 5 4" xfId="772" xr:uid="{BFF91AFE-1E20-40A4-A5FE-0E48F0CF0828}"/>
    <cellStyle name="Normal 4 2 2 5 4 2" xfId="2493" xr:uid="{F5289725-614C-47FA-B503-461DFCF4C101}"/>
    <cellStyle name="Normal 4 2 2 5 5" xfId="990" xr:uid="{7202CF04-7D74-4E1D-8800-8A4C5F98896D}"/>
    <cellStyle name="Normal 4 2 2 5 5 2" xfId="2711" xr:uid="{271C1952-593C-471C-A627-638C2BD39E22}"/>
    <cellStyle name="Normal 4 2 2 5 6" xfId="1208" xr:uid="{8446FA93-21F9-4793-A64B-94FA0A90C2DA}"/>
    <cellStyle name="Normal 4 2 2 5 6 2" xfId="2929" xr:uid="{D829D34C-C6E1-45F1-A75B-C8077502F1AC}"/>
    <cellStyle name="Normal 4 2 2 5 7" xfId="1426" xr:uid="{F89D8668-D5AF-4627-AC25-DDCE8CA8B411}"/>
    <cellStyle name="Normal 4 2 2 5 7 2" xfId="3147" xr:uid="{B280A2B5-4C47-4AF0-AC32-A99EC02842A8}"/>
    <cellStyle name="Normal 4 2 2 5 8" xfId="1645" xr:uid="{57740774-A3D2-405A-9CD8-5FDE51C022AD}"/>
    <cellStyle name="Normal 4 2 2 5 8 2" xfId="3366" xr:uid="{FB05831B-6D69-481A-9FC3-68296704226E}"/>
    <cellStyle name="Normal 4 2 2 5 9" xfId="1865" xr:uid="{184A6966-6E42-4EDB-8504-7948110DC9ED}"/>
    <cellStyle name="Normal 4 2 2 6" xfId="125" xr:uid="{BB0B915D-EA48-4FAA-A1FD-912B0C4192AC}"/>
    <cellStyle name="Normal 4 2 2 6 2" xfId="371" xr:uid="{2D401F7B-F031-428F-9313-C55B989B9274}"/>
    <cellStyle name="Normal 4 2 2 6 2 2" xfId="2070" xr:uid="{03BBDA83-4E0F-4998-9E7D-FBC8D41FD3B1}"/>
    <cellStyle name="Normal 4 2 2 6 2 2 2" xfId="4415" xr:uid="{43626306-F891-4801-BE74-EF2C8EFB1077}"/>
    <cellStyle name="Normal 4 2 2 6 2 3" xfId="4146" xr:uid="{5A7C1CC0-E5BC-4493-BCF1-A9E221984F98}"/>
    <cellStyle name="Normal 4 2 2 6 3" xfId="567" xr:uid="{41E5125C-018B-4479-BE7D-2A0380989A48}"/>
    <cellStyle name="Normal 4 2 2 6 3 2" xfId="2288" xr:uid="{B669DA32-659A-43EB-A880-25ED5D7BEE6D}"/>
    <cellStyle name="Normal 4 2 2 6 4" xfId="785" xr:uid="{B2D6C82E-0F60-4F0D-A665-E01293A84637}"/>
    <cellStyle name="Normal 4 2 2 6 4 2" xfId="2506" xr:uid="{F1A42416-D314-47B9-889B-1AABD7F5AD02}"/>
    <cellStyle name="Normal 4 2 2 6 5" xfId="1003" xr:uid="{FBEA8BED-4F7A-4875-B0AE-0E78CBD0DF68}"/>
    <cellStyle name="Normal 4 2 2 6 5 2" xfId="2724" xr:uid="{4487681C-ACB9-4610-881A-9357CC294416}"/>
    <cellStyle name="Normal 4 2 2 6 6" xfId="1221" xr:uid="{51F1E630-5D38-4855-933D-CE14659EE494}"/>
    <cellStyle name="Normal 4 2 2 6 6 2" xfId="2942" xr:uid="{5E9566E9-CD7C-4E1C-A3B4-B6F0C2465114}"/>
    <cellStyle name="Normal 4 2 2 6 7" xfId="1439" xr:uid="{02D609CD-919F-4934-A768-2C14F6C4258B}"/>
    <cellStyle name="Normal 4 2 2 6 7 2" xfId="3160" xr:uid="{47F13CAC-1C5E-4012-ABF7-D859F1608240}"/>
    <cellStyle name="Normal 4 2 2 6 8" xfId="1658" xr:uid="{D399E3EF-A349-46F8-9944-AFAC5866DC44}"/>
    <cellStyle name="Normal 4 2 2 6 8 2" xfId="3379" xr:uid="{0DE5D731-7881-401C-82A6-2F2F6CCFB3BE}"/>
    <cellStyle name="Normal 4 2 2 6 9" xfId="1878" xr:uid="{C84BBB98-A100-4EE9-B429-5A14BDB7A41F}"/>
    <cellStyle name="Normal 4 2 2 7" xfId="138" xr:uid="{09B0F19F-6426-4938-911F-6C9AD5E52816}"/>
    <cellStyle name="Normal 4 2 2 7 2" xfId="384" xr:uid="{7671DCF8-7100-43C2-92BC-6D895930CF18}"/>
    <cellStyle name="Normal 4 2 2 7 2 2" xfId="2083" xr:uid="{D7674C9C-1D8F-4025-8ADA-6F60777D9A96}"/>
    <cellStyle name="Normal 4 2 2 7 3" xfId="580" xr:uid="{B12F4D0F-1C1D-4FF8-A0F6-AF37EBC6B1E1}"/>
    <cellStyle name="Normal 4 2 2 7 3 2" xfId="2301" xr:uid="{A866C6CB-93A8-4420-8CDE-A08036B795FD}"/>
    <cellStyle name="Normal 4 2 2 7 4" xfId="798" xr:uid="{C97266D6-05FF-484E-A693-CCD7BF7A8E15}"/>
    <cellStyle name="Normal 4 2 2 7 4 2" xfId="2519" xr:uid="{07B304C9-2F13-45E8-B60B-EADCDE025C22}"/>
    <cellStyle name="Normal 4 2 2 7 5" xfId="1016" xr:uid="{377A7295-EB1B-4A04-A182-B8AC4C2216B4}"/>
    <cellStyle name="Normal 4 2 2 7 5 2" xfId="2737" xr:uid="{F3CB3CE2-AC30-4278-B6A6-310ED270B602}"/>
    <cellStyle name="Normal 4 2 2 7 6" xfId="1234" xr:uid="{AE69A4A5-5C7E-44A5-AA66-AAE7262CE4EE}"/>
    <cellStyle name="Normal 4 2 2 7 6 2" xfId="2955" xr:uid="{4462833B-F5B3-447D-8E04-603BF04D651B}"/>
    <cellStyle name="Normal 4 2 2 7 7" xfId="1452" xr:uid="{438CBEA8-7842-4EE5-B0AA-397EE194D902}"/>
    <cellStyle name="Normal 4 2 2 7 7 2" xfId="3173" xr:uid="{F2F50647-3DF0-47E6-9A74-21B269789787}"/>
    <cellStyle name="Normal 4 2 2 7 8" xfId="1671" xr:uid="{A04F5EE0-BFF6-4193-A1EB-8194A7C1372E}"/>
    <cellStyle name="Normal 4 2 2 7 8 2" xfId="3392" xr:uid="{9C3765B8-69EF-4E38-B2D7-A9763C1B82A0}"/>
    <cellStyle name="Normal 4 2 2 7 9" xfId="1891" xr:uid="{78B34C88-05CB-4DDD-92F0-2D9559168AED}"/>
    <cellStyle name="Normal 4 2 2 8" xfId="151" xr:uid="{087A9D18-45F3-4C40-9D02-5AB4BB029F2A}"/>
    <cellStyle name="Normal 4 2 2 8 2" xfId="397" xr:uid="{86EF0E34-C47B-4008-A48F-BCF88685BC00}"/>
    <cellStyle name="Normal 4 2 2 8 2 2" xfId="2096" xr:uid="{D0CCB1F1-0453-4C1E-BE10-769843F83D16}"/>
    <cellStyle name="Normal 4 2 2 8 3" xfId="593" xr:uid="{7CD6FA3F-1CEA-45A6-8326-1314EF7F5F6A}"/>
    <cellStyle name="Normal 4 2 2 8 3 2" xfId="2314" xr:uid="{B66D1FB2-F040-4258-9967-6EDF2C3A30DB}"/>
    <cellStyle name="Normal 4 2 2 8 4" xfId="811" xr:uid="{2951F90A-8807-432A-826F-0F0E9FDCCAB6}"/>
    <cellStyle name="Normal 4 2 2 8 4 2" xfId="2532" xr:uid="{DC8AA043-BE9D-4E0F-9EC6-64AD74BCF07B}"/>
    <cellStyle name="Normal 4 2 2 8 5" xfId="1029" xr:uid="{5D07AC04-FD61-4ACC-87AF-2C8CFEB72AA5}"/>
    <cellStyle name="Normal 4 2 2 8 5 2" xfId="2750" xr:uid="{14BEBF86-3D0F-4940-94D7-9D7B44FFF28C}"/>
    <cellStyle name="Normal 4 2 2 8 6" xfId="1247" xr:uid="{3B0BC8C7-D4F8-48B8-A93F-D639A90B281C}"/>
    <cellStyle name="Normal 4 2 2 8 6 2" xfId="2968" xr:uid="{CEF0106C-D977-4366-BC74-E4D175D9498B}"/>
    <cellStyle name="Normal 4 2 2 8 7" xfId="1465" xr:uid="{081A024A-93CA-486E-B222-1C99059B9D74}"/>
    <cellStyle name="Normal 4 2 2 8 7 2" xfId="3186" xr:uid="{8EE95A6B-5E2F-4816-B50B-DE24C0F83B87}"/>
    <cellStyle name="Normal 4 2 2 8 8" xfId="1684" xr:uid="{E31A1083-184F-41C5-B295-08D3FA7E5AE7}"/>
    <cellStyle name="Normal 4 2 2 8 8 2" xfId="3405" xr:uid="{E57C1515-EAC9-463A-BBFE-E7DCB4E79B30}"/>
    <cellStyle name="Normal 4 2 2 8 9" xfId="1904" xr:uid="{314C99B7-2AEC-4249-8BF4-F2135C3AA0EC}"/>
    <cellStyle name="Normal 4 2 2 9" xfId="164" xr:uid="{0E317731-ABF9-46E8-9472-2058158AC279}"/>
    <cellStyle name="Normal 4 2 2 9 2" xfId="410" xr:uid="{7A01C3E7-594E-46B7-8696-DE9744E93EDF}"/>
    <cellStyle name="Normal 4 2 2 9 2 2" xfId="2109" xr:uid="{761B2D91-EE0D-4AC0-BD9B-F576959B3931}"/>
    <cellStyle name="Normal 4 2 2 9 3" xfId="606" xr:uid="{EF3E3CB9-5ABF-4147-A92F-ADB6F5AFC6C7}"/>
    <cellStyle name="Normal 4 2 2 9 3 2" xfId="2327" xr:uid="{D2D974BD-03EF-4792-A41C-F8904C35D6A9}"/>
    <cellStyle name="Normal 4 2 2 9 4" xfId="824" xr:uid="{7A15F115-00CC-4A2F-94EF-262FA4769679}"/>
    <cellStyle name="Normal 4 2 2 9 4 2" xfId="2545" xr:uid="{FDA43FD2-EE85-4657-9E6B-6110B8F8337A}"/>
    <cellStyle name="Normal 4 2 2 9 5" xfId="1042" xr:uid="{13EE5B97-45D8-4198-A907-7727DE07FE7E}"/>
    <cellStyle name="Normal 4 2 2 9 5 2" xfId="2763" xr:uid="{0FF69189-BBA5-478A-B570-6BD32139689A}"/>
    <cellStyle name="Normal 4 2 2 9 6" xfId="1260" xr:uid="{6B7151E0-EDB9-454D-9C3E-EB490B1A3F01}"/>
    <cellStyle name="Normal 4 2 2 9 6 2" xfId="2981" xr:uid="{66AAAD71-3C1D-458B-B721-CE330387E359}"/>
    <cellStyle name="Normal 4 2 2 9 7" xfId="1478" xr:uid="{D602D157-9424-4520-812C-5DE5726CFEE3}"/>
    <cellStyle name="Normal 4 2 2 9 7 2" xfId="3199" xr:uid="{DB5F36D9-CD4B-44DF-ABD6-96B4BBCCCDEC}"/>
    <cellStyle name="Normal 4 2 2 9 8" xfId="1697" xr:uid="{BFD07CDE-CA0F-4F33-AF1F-C5DCE0E67AE9}"/>
    <cellStyle name="Normal 4 2 2 9 8 2" xfId="3418" xr:uid="{615D4346-651A-4635-8926-04A82D78EC4F}"/>
    <cellStyle name="Normal 4 2 2 9 9" xfId="1917" xr:uid="{BF10CDF8-0630-4A40-90DF-DA85BF2CA4C7}"/>
    <cellStyle name="Normal 4 2 20" xfId="496" xr:uid="{2D997186-5F4A-4147-A63E-92C4666F3C31}"/>
    <cellStyle name="Normal 4 2 20 2" xfId="2217" xr:uid="{57FE5BD0-C80A-402E-8A75-FE9F48E412A9}"/>
    <cellStyle name="Normal 4 2 21" xfId="714" xr:uid="{E041BBD5-8F89-4564-A36C-DB74F3723984}"/>
    <cellStyle name="Normal 4 2 21 2" xfId="2435" xr:uid="{046F9CAD-6943-4B0B-AD1B-D7B14F85D6F6}"/>
    <cellStyle name="Normal 4 2 22" xfId="932" xr:uid="{21CF07B2-B6AA-4A23-89EA-25E238FF63F7}"/>
    <cellStyle name="Normal 4 2 22 2" xfId="2653" xr:uid="{E048D834-8285-423D-A508-563E2AD989E5}"/>
    <cellStyle name="Normal 4 2 23" xfId="1150" xr:uid="{FB732D0A-2929-41EC-8D40-741236D4A90C}"/>
    <cellStyle name="Normal 4 2 23 2" xfId="2871" xr:uid="{FA63C6B1-A8C7-41DE-9918-6A055C18FD86}"/>
    <cellStyle name="Normal 4 2 24" xfId="1368" xr:uid="{1C29B802-38BD-49BB-A12F-A9460270BEBE}"/>
    <cellStyle name="Normal 4 2 24 2" xfId="3089" xr:uid="{9CE904D2-9BD9-4D42-9976-E1898C21D14C}"/>
    <cellStyle name="Normal 4 2 25" xfId="1587" xr:uid="{E1CBA2AC-230B-4817-A3AE-8708D8FC033D}"/>
    <cellStyle name="Normal 4 2 25 2" xfId="3308" xr:uid="{2A145154-42FB-4718-A007-54A740665366}"/>
    <cellStyle name="Normal 4 2 26" xfId="1807" xr:uid="{435D8CA4-BEAA-496E-96D7-E305D1C18101}"/>
    <cellStyle name="Normal 4 2 3" xfId="67" xr:uid="{5C95224D-881A-4C9D-99EF-A57C74D2E004}"/>
    <cellStyle name="Normal 4 2 3 10" xfId="1820" xr:uid="{4E2EF679-72DF-4DD7-952D-AAE2B90AEA10}"/>
    <cellStyle name="Normal 4 2 3 2" xfId="213" xr:uid="{ACB185D2-B126-488D-B6D4-7387D7E400C6}"/>
    <cellStyle name="Normal 4 2 3 2 2" xfId="457" xr:uid="{1267D16C-0E19-47A6-AB06-266565C3A052}"/>
    <cellStyle name="Normal 4 2 3 2 2 2" xfId="2156" xr:uid="{105F96C1-8C1B-4901-94B6-EBA58098EC75}"/>
    <cellStyle name="Normal 4 2 3 2 2 2 2" xfId="3676" xr:uid="{84F1B62A-6ECD-48AC-BB34-B5C3BAEBE6A2}"/>
    <cellStyle name="Normal 4 2 3 2 2 2 2 2" xfId="3769" xr:uid="{A18093A7-03F5-4D93-8B59-06EB996A9469}"/>
    <cellStyle name="Normal 4 2 3 2 2 2 2 2 2" xfId="4009" xr:uid="{97475E76-9C43-43BD-954D-B74648805738}"/>
    <cellStyle name="Normal 4 2 3 2 2 2 2 2 2 2" xfId="4547" xr:uid="{57DEACE9-81C9-4371-B6BE-EFBD47BC3961}"/>
    <cellStyle name="Normal 4 2 3 2 2 2 2 2 3" xfId="4278" xr:uid="{0E39B9A7-B0D9-4416-BCB6-415A5F801A04}"/>
    <cellStyle name="Normal 4 2 3 2 2 2 2 3" xfId="3889" xr:uid="{711BF3A6-282A-49A0-96BF-4F70BD44163E}"/>
    <cellStyle name="Normal 4 2 3 2 2 2 2 3 2" xfId="4398" xr:uid="{4E638844-9603-409F-9AD3-CBF4876405A2}"/>
    <cellStyle name="Normal 4 2 3 2 2 2 2 4" xfId="4129" xr:uid="{591E8BB6-756B-4E3A-B8A3-27111091CF58}"/>
    <cellStyle name="Normal 4 2 3 2 2 2 3" xfId="3722" xr:uid="{CF9741B7-12BA-4DAA-AB20-9FC03FA787E0}"/>
    <cellStyle name="Normal 4 2 3 2 2 2 3 2" xfId="3941" xr:uid="{E49FBF61-00F6-48CE-B1EA-25D7EC2F8217}"/>
    <cellStyle name="Normal 4 2 3 2 2 2 3 2 2" xfId="4475" xr:uid="{920E060D-72B7-48C9-9D1B-D07F0CCDCD7F}"/>
    <cellStyle name="Normal 4 2 3 2 2 2 3 3" xfId="4206" xr:uid="{DF1229BF-E980-49C8-80C8-05EABD410C64}"/>
    <cellStyle name="Normal 4 2 3 2 2 2 4" xfId="3821" xr:uid="{50BE723F-AEC6-4258-9F44-ED0A9236EB35}"/>
    <cellStyle name="Normal 4 2 3 2 2 2 4 2" xfId="4330" xr:uid="{FCC293B5-8CDB-4D62-9E91-303FD7710963}"/>
    <cellStyle name="Normal 4 2 3 2 2 2 5" xfId="4061" xr:uid="{C82C7385-D448-4184-8C36-C96C60822766}"/>
    <cellStyle name="Normal 4 2 3 2 2 3" xfId="3661" xr:uid="{2B129BF3-1413-410B-AFA2-6C233EB9CD19}"/>
    <cellStyle name="Normal 4 2 3 2 2 3 2" xfId="3738" xr:uid="{F7594CA2-0A81-4953-9C03-C226F6219D33}"/>
    <cellStyle name="Normal 4 2 3 2 2 3 2 2" xfId="3973" xr:uid="{BDDE3708-2851-4DAF-A05E-2B51A0B06E38}"/>
    <cellStyle name="Normal 4 2 3 2 2 3 2 2 2" xfId="4511" xr:uid="{9C19DF84-99D3-4831-A5AE-465360CF2604}"/>
    <cellStyle name="Normal 4 2 3 2 2 3 2 3" xfId="4242" xr:uid="{6A9812AD-70CA-4021-A1D9-CEC1357E4BE5}"/>
    <cellStyle name="Normal 4 2 3 2 2 3 3" xfId="3853" xr:uid="{160453A5-F01D-4115-9897-1413537A0551}"/>
    <cellStyle name="Normal 4 2 3 2 2 3 3 2" xfId="4362" xr:uid="{0AC7D647-2E2D-4A5E-B25E-30734845F579}"/>
    <cellStyle name="Normal 4 2 3 2 2 3 4" xfId="4093" xr:uid="{F4844148-A93A-4619-BC5C-E0D6EB44E5CF}"/>
    <cellStyle name="Normal 4 2 3 2 2 4" xfId="3691" xr:uid="{826340D9-5417-4841-925B-2356E085C480}"/>
    <cellStyle name="Normal 4 2 3 2 2 4 2" xfId="3910" xr:uid="{6F9BEF14-34E8-46EA-A955-87F1DF54AC2A}"/>
    <cellStyle name="Normal 4 2 3 2 2 4 2 2" xfId="4439" xr:uid="{C4EE7DAE-8D7D-4234-822D-8F5CC61CABD1}"/>
    <cellStyle name="Normal 4 2 3 2 2 4 3" xfId="4170" xr:uid="{21973DC7-7A19-455F-A22E-25EAE43178F8}"/>
    <cellStyle name="Normal 4 2 3 2 2 5" xfId="3790" xr:uid="{9AB2A185-942D-4C2D-9874-E6DDEEA5A01D}"/>
    <cellStyle name="Normal 4 2 3 2 2 5 2" xfId="4299" xr:uid="{BC65621F-9BC5-4A1C-85E3-1B86AC9E4108}"/>
    <cellStyle name="Normal 4 2 3 2 2 6" xfId="4030" xr:uid="{05654EC8-4915-43A4-9DEE-22DC7D62FE0F}"/>
    <cellStyle name="Normal 4 2 3 2 3" xfId="653" xr:uid="{B8C13ACA-D4B9-4EC5-A628-B2BBA6F4EFD5}"/>
    <cellStyle name="Normal 4 2 3 2 3 2" xfId="2374" xr:uid="{19459BAF-E596-48A9-BD81-C07C41FFFC7D}"/>
    <cellStyle name="Normal 4 2 3 2 3 2 2" xfId="3751" xr:uid="{EA380FB2-AEB4-48D6-962D-38E6B620B773}"/>
    <cellStyle name="Normal 4 2 3 2 3 2 2 2" xfId="3991" xr:uid="{7540E766-80E2-40C7-9249-E860A25EDE38}"/>
    <cellStyle name="Normal 4 2 3 2 3 2 2 2 2" xfId="4529" xr:uid="{2F787E10-E975-40E0-93CC-9ACB1C0386CA}"/>
    <cellStyle name="Normal 4 2 3 2 3 2 2 3" xfId="4260" xr:uid="{A1D83A4A-3ED5-449A-8B27-9CFB52AECBE2}"/>
    <cellStyle name="Normal 4 2 3 2 3 2 3" xfId="3871" xr:uid="{05253E25-26C2-4156-A8BD-4528204CEB79}"/>
    <cellStyle name="Normal 4 2 3 2 3 2 3 2" xfId="4380" xr:uid="{F70084BB-0DA4-4C8A-B2EB-248106233235}"/>
    <cellStyle name="Normal 4 2 3 2 3 2 4" xfId="4111" xr:uid="{533F5CDC-9DA2-4D86-ABCF-09B392F1C111}"/>
    <cellStyle name="Normal 4 2 3 2 3 3" xfId="3704" xr:uid="{EAC8B234-CB1F-4919-A542-DAF085241E08}"/>
    <cellStyle name="Normal 4 2 3 2 3 3 2" xfId="3923" xr:uid="{C81791D9-C633-4F59-BD7D-E9CA8895E874}"/>
    <cellStyle name="Normal 4 2 3 2 3 3 2 2" xfId="4457" xr:uid="{00E81324-DF47-4767-B533-47E75D6F972B}"/>
    <cellStyle name="Normal 4 2 3 2 3 3 3" xfId="4188" xr:uid="{F3053410-AABE-4F24-A989-74BD1D4BCC36}"/>
    <cellStyle name="Normal 4 2 3 2 3 4" xfId="3803" xr:uid="{DEC677CF-9B6B-41CB-9CCA-29546E293F4F}"/>
    <cellStyle name="Normal 4 2 3 2 3 4 2" xfId="4312" xr:uid="{9BF9BF81-37BC-4064-BD82-EE0E79305C17}"/>
    <cellStyle name="Normal 4 2 3 2 3 5" xfId="4043" xr:uid="{BD77F450-7AF9-46C5-ACB2-FB0EBD0F269F}"/>
    <cellStyle name="Normal 4 2 3 2 4" xfId="871" xr:uid="{E5A8BD5C-37F5-4576-930E-4CEC8FC41230}"/>
    <cellStyle name="Normal 4 2 3 2 4 2" xfId="2592" xr:uid="{140843AC-3500-4984-9A92-16ECDB56FD22}"/>
    <cellStyle name="Normal 4 2 3 2 4 2 2" xfId="3955" xr:uid="{6901D312-3737-4A72-95E6-CAE56AB94EC9}"/>
    <cellStyle name="Normal 4 2 3 2 4 2 2 2" xfId="4493" xr:uid="{2B5E8A1B-DB1B-4EBA-9EFA-4C5459E179D8}"/>
    <cellStyle name="Normal 4 2 3 2 4 2 3" xfId="4224" xr:uid="{32F9FCE8-19F0-453B-81B2-7B96449C8CD8}"/>
    <cellStyle name="Normal 4 2 3 2 4 3" xfId="3835" xr:uid="{B3B3D3C8-B007-449B-97AE-BD9B6C63C735}"/>
    <cellStyle name="Normal 4 2 3 2 4 3 2" xfId="4344" xr:uid="{99FBEF9F-AE83-4409-B7FF-0DF4EA05A35F}"/>
    <cellStyle name="Normal 4 2 3 2 4 4" xfId="4075" xr:uid="{1216CCF2-FDB8-439A-AFB7-918B29E9435D}"/>
    <cellStyle name="Normal 4 2 3 2 5" xfId="1089" xr:uid="{1303D500-87BA-42FD-8FFB-4C0FA61A6563}"/>
    <cellStyle name="Normal 4 2 3 2 5 2" xfId="2810" xr:uid="{4DDC0B04-7A1A-4CCA-8A45-69F8A0F069CF}"/>
    <cellStyle name="Normal 4 2 3 2 5 2 2" xfId="4421" xr:uid="{5F40D872-4D70-4604-BD79-5E4D05AA8402}"/>
    <cellStyle name="Normal 4 2 3 2 5 3" xfId="4152" xr:uid="{08730534-A0F3-4118-A143-559835E045D2}"/>
    <cellStyle name="Normal 4 2 3 2 6" xfId="1307" xr:uid="{E4E43F4A-2610-4A63-8A2E-7FFB5615F253}"/>
    <cellStyle name="Normal 4 2 3 2 6 2" xfId="3028" xr:uid="{0E1B83AE-A3F9-4825-B3AE-68CDE30A9D2A}"/>
    <cellStyle name="Normal 4 2 3 2 7" xfId="1525" xr:uid="{CD99357B-397D-47E0-B5C8-1D9D87979325}"/>
    <cellStyle name="Normal 4 2 3 2 7 2" xfId="3246" xr:uid="{DCA9D4D3-D424-4733-9571-E5893FA4F354}"/>
    <cellStyle name="Normal 4 2 3 2 8" xfId="1744" xr:uid="{B7C19D0A-2C5A-4390-8059-381BD4822E8E}"/>
    <cellStyle name="Normal 4 2 3 2 8 2" xfId="3465" xr:uid="{0F0D5922-4B68-497F-939D-874C26304C38}"/>
    <cellStyle name="Normal 4 2 3 2 9" xfId="1964" xr:uid="{014EEBBF-F26C-4DF6-9DAD-9928ACC53922}"/>
    <cellStyle name="Normal 4 2 3 3" xfId="313" xr:uid="{17036716-F366-456C-9E32-E8363CBD879A}"/>
    <cellStyle name="Normal 4 2 3 3 2" xfId="2012" xr:uid="{364C4F91-541F-4552-9544-D26B76299F58}"/>
    <cellStyle name="Normal 4 2 3 3 2 2" xfId="3668" xr:uid="{782038EC-AB70-4A45-92C7-42B1D2A813CC}"/>
    <cellStyle name="Normal 4 2 3 3 2 2 2" xfId="3760" xr:uid="{107E4A64-05F7-47BB-B7AD-D71669046F43}"/>
    <cellStyle name="Normal 4 2 3 3 2 2 2 2" xfId="4000" xr:uid="{CA45F2B6-4227-486D-BCBA-D2EC31C924E1}"/>
    <cellStyle name="Normal 4 2 3 3 2 2 2 2 2" xfId="4538" xr:uid="{B483B8F0-2041-4676-B24A-28C952C97B2A}"/>
    <cellStyle name="Normal 4 2 3 3 2 2 2 3" xfId="4269" xr:uid="{59E67899-66AF-4003-81BC-B0CDC104E69D}"/>
    <cellStyle name="Normal 4 2 3 3 2 2 3" xfId="3880" xr:uid="{300295EF-AC7A-47AC-8E64-BEAA1C0BD7A7}"/>
    <cellStyle name="Normal 4 2 3 3 2 2 3 2" xfId="4389" xr:uid="{40D28BAB-B34E-4AF0-AE7F-467E6B419CD7}"/>
    <cellStyle name="Normal 4 2 3 3 2 2 4" xfId="4120" xr:uid="{FDE37742-EF9A-4380-AD01-D70738AB04E3}"/>
    <cellStyle name="Normal 4 2 3 3 2 3" xfId="3713" xr:uid="{44E43DB2-2854-490E-ABA7-B2FCBE8966D1}"/>
    <cellStyle name="Normal 4 2 3 3 2 3 2" xfId="3932" xr:uid="{09153BA2-96A8-4696-9C3E-20EC1CE38A01}"/>
    <cellStyle name="Normal 4 2 3 3 2 3 2 2" xfId="4466" xr:uid="{38FB283C-F281-4866-81A5-C0AC690E0915}"/>
    <cellStyle name="Normal 4 2 3 3 2 3 3" xfId="4197" xr:uid="{7B938763-8A4C-49B5-BDE2-003CEBEE5853}"/>
    <cellStyle name="Normal 4 2 3 3 2 4" xfId="3812" xr:uid="{7851C1A6-DC1C-4625-984F-DFFCC233C11A}"/>
    <cellStyle name="Normal 4 2 3 3 2 4 2" xfId="4321" xr:uid="{89485556-0DF0-4D9A-8B6B-EC61D2AD9F1C}"/>
    <cellStyle name="Normal 4 2 3 3 2 5" xfId="4052" xr:uid="{572B79B7-F8E1-4F27-8214-8DCADF65FCF6}"/>
    <cellStyle name="Normal 4 2 3 3 3" xfId="3653" xr:uid="{271B9F1F-28E5-4570-8B1B-672802CDC04C}"/>
    <cellStyle name="Normal 4 2 3 3 3 2" xfId="3730" xr:uid="{C732040A-141C-43EB-9E09-CDAB8A3DEB34}"/>
    <cellStyle name="Normal 4 2 3 3 3 2 2" xfId="3964" xr:uid="{63EBB343-3D4A-42B0-99EB-DA58CA4E12D6}"/>
    <cellStyle name="Normal 4 2 3 3 3 2 2 2" xfId="4502" xr:uid="{D4B95C34-5F42-4C2B-A9D6-43255204BDF5}"/>
    <cellStyle name="Normal 4 2 3 3 3 2 3" xfId="4233" xr:uid="{10CCAA22-FD0C-4E88-8945-F6DAD9A82D2B}"/>
    <cellStyle name="Normal 4 2 3 3 3 3" xfId="3844" xr:uid="{771AFCD6-CCD9-4C97-B58C-E7DA0417E430}"/>
    <cellStyle name="Normal 4 2 3 3 3 3 2" xfId="4353" xr:uid="{32896FCB-AF66-4A4D-AEF7-CFDB21BBEC04}"/>
    <cellStyle name="Normal 4 2 3 3 3 4" xfId="4084" xr:uid="{074D7F8B-217A-4AE8-918A-C9E8824ED3C9}"/>
    <cellStyle name="Normal 4 2 3 3 4" xfId="3683" xr:uid="{44367C6A-1561-47C4-8C39-842AEA75120D}"/>
    <cellStyle name="Normal 4 2 3 3 4 2" xfId="3902" xr:uid="{B907CE62-D690-4CB7-A797-F364DC4886EF}"/>
    <cellStyle name="Normal 4 2 3 3 4 2 2" xfId="4430" xr:uid="{6D1F143F-BAE1-4560-B9C4-7BCC20FD2D65}"/>
    <cellStyle name="Normal 4 2 3 3 4 3" xfId="4161" xr:uid="{D2E5FE2B-1AAF-487E-8905-20082A341A2B}"/>
    <cellStyle name="Normal 4 2 3 3 5" xfId="3782" xr:uid="{E9DA2AB1-CA9A-4423-9EB0-941172806CD2}"/>
    <cellStyle name="Normal 4 2 3 3 5 2" xfId="4291" xr:uid="{489F1D7B-FD9D-4755-B7F2-F6BE63398ED5}"/>
    <cellStyle name="Normal 4 2 3 3 6" xfId="4022" xr:uid="{F616AD89-13A6-4DCA-A3FB-5958522FB745}"/>
    <cellStyle name="Normal 4 2 3 4" xfId="509" xr:uid="{06C3061E-AEB9-46C3-8285-45EB33F47A3C}"/>
    <cellStyle name="Normal 4 2 3 4 2" xfId="2230" xr:uid="{7C3F05BF-38B9-47FA-9578-C2D8B5FF5320}"/>
    <cellStyle name="Normal 4 2 3 4 2 2" xfId="3743" xr:uid="{CF298565-8C0A-4E08-9BDA-EA093F680337}"/>
    <cellStyle name="Normal 4 2 3 4 2 2 2" xfId="3982" xr:uid="{B20A9F38-A535-45BF-8293-B0213C8DE1E7}"/>
    <cellStyle name="Normal 4 2 3 4 2 2 2 2" xfId="4520" xr:uid="{6AC25732-7C69-4412-80A7-17F1C44FF724}"/>
    <cellStyle name="Normal 4 2 3 4 2 2 3" xfId="4251" xr:uid="{F053D7E2-E5D1-4766-B1A0-FCF5C3C34C55}"/>
    <cellStyle name="Normal 4 2 3 4 2 3" xfId="3862" xr:uid="{D294FB68-0DDA-4C94-9201-524B68DDB00E}"/>
    <cellStyle name="Normal 4 2 3 4 2 3 2" xfId="4371" xr:uid="{86F922F7-9F7D-46F3-AB1D-BD458D1990D2}"/>
    <cellStyle name="Normal 4 2 3 4 2 4" xfId="4102" xr:uid="{8DD0A0EA-B6C4-4B25-AC7E-EA6F7D822F5E}"/>
    <cellStyle name="Normal 4 2 3 4 3" xfId="3696" xr:uid="{F3EB2500-17C5-4955-B18F-D900C81942D1}"/>
    <cellStyle name="Normal 4 2 3 4 3 2" xfId="3915" xr:uid="{BF731A63-AEAF-4362-B699-D595B87DED54}"/>
    <cellStyle name="Normal 4 2 3 4 3 2 2" xfId="4448" xr:uid="{1DD6C9FD-F8A5-4ABE-AD65-EF4B35227F95}"/>
    <cellStyle name="Normal 4 2 3 4 3 3" xfId="4179" xr:uid="{98844CDD-788F-498B-AAC7-D66D3F6783C8}"/>
    <cellStyle name="Normal 4 2 3 4 4" xfId="3795" xr:uid="{7BAE2C7E-D188-4AA2-9A08-52CFF904E5C4}"/>
    <cellStyle name="Normal 4 2 3 4 4 2" xfId="4304" xr:uid="{50D67C9F-06D8-4B1F-BC8C-21642214E69E}"/>
    <cellStyle name="Normal 4 2 3 4 5" xfId="4035" xr:uid="{A69FBA55-4DB9-44E4-B325-0D64EA505BFA}"/>
    <cellStyle name="Normal 4 2 3 5" xfId="727" xr:uid="{3E196A42-90E0-4645-A3F6-2611BCDAE4A5}"/>
    <cellStyle name="Normal 4 2 3 5 2" xfId="2448" xr:uid="{1CEB60E8-33B9-4B0C-B18C-C302307C6CBD}"/>
    <cellStyle name="Normal 4 2 3 5 2 2" xfId="3947" xr:uid="{3F9E59ED-1674-4BA1-B32B-11A394BB498C}"/>
    <cellStyle name="Normal 4 2 3 5 2 2 2" xfId="4484" xr:uid="{DDEB48FA-AE72-4A64-9C1D-833F3896A889}"/>
    <cellStyle name="Normal 4 2 3 5 2 3" xfId="4215" xr:uid="{F5E8C511-C42F-49EF-B0CB-427313271189}"/>
    <cellStyle name="Normal 4 2 3 5 3" xfId="3827" xr:uid="{A0EB1F41-2D2E-45D1-A69A-8087486402D1}"/>
    <cellStyle name="Normal 4 2 3 5 3 2" xfId="4336" xr:uid="{82069DAD-3E02-41B3-AFA6-5E0831ECE704}"/>
    <cellStyle name="Normal 4 2 3 5 4" xfId="4067" xr:uid="{216F04B3-0C06-4DE8-B8AE-64C03FC831F0}"/>
    <cellStyle name="Normal 4 2 3 6" xfId="945" xr:uid="{683515F7-9DA1-4AC3-A5AE-CE64ABB154E0}"/>
    <cellStyle name="Normal 4 2 3 6 2" xfId="2666" xr:uid="{D0463B9A-648D-4107-872F-C9437EB7815A}"/>
    <cellStyle name="Normal 4 2 3 6 2 2" xfId="3895" xr:uid="{E0BEFEA8-8C7F-4321-A3DE-2F17F6EC2CD4}"/>
    <cellStyle name="Normal 4 2 3 6 2 2 2" xfId="4412" xr:uid="{9FE0F5A0-E95B-4359-B877-B9C570B38BDC}"/>
    <cellStyle name="Normal 4 2 3 6 2 3" xfId="4143" xr:uid="{0DC3E31D-904A-4EC8-983E-AC77BBF9B144}"/>
    <cellStyle name="Normal 4 2 3 6 3" xfId="3775" xr:uid="{4493A291-7F6A-45E3-8EC9-09073D24C26C}"/>
    <cellStyle name="Normal 4 2 3 6 3 2" xfId="4284" xr:uid="{4074ED06-F17D-4233-AC6F-6481C9773E77}"/>
    <cellStyle name="Normal 4 2 3 6 4" xfId="4015" xr:uid="{30BC55BD-D9CF-4922-9B12-E2BB263AD312}"/>
    <cellStyle name="Normal 4 2 3 7" xfId="1163" xr:uid="{E105F72D-A1CA-400D-B216-3D5D258B8CFD}"/>
    <cellStyle name="Normal 4 2 3 7 2" xfId="2884" xr:uid="{4AD09AC7-D871-4452-B654-0B0F739A91A1}"/>
    <cellStyle name="Normal 4 2 3 7 2 2" xfId="4404" xr:uid="{EDDEC5E0-2D2A-4BAE-A418-4DC932436F45}"/>
    <cellStyle name="Normal 4 2 3 7 3" xfId="4135" xr:uid="{F9726A86-6D7C-4B8C-870C-C45D8C7FDF39}"/>
    <cellStyle name="Normal 4 2 3 8" xfId="1381" xr:uid="{E3DD847C-2DC0-4F97-8436-22BF0F2BFCA5}"/>
    <cellStyle name="Normal 4 2 3 8 2" xfId="3102" xr:uid="{C89D23DF-EA88-4268-ADA3-66F8CBB8BF75}"/>
    <cellStyle name="Normal 4 2 3 9" xfId="1600" xr:uid="{501EE666-A4CE-46D0-A693-242C9B883B1D}"/>
    <cellStyle name="Normal 4 2 3 9 2" xfId="3321" xr:uid="{A1AABE7F-BE71-41FB-9705-226069E480E3}"/>
    <cellStyle name="Normal 4 2 4" xfId="80" xr:uid="{7E5644E0-F5C7-41AD-BC27-89E153E4D5E9}"/>
    <cellStyle name="Normal 4 2 4 2" xfId="326" xr:uid="{E8B4F75D-B682-4195-8EC5-0F964145FFD8}"/>
    <cellStyle name="Normal 4 2 4 2 2" xfId="2025" xr:uid="{B6439E2C-EAF8-4BC3-AEAF-F5410E7D778E}"/>
    <cellStyle name="Normal 4 2 4 2 2 2" xfId="3673" xr:uid="{E62E78E5-55E9-422A-9B88-0D1C245B1E99}"/>
    <cellStyle name="Normal 4 2 4 2 2 2 2" xfId="3766" xr:uid="{F08DF173-ADB2-43A1-AD5C-10B868F1985F}"/>
    <cellStyle name="Normal 4 2 4 2 2 2 2 2" xfId="4006" xr:uid="{C0FFA299-1565-4266-8A19-41FF9E5DFE54}"/>
    <cellStyle name="Normal 4 2 4 2 2 2 2 2 2" xfId="4544" xr:uid="{AE07B4F3-BD7A-4C5C-9E87-79DCCE2B0CB2}"/>
    <cellStyle name="Normal 4 2 4 2 2 2 2 3" xfId="4275" xr:uid="{C9D51101-5DA8-42F9-A314-E3ED025BD59A}"/>
    <cellStyle name="Normal 4 2 4 2 2 2 3" xfId="3886" xr:uid="{C2999C18-89F1-4A6A-A2B0-DC514B569AD5}"/>
    <cellStyle name="Normal 4 2 4 2 2 2 3 2" xfId="4395" xr:uid="{B1E15E65-3D2E-4E4A-825F-DDEABF783F00}"/>
    <cellStyle name="Normal 4 2 4 2 2 2 4" xfId="4126" xr:uid="{5B9455F5-2A07-431C-876C-B3D2A692FDB8}"/>
    <cellStyle name="Normal 4 2 4 2 2 3" xfId="3719" xr:uid="{82325C26-1DFF-4B55-B0D0-1E4071A05A96}"/>
    <cellStyle name="Normal 4 2 4 2 2 3 2" xfId="3938" xr:uid="{212B0C61-25B6-44EF-8B12-5A6137B8B335}"/>
    <cellStyle name="Normal 4 2 4 2 2 3 2 2" xfId="4472" xr:uid="{35C1C676-BAF2-4F9F-B4F6-0A50DCFB0C51}"/>
    <cellStyle name="Normal 4 2 4 2 2 3 3" xfId="4203" xr:uid="{6BCB152F-5701-4777-BAA0-BFBA8D2F67A3}"/>
    <cellStyle name="Normal 4 2 4 2 2 4" xfId="3818" xr:uid="{E001EE35-7154-4D5B-8A11-A1D4E0B6C95B}"/>
    <cellStyle name="Normal 4 2 4 2 2 4 2" xfId="4327" xr:uid="{437838D4-77B7-4E37-9AD9-1C7211C0871F}"/>
    <cellStyle name="Normal 4 2 4 2 2 5" xfId="4058" xr:uid="{8453DABF-96E7-4709-A87B-294A50CF1A04}"/>
    <cellStyle name="Normal 4 2 4 2 3" xfId="3658" xr:uid="{A6D6A28A-DB9B-48E4-94E6-BB719FC939EA}"/>
    <cellStyle name="Normal 4 2 4 2 3 2" xfId="3735" xr:uid="{DC661606-B979-4EC6-B65F-BB3FF5C4714A}"/>
    <cellStyle name="Normal 4 2 4 2 3 2 2" xfId="3970" xr:uid="{DBD81A34-C191-4ADD-8EFF-C72E65DC2D2F}"/>
    <cellStyle name="Normal 4 2 4 2 3 2 2 2" xfId="4508" xr:uid="{141FFE4B-AFBD-41C6-BF0B-5FBA7F007A8E}"/>
    <cellStyle name="Normal 4 2 4 2 3 2 3" xfId="4239" xr:uid="{CB4A823D-344F-416F-8F32-96167BF3E491}"/>
    <cellStyle name="Normal 4 2 4 2 3 3" xfId="3850" xr:uid="{9A74B374-6298-4FC2-8C7C-2681A09D7292}"/>
    <cellStyle name="Normal 4 2 4 2 3 3 2" xfId="4359" xr:uid="{09B050BF-605A-4C52-BE74-B44677DC96C9}"/>
    <cellStyle name="Normal 4 2 4 2 3 4" xfId="4090" xr:uid="{37A63ED5-720C-48ED-9528-7B8A5A358DA1}"/>
    <cellStyle name="Normal 4 2 4 2 4" xfId="3688" xr:uid="{762FA4EC-E3A4-4A0A-A37F-86115732869A}"/>
    <cellStyle name="Normal 4 2 4 2 4 2" xfId="3907" xr:uid="{1D6A1BA5-60A4-4024-AD66-30E0C698D152}"/>
    <cellStyle name="Normal 4 2 4 2 4 2 2" xfId="4436" xr:uid="{14D26AA7-6565-4AB5-B878-0D47C5C22FF8}"/>
    <cellStyle name="Normal 4 2 4 2 4 3" xfId="4167" xr:uid="{8B66E368-68A8-4826-AA53-91E38D1B20E5}"/>
    <cellStyle name="Normal 4 2 4 2 5" xfId="3787" xr:uid="{6119AB6D-2C68-44C1-AF02-37525C193A7B}"/>
    <cellStyle name="Normal 4 2 4 2 5 2" xfId="4296" xr:uid="{15C6C883-C08E-49CD-9494-522BD1526135}"/>
    <cellStyle name="Normal 4 2 4 2 6" xfId="4027" xr:uid="{88F71531-1E48-4D0C-8645-BE037115579E}"/>
    <cellStyle name="Normal 4 2 4 3" xfId="522" xr:uid="{6C75CA29-C878-4E41-A202-21F2E231DE20}"/>
    <cellStyle name="Normal 4 2 4 3 2" xfId="2243" xr:uid="{1AE73B9E-2859-4BC6-BF4A-7F8AB023961D}"/>
    <cellStyle name="Normal 4 2 4 3 2 2" xfId="3748" xr:uid="{FC0C524D-D29C-46B7-9AC0-B784EEAEF29B}"/>
    <cellStyle name="Normal 4 2 4 3 2 2 2" xfId="3988" xr:uid="{93334FF0-36BF-4780-A601-A3721B1F2E80}"/>
    <cellStyle name="Normal 4 2 4 3 2 2 2 2" xfId="4526" xr:uid="{691FF57F-E4E3-4F85-B6AE-A4E69932A39A}"/>
    <cellStyle name="Normal 4 2 4 3 2 2 3" xfId="4257" xr:uid="{DE493BAA-70AF-4F04-BC83-ECA5F5093DCA}"/>
    <cellStyle name="Normal 4 2 4 3 2 3" xfId="3868" xr:uid="{82CCDE7F-73C6-4E60-ADCB-B191BDC187C2}"/>
    <cellStyle name="Normal 4 2 4 3 2 3 2" xfId="4377" xr:uid="{7F1D7808-E684-45FE-A699-505BCDB7B984}"/>
    <cellStyle name="Normal 4 2 4 3 2 4" xfId="4108" xr:uid="{E0489E14-9D7E-4FF3-8709-C8ADC70CA9B2}"/>
    <cellStyle name="Normal 4 2 4 3 3" xfId="3701" xr:uid="{C4BF7757-B13E-4137-9844-148866B69728}"/>
    <cellStyle name="Normal 4 2 4 3 3 2" xfId="3920" xr:uid="{CDD268F6-BD01-4F04-9F04-857E328A9CA5}"/>
    <cellStyle name="Normal 4 2 4 3 3 2 2" xfId="4454" xr:uid="{2015A765-C5E8-4BD9-8CB7-76A453525723}"/>
    <cellStyle name="Normal 4 2 4 3 3 3" xfId="4185" xr:uid="{32A78AE4-7115-4F9F-8876-D71A47C8BF77}"/>
    <cellStyle name="Normal 4 2 4 3 4" xfId="3800" xr:uid="{EE81EF2F-1F74-4A92-94B4-9FBADCFFACFB}"/>
    <cellStyle name="Normal 4 2 4 3 4 2" xfId="4309" xr:uid="{AF96ADF5-BF8F-471D-A9DC-81DAA929B86F}"/>
    <cellStyle name="Normal 4 2 4 3 5" xfId="4040" xr:uid="{5C1616B6-6705-45BD-8B64-CAE0467E6AB6}"/>
    <cellStyle name="Normal 4 2 4 4" xfId="740" xr:uid="{44D79419-948C-41AC-BCC8-602F01EFC530}"/>
    <cellStyle name="Normal 4 2 4 4 2" xfId="2461" xr:uid="{ECE9B719-789F-422D-818C-66CE23C69EF8}"/>
    <cellStyle name="Normal 4 2 4 4 2 2" xfId="3952" xr:uid="{3830F2A1-4F09-418B-905C-FC4D2D7C55DA}"/>
    <cellStyle name="Normal 4 2 4 4 2 2 2" xfId="4490" xr:uid="{270525F9-BC4F-4962-831F-397BAFE3F9AB}"/>
    <cellStyle name="Normal 4 2 4 4 2 3" xfId="4221" xr:uid="{844F5B1A-A683-4B43-A504-3B51FA6C046C}"/>
    <cellStyle name="Normal 4 2 4 4 3" xfId="3832" xr:uid="{2A91FF0B-9FF9-42F3-BF60-DFF82A44544A}"/>
    <cellStyle name="Normal 4 2 4 4 3 2" xfId="4341" xr:uid="{DE61E77D-515D-43E0-B100-5476D825A4B4}"/>
    <cellStyle name="Normal 4 2 4 4 4" xfId="4072" xr:uid="{5983A43C-9C54-483B-B147-20E86FEF0653}"/>
    <cellStyle name="Normal 4 2 4 5" xfId="958" xr:uid="{55513E5C-6510-4336-B652-A1C1ED255C26}"/>
    <cellStyle name="Normal 4 2 4 5 2" xfId="2679" xr:uid="{10D15100-CB66-4964-A665-BBD153A883E2}"/>
    <cellStyle name="Normal 4 2 4 5 2 2" xfId="4418" xr:uid="{1AF901E8-CCD4-4709-8510-0C6F0F530E3F}"/>
    <cellStyle name="Normal 4 2 4 5 3" xfId="4149" xr:uid="{98989E7E-2207-41C9-88E2-FE30B429E17D}"/>
    <cellStyle name="Normal 4 2 4 6" xfId="1176" xr:uid="{6CBF1D08-9DFA-4C0E-AF03-D517D20825A2}"/>
    <cellStyle name="Normal 4 2 4 6 2" xfId="2897" xr:uid="{AD780CE0-6223-4D34-BE7D-E7625BFDC866}"/>
    <cellStyle name="Normal 4 2 4 7" xfId="1394" xr:uid="{99DAC248-7E59-414A-8BEB-E3C83AA6D352}"/>
    <cellStyle name="Normal 4 2 4 7 2" xfId="3115" xr:uid="{5EFFD94B-463B-433F-978B-435EEDA0BF25}"/>
    <cellStyle name="Normal 4 2 4 8" xfId="1613" xr:uid="{A411EDAD-077F-49C4-BE5B-D9B980A3721A}"/>
    <cellStyle name="Normal 4 2 4 8 2" xfId="3334" xr:uid="{4E99A143-AEAD-4FAE-A47C-7ECF80FCC778}"/>
    <cellStyle name="Normal 4 2 4 9" xfId="1833" xr:uid="{8E0FA789-1FB2-4380-BE91-2F3EA7DB9E4C}"/>
    <cellStyle name="Normal 4 2 5" xfId="93" xr:uid="{064EEB6E-A248-4A99-9ACF-121396B9BA03}"/>
    <cellStyle name="Normal 4 2 5 2" xfId="339" xr:uid="{BFD76370-2EED-4D72-A914-7F6258A85305}"/>
    <cellStyle name="Normal 4 2 5 2 2" xfId="2038" xr:uid="{6930B15D-D604-4F83-8D21-BA202CB0C499}"/>
    <cellStyle name="Normal 4 2 5 2 2 2" xfId="3757" xr:uid="{757E9BDF-3166-4A35-92D9-354ED2E80D40}"/>
    <cellStyle name="Normal 4 2 5 2 2 2 2" xfId="3997" xr:uid="{B57C8219-30DD-4A60-98C0-33F1DC9AFF14}"/>
    <cellStyle name="Normal 4 2 5 2 2 2 2 2" xfId="4535" xr:uid="{C5137AEE-890C-4ED6-8145-9F14E4DB024E}"/>
    <cellStyle name="Normal 4 2 5 2 2 2 3" xfId="4266" xr:uid="{0E91F4A6-2581-4992-9AD5-B5FC77CA0DE5}"/>
    <cellStyle name="Normal 4 2 5 2 2 3" xfId="3877" xr:uid="{F49CD6EB-A810-41E6-A571-87C7DED1D7D3}"/>
    <cellStyle name="Normal 4 2 5 2 2 3 2" xfId="4386" xr:uid="{52F135C3-0EDD-4342-9BE4-45B857D4C8E1}"/>
    <cellStyle name="Normal 4 2 5 2 2 4" xfId="4117" xr:uid="{5C57F39B-DE17-4D7D-AC2C-FF12AB949909}"/>
    <cellStyle name="Normal 4 2 5 2 3" xfId="3710" xr:uid="{4E6396F3-1B7A-4A2B-A3C0-A5B165934C7D}"/>
    <cellStyle name="Normal 4 2 5 2 3 2" xfId="3929" xr:uid="{BD36AEDB-864B-42F7-93C2-829DC17D5325}"/>
    <cellStyle name="Normal 4 2 5 2 3 2 2" xfId="4463" xr:uid="{B19742A9-0E6E-44F0-AABA-95A824BC459B}"/>
    <cellStyle name="Normal 4 2 5 2 3 3" xfId="4194" xr:uid="{4EBCA2E1-45A6-4E1E-B3AE-595422391E12}"/>
    <cellStyle name="Normal 4 2 5 2 4" xfId="3809" xr:uid="{74EFBB21-C5CB-4BAC-8B68-2F52308C819B}"/>
    <cellStyle name="Normal 4 2 5 2 4 2" xfId="4318" xr:uid="{BFA4AD57-034B-437F-AF65-6D9CDCD5F456}"/>
    <cellStyle name="Normal 4 2 5 2 5" xfId="4049" xr:uid="{00EB5E87-2A2B-4141-8217-0C6C68680E2E}"/>
    <cellStyle name="Normal 4 2 5 3" xfId="535" xr:uid="{F3D144D9-D7F8-48CF-A20E-BD19D622E756}"/>
    <cellStyle name="Normal 4 2 5 3 2" xfId="2256" xr:uid="{DBEF4D9A-02EA-4359-BB9A-B4A4FBA0ADB1}"/>
    <cellStyle name="Normal 4 2 5 3 2 2" xfId="3961" xr:uid="{48F8482B-3273-4384-90C9-AFC349C39A59}"/>
    <cellStyle name="Normal 4 2 5 3 2 2 2" xfId="4499" xr:uid="{42AC3230-1C01-4AAC-ADA5-ECC602753C73}"/>
    <cellStyle name="Normal 4 2 5 3 2 3" xfId="4230" xr:uid="{FE87148F-6B1F-475B-92AC-3D560040C7AF}"/>
    <cellStyle name="Normal 4 2 5 3 3" xfId="3841" xr:uid="{8ADB1EAB-3519-44EA-AEC0-7DBCC6F0F00D}"/>
    <cellStyle name="Normal 4 2 5 3 3 2" xfId="4350" xr:uid="{E583C1CD-87A9-44C0-A9AC-7B70C6541D40}"/>
    <cellStyle name="Normal 4 2 5 3 4" xfId="4081" xr:uid="{0BA377A7-8634-4F35-B74C-418B1E67345A}"/>
    <cellStyle name="Normal 4 2 5 4" xfId="753" xr:uid="{3C03E5B7-79DD-49E4-8D97-CD08C34BC4B5}"/>
    <cellStyle name="Normal 4 2 5 4 2" xfId="2474" xr:uid="{0F77246E-386E-4E2E-9BF5-E0A7383FA7B5}"/>
    <cellStyle name="Normal 4 2 5 4 2 2" xfId="4427" xr:uid="{5C12D8EF-5006-49DA-9241-417D7A9B87F1}"/>
    <cellStyle name="Normal 4 2 5 4 3" xfId="4158" xr:uid="{A6F8F5DE-90DB-4463-AC43-8D23AC22C4D4}"/>
    <cellStyle name="Normal 4 2 5 5" xfId="971" xr:uid="{056FDB12-B7BD-4536-9BE2-7B4CE1E5F8FD}"/>
    <cellStyle name="Normal 4 2 5 5 2" xfId="2692" xr:uid="{9A283965-95EF-4A34-B286-9EAE7C093EE0}"/>
    <cellStyle name="Normal 4 2 5 6" xfId="1189" xr:uid="{70290AA1-8010-4543-BE1B-57CF77F3EB07}"/>
    <cellStyle name="Normal 4 2 5 6 2" xfId="2910" xr:uid="{01E24F4A-43F7-4190-9524-98AF24120084}"/>
    <cellStyle name="Normal 4 2 5 7" xfId="1407" xr:uid="{49482E6C-BC2D-4A81-B040-FA6C635CB07C}"/>
    <cellStyle name="Normal 4 2 5 7 2" xfId="3128" xr:uid="{20AD76D5-562A-4E0A-913C-079C8A1583CF}"/>
    <cellStyle name="Normal 4 2 5 8" xfId="1626" xr:uid="{0DF56A4D-7D90-4738-BD4F-E108C152E9BA}"/>
    <cellStyle name="Normal 4 2 5 8 2" xfId="3347" xr:uid="{6327E6E6-854B-4F5D-A717-E3D322DB9764}"/>
    <cellStyle name="Normal 4 2 5 9" xfId="1846" xr:uid="{ECB02E16-42C8-402E-9409-7F0F3210AA9F}"/>
    <cellStyle name="Normal 4 2 6" xfId="106" xr:uid="{E9BBE775-1732-489B-A480-DBD17524225D}"/>
    <cellStyle name="Normal 4 2 6 2" xfId="352" xr:uid="{9F6FCB51-C8AF-405A-A094-8976F6FDF8BC}"/>
    <cellStyle name="Normal 4 2 6 2 2" xfId="2051" xr:uid="{58AFC904-283A-4F45-A6D1-A316D4619B7F}"/>
    <cellStyle name="Normal 4 2 6 2 2 2" xfId="3979" xr:uid="{0C88ECFC-4792-4D71-96A4-9F45E313C7F2}"/>
    <cellStyle name="Normal 4 2 6 2 2 2 2" xfId="4517" xr:uid="{58CD25D2-F005-4017-BBA3-0FE24DF0DD84}"/>
    <cellStyle name="Normal 4 2 6 2 2 3" xfId="4248" xr:uid="{09928A59-3117-4867-B2C9-168663D5E066}"/>
    <cellStyle name="Normal 4 2 6 2 3" xfId="3859" xr:uid="{6C169B52-EBCF-4A24-838F-65E0DC5F4307}"/>
    <cellStyle name="Normal 4 2 6 2 3 2" xfId="4368" xr:uid="{FE4C3DDD-B09B-4808-A5C5-B5FA89910549}"/>
    <cellStyle name="Normal 4 2 6 2 4" xfId="4099" xr:uid="{53FD2BE4-7D2F-408B-BFAD-4C6E2EF6B458}"/>
    <cellStyle name="Normal 4 2 6 3" xfId="548" xr:uid="{8ED07111-5C17-4A84-BA60-0DA904AAB9BE}"/>
    <cellStyle name="Normal 4 2 6 3 2" xfId="2269" xr:uid="{EF0C510F-BE44-437B-9438-712F49C94EC9}"/>
    <cellStyle name="Normal 4 2 6 3 2 2" xfId="4445" xr:uid="{EFAA5A39-2842-4AF9-AF03-B70CF7978BF2}"/>
    <cellStyle name="Normal 4 2 6 3 3" xfId="4176" xr:uid="{02043E69-01AC-4CA6-9571-D7F6B87663A9}"/>
    <cellStyle name="Normal 4 2 6 4" xfId="766" xr:uid="{917FC66F-D2E8-44F1-B77E-C3077479524F}"/>
    <cellStyle name="Normal 4 2 6 4 2" xfId="2487" xr:uid="{9FCFAF0B-7C92-4082-AF2B-77CF6D56E98E}"/>
    <cellStyle name="Normal 4 2 6 5" xfId="984" xr:uid="{720F8633-4A9F-4941-96CF-035C09273519}"/>
    <cellStyle name="Normal 4 2 6 5 2" xfId="2705" xr:uid="{E4B2FBD7-E054-4C29-A780-557541A449C1}"/>
    <cellStyle name="Normal 4 2 6 6" xfId="1202" xr:uid="{F35159DA-DEE2-4CBE-A0FD-6052C4DA15C3}"/>
    <cellStyle name="Normal 4 2 6 6 2" xfId="2923" xr:uid="{D02CE90B-7D5D-4F3F-BC34-CB6A97E4DB2F}"/>
    <cellStyle name="Normal 4 2 6 7" xfId="1420" xr:uid="{C3C511D1-C5CB-491D-BFDF-2AAF69D5CF85}"/>
    <cellStyle name="Normal 4 2 6 7 2" xfId="3141" xr:uid="{4D4F0BBF-3627-449A-8B11-7696FD89BD6E}"/>
    <cellStyle name="Normal 4 2 6 8" xfId="1639" xr:uid="{23DD429A-ADBB-4B01-9222-D961CF8F3DBE}"/>
    <cellStyle name="Normal 4 2 6 8 2" xfId="3360" xr:uid="{C87C4A7F-9885-471B-90A4-DA2DF13BEC79}"/>
    <cellStyle name="Normal 4 2 6 9" xfId="1859" xr:uid="{6A31B52C-6EC8-4F90-AAFC-B9E4C5E2F466}"/>
    <cellStyle name="Normal 4 2 7" xfId="119" xr:uid="{A585DAC3-A9AE-4073-BA58-4BD70E0020F5}"/>
    <cellStyle name="Normal 4 2 7 2" xfId="365" xr:uid="{4AB3A813-1962-4FB6-8C32-A0AFBC06F2F8}"/>
    <cellStyle name="Normal 4 2 7 2 2" xfId="2064" xr:uid="{C7FC505C-C1FD-4598-8620-FA4854F2FBD0}"/>
    <cellStyle name="Normal 4 2 7 2 2 2" xfId="4481" xr:uid="{E0FA497B-D6A7-48AA-A595-8E762CE5A736}"/>
    <cellStyle name="Normal 4 2 7 2 3" xfId="4212" xr:uid="{6986C20B-3450-46E1-996D-A5BCAA0C1057}"/>
    <cellStyle name="Normal 4 2 7 3" xfId="561" xr:uid="{4A2E8AD3-6DE8-4090-AC1A-0E2393364A87}"/>
    <cellStyle name="Normal 4 2 7 3 2" xfId="2282" xr:uid="{6D78BF84-2182-4F0E-BDC6-DBA69CCF747E}"/>
    <cellStyle name="Normal 4 2 7 4" xfId="779" xr:uid="{0F7BAF30-6627-4CB3-B776-BA2095EEE27C}"/>
    <cellStyle name="Normal 4 2 7 4 2" xfId="2500" xr:uid="{E557CF1A-ACC1-4749-A742-E5A76DA80182}"/>
    <cellStyle name="Normal 4 2 7 5" xfId="997" xr:uid="{F429E8A8-3809-4368-9CC1-66142C4FD4A1}"/>
    <cellStyle name="Normal 4 2 7 5 2" xfId="2718" xr:uid="{683DF5D1-BF04-4ECA-AE02-CF146B0F9F50}"/>
    <cellStyle name="Normal 4 2 7 6" xfId="1215" xr:uid="{C0539A60-7E93-47B3-84B7-0B48EE33BA78}"/>
    <cellStyle name="Normal 4 2 7 6 2" xfId="2936" xr:uid="{562F4C95-B87B-4E83-AE37-FC40C9E3800B}"/>
    <cellStyle name="Normal 4 2 7 7" xfId="1433" xr:uid="{E61DA6A8-85A7-4B59-83CD-0E9EC1F936A3}"/>
    <cellStyle name="Normal 4 2 7 7 2" xfId="3154" xr:uid="{5E6D9624-E70F-421D-9243-084CD804F96E}"/>
    <cellStyle name="Normal 4 2 7 8" xfId="1652" xr:uid="{EF3A5588-B325-4064-B2D3-3BA3E6F87833}"/>
    <cellStyle name="Normal 4 2 7 8 2" xfId="3373" xr:uid="{6C187957-1869-4712-AF2F-3394EE9FE94C}"/>
    <cellStyle name="Normal 4 2 7 9" xfId="1872" xr:uid="{F56CF8E1-19AD-4B61-BC19-67550D72B218}"/>
    <cellStyle name="Normal 4 2 8" xfId="132" xr:uid="{D9C13D1C-A13E-4DB9-8F7A-03F110458670}"/>
    <cellStyle name="Normal 4 2 8 2" xfId="378" xr:uid="{72B55673-B149-43AB-A266-310062BEECF1}"/>
    <cellStyle name="Normal 4 2 8 2 2" xfId="2077" xr:uid="{9D4BE46D-7F04-46B9-99D4-C4F7DDC347F6}"/>
    <cellStyle name="Normal 4 2 8 2 2 2" xfId="4409" xr:uid="{D93911E8-8FEF-4559-B005-AABD420607AC}"/>
    <cellStyle name="Normal 4 2 8 2 3" xfId="4140" xr:uid="{C6408254-C3C4-4E8D-97E2-C91B82D974E5}"/>
    <cellStyle name="Normal 4 2 8 3" xfId="574" xr:uid="{ECB2F4C0-1735-4D03-A7C1-1A77BE817038}"/>
    <cellStyle name="Normal 4 2 8 3 2" xfId="2295" xr:uid="{24E3DE15-956C-4C1A-A9D3-0189335C783D}"/>
    <cellStyle name="Normal 4 2 8 4" xfId="792" xr:uid="{E21D865C-E0B2-4BC0-9C6B-3EA53B72CF9A}"/>
    <cellStyle name="Normal 4 2 8 4 2" xfId="2513" xr:uid="{5F513947-1242-4F1C-A17E-1E4BE307CA04}"/>
    <cellStyle name="Normal 4 2 8 5" xfId="1010" xr:uid="{01D0ABD0-2B5D-44C1-A5FB-1E35F4989375}"/>
    <cellStyle name="Normal 4 2 8 5 2" xfId="2731" xr:uid="{B4C8813B-8233-4CDB-84BF-2962C19B672B}"/>
    <cellStyle name="Normal 4 2 8 6" xfId="1228" xr:uid="{0CC27445-4477-4EE9-99EE-0323668237AC}"/>
    <cellStyle name="Normal 4 2 8 6 2" xfId="2949" xr:uid="{E4135008-DE09-4C55-8120-CF32B626B237}"/>
    <cellStyle name="Normal 4 2 8 7" xfId="1446" xr:uid="{C5DBF528-659A-49EF-8AC9-BA042E388D46}"/>
    <cellStyle name="Normal 4 2 8 7 2" xfId="3167" xr:uid="{FCE9224E-BE09-467D-894A-C308D007368C}"/>
    <cellStyle name="Normal 4 2 8 8" xfId="1665" xr:uid="{FA926A14-003D-45BC-8E40-8A5F10BEA9E5}"/>
    <cellStyle name="Normal 4 2 8 8 2" xfId="3386" xr:uid="{90ACBBC3-F178-4A8A-A4BF-85FEC7753966}"/>
    <cellStyle name="Normal 4 2 8 9" xfId="1885" xr:uid="{BC418ACA-6366-43DA-9481-3684DF1BE6BE}"/>
    <cellStyle name="Normal 4 2 9" xfId="145" xr:uid="{51131B40-0462-4FAD-B5A9-B6D07E462649}"/>
    <cellStyle name="Normal 4 2 9 2" xfId="391" xr:uid="{F7CF929B-FA48-4F8A-99DE-077577E93953}"/>
    <cellStyle name="Normal 4 2 9 2 2" xfId="2090" xr:uid="{011057FA-3F46-4DF7-9792-1852BB8CBE18}"/>
    <cellStyle name="Normal 4 2 9 3" xfId="587" xr:uid="{D28A3C7C-DF88-4436-A38C-8A04B0A9DE6C}"/>
    <cellStyle name="Normal 4 2 9 3 2" xfId="2308" xr:uid="{8C03A904-63BB-4285-95C0-D3ECB43710AF}"/>
    <cellStyle name="Normal 4 2 9 4" xfId="805" xr:uid="{E4586E7A-E7DD-4646-991D-308905682FCB}"/>
    <cellStyle name="Normal 4 2 9 4 2" xfId="2526" xr:uid="{2DF73247-C105-4C4C-A34F-6072FECA7E66}"/>
    <cellStyle name="Normal 4 2 9 5" xfId="1023" xr:uid="{1539ABCE-8DE9-403E-BB07-A2B085BD9F06}"/>
    <cellStyle name="Normal 4 2 9 5 2" xfId="2744" xr:uid="{D808242A-F11E-4241-8355-D369C5BE9165}"/>
    <cellStyle name="Normal 4 2 9 6" xfId="1241" xr:uid="{A455CF46-D11E-41DA-8751-2724E39FDBCA}"/>
    <cellStyle name="Normal 4 2 9 6 2" xfId="2962" xr:uid="{90EF20B6-E63D-4BF0-AE01-0CEA90718013}"/>
    <cellStyle name="Normal 4 2 9 7" xfId="1459" xr:uid="{1A7E780B-183F-423B-92B6-743E9EA133CD}"/>
    <cellStyle name="Normal 4 2 9 7 2" xfId="3180" xr:uid="{4B1412FC-D2D5-4D25-A733-BE844D42B7D2}"/>
    <cellStyle name="Normal 4 2 9 8" xfId="1678" xr:uid="{1562687A-A053-4D1D-95B7-8055BF843B3B}"/>
    <cellStyle name="Normal 4 2 9 8 2" xfId="3399" xr:uid="{328AB095-BC37-4798-B0B3-70EB7547B826}"/>
    <cellStyle name="Normal 4 2 9 9" xfId="1898" xr:uid="{5C8929F3-B430-4159-A3BE-8A9695AB251D}"/>
    <cellStyle name="Normal 4 20" xfId="298" xr:uid="{A5B7F4B4-6E1D-4747-B058-17B7A954CA35}"/>
    <cellStyle name="Normal 4 20 2" xfId="1996" xr:uid="{F4A584C3-CFFA-4CC7-A5BD-0CD3652849FE}"/>
    <cellStyle name="Normal 4 21" xfId="493" xr:uid="{62A3FDF6-1B9E-4DD0-A1C7-7D9E545E2D40}"/>
    <cellStyle name="Normal 4 21 2" xfId="2214" xr:uid="{4A9582A7-B630-4D87-82F9-8C8B6D7ACA5A}"/>
    <cellStyle name="Normal 4 22" xfId="711" xr:uid="{1D09D596-EB09-40CD-AB04-A37F5FA32D8E}"/>
    <cellStyle name="Normal 4 22 2" xfId="2432" xr:uid="{92934A21-E1D3-4C92-AE09-8DA30848BF11}"/>
    <cellStyle name="Normal 4 23" xfId="929" xr:uid="{10ADB96D-9F07-43BB-AC7A-3499F036A0BE}"/>
    <cellStyle name="Normal 4 23 2" xfId="2650" xr:uid="{0C833766-9427-403F-AFD0-BE89E7DCA840}"/>
    <cellStyle name="Normal 4 24" xfId="1147" xr:uid="{A765BFEB-E62E-4438-943B-24340254B5C4}"/>
    <cellStyle name="Normal 4 24 2" xfId="2868" xr:uid="{015CAD19-D48C-4022-B0F4-65D66030A654}"/>
    <cellStyle name="Normal 4 25" xfId="1365" xr:uid="{AD9E5D3B-50E3-479B-879D-C2B51A9CD620}"/>
    <cellStyle name="Normal 4 25 2" xfId="3086" xr:uid="{BCF1EB5F-E9A8-4C5E-A242-84CC7DFC9B17}"/>
    <cellStyle name="Normal 4 26" xfId="1584" xr:uid="{E9D1EFDE-7871-4F03-BD05-FDD58EBA4C26}"/>
    <cellStyle name="Normal 4 26 2" xfId="3305" xr:uid="{67F036D4-C618-44A8-BCDC-C2F4F8B515C6}"/>
    <cellStyle name="Normal 4 27" xfId="1804" xr:uid="{3F4468DA-D8A6-43F3-8994-5BDA104006E6}"/>
    <cellStyle name="Normal 4 3" xfId="49" xr:uid="{050B8E7F-8BFB-4A4A-BB7F-445F68547C69}"/>
    <cellStyle name="Normal 4 3 10" xfId="174" xr:uid="{87846ED4-3AA2-4669-ACC1-11B2C2B69794}"/>
    <cellStyle name="Normal 4 3 10 2" xfId="420" xr:uid="{9A2DBD8C-1EC9-4FB9-AD7E-A104C8729356}"/>
    <cellStyle name="Normal 4 3 10 2 2" xfId="2119" xr:uid="{39FEFCFF-4CC4-451F-9C8F-73F0FF89C488}"/>
    <cellStyle name="Normal 4 3 10 3" xfId="616" xr:uid="{3971BFCD-0C8F-4D83-89D3-B230F97542E2}"/>
    <cellStyle name="Normal 4 3 10 3 2" xfId="2337" xr:uid="{C3E3C4BB-0BA2-44CF-A367-2AC98E73F69F}"/>
    <cellStyle name="Normal 4 3 10 4" xfId="834" xr:uid="{4D401626-05CB-440D-B272-3D580722752F}"/>
    <cellStyle name="Normal 4 3 10 4 2" xfId="2555" xr:uid="{47781301-127C-4878-8EF2-C0FAECB667E3}"/>
    <cellStyle name="Normal 4 3 10 5" xfId="1052" xr:uid="{D7886B84-77C5-4556-BFFE-29551856125C}"/>
    <cellStyle name="Normal 4 3 10 5 2" xfId="2773" xr:uid="{AF06A345-E2C3-4A1F-B2A4-85ACEA835121}"/>
    <cellStyle name="Normal 4 3 10 6" xfId="1270" xr:uid="{C0153F67-6EF0-4101-9937-3F4B48CE614B}"/>
    <cellStyle name="Normal 4 3 10 6 2" xfId="2991" xr:uid="{CDADA630-4F9D-4930-911C-CE27F8ED5DCA}"/>
    <cellStyle name="Normal 4 3 10 7" xfId="1488" xr:uid="{28BC84AE-A8F9-419B-AC15-87900CF6864A}"/>
    <cellStyle name="Normal 4 3 10 7 2" xfId="3209" xr:uid="{E795565E-A89D-4642-8CA6-AE48B083CF61}"/>
    <cellStyle name="Normal 4 3 10 8" xfId="1707" xr:uid="{726CCC6B-018F-42F1-B443-C2EADC062578}"/>
    <cellStyle name="Normal 4 3 10 8 2" xfId="3428" xr:uid="{A21DBF73-E3B8-41F9-93F9-980E5B0E8F79}"/>
    <cellStyle name="Normal 4 3 10 9" xfId="1927" xr:uid="{754D976B-C7D0-4DC7-8A2E-7BD4BE3B0BDF}"/>
    <cellStyle name="Normal 4 3 11" xfId="187" xr:uid="{AD169C9F-6737-4124-BA86-C8ADF439127C}"/>
    <cellStyle name="Normal 4 3 11 2" xfId="433" xr:uid="{32BEE1C8-DC27-409C-A181-ACAA67D1147A}"/>
    <cellStyle name="Normal 4 3 11 2 2" xfId="2132" xr:uid="{52C421F7-8CAA-4861-A589-0A6969FDF03C}"/>
    <cellStyle name="Normal 4 3 11 3" xfId="629" xr:uid="{47D2F4A3-4034-4B1D-9F4C-24EC9F81758B}"/>
    <cellStyle name="Normal 4 3 11 3 2" xfId="2350" xr:uid="{10823D0B-067B-4C3A-B0EF-625DAE59FC9F}"/>
    <cellStyle name="Normal 4 3 11 4" xfId="847" xr:uid="{F2024744-1354-4DF9-BF5B-E4F75E27700B}"/>
    <cellStyle name="Normal 4 3 11 4 2" xfId="2568" xr:uid="{1475C855-00A0-4EED-8096-BCA0C424D70D}"/>
    <cellStyle name="Normal 4 3 11 5" xfId="1065" xr:uid="{038915FD-4FF8-482B-B01B-4F2B1B469FB3}"/>
    <cellStyle name="Normal 4 3 11 5 2" xfId="2786" xr:uid="{DAF6E260-C166-4D7D-96BE-2FCE25450D9C}"/>
    <cellStyle name="Normal 4 3 11 6" xfId="1283" xr:uid="{43055586-2AE1-4C98-971D-00D1DAE0195A}"/>
    <cellStyle name="Normal 4 3 11 6 2" xfId="3004" xr:uid="{D6AAB1BC-04EA-4E20-9DAD-FE99A6E7695C}"/>
    <cellStyle name="Normal 4 3 11 7" xfId="1501" xr:uid="{47198315-0E9D-4037-9B4F-63216A1BADFE}"/>
    <cellStyle name="Normal 4 3 11 7 2" xfId="3222" xr:uid="{CD857408-812C-446B-B476-20CED5622A89}"/>
    <cellStyle name="Normal 4 3 11 8" xfId="1720" xr:uid="{0A713E50-5123-4F79-8771-C7F96CE17A02}"/>
    <cellStyle name="Normal 4 3 11 8 2" xfId="3441" xr:uid="{FD20A5BE-7D2F-4C8E-B6C5-967E73F2725E}"/>
    <cellStyle name="Normal 4 3 11 9" xfId="1940" xr:uid="{4E197EA3-8A9A-44F1-9B9A-AB9AFD75CED2}"/>
    <cellStyle name="Normal 4 3 12" xfId="200" xr:uid="{D26151A2-A497-4F47-A01A-2D06C698E49C}"/>
    <cellStyle name="Normal 4 3 12 2" xfId="446" xr:uid="{AEE39350-F7F7-4716-A89B-7E1BD4A027BE}"/>
    <cellStyle name="Normal 4 3 12 2 2" xfId="2145" xr:uid="{852C16D1-8959-4BA8-A661-B4276AD79F12}"/>
    <cellStyle name="Normal 4 3 12 3" xfId="642" xr:uid="{09DC9CB7-00B6-49D9-9634-3A32410B04CE}"/>
    <cellStyle name="Normal 4 3 12 3 2" xfId="2363" xr:uid="{4E7B76DA-36F0-4D96-9591-00A9A1030CDF}"/>
    <cellStyle name="Normal 4 3 12 4" xfId="860" xr:uid="{686F8F09-EA75-4DFF-8A7D-108D9C895F35}"/>
    <cellStyle name="Normal 4 3 12 4 2" xfId="2581" xr:uid="{AA3CD738-A2C4-44F8-85B2-A1F55A674F76}"/>
    <cellStyle name="Normal 4 3 12 5" xfId="1078" xr:uid="{8264472F-AF67-4157-9AFB-6ACEF760E0E1}"/>
    <cellStyle name="Normal 4 3 12 5 2" xfId="2799" xr:uid="{56B43A63-2D7E-4261-8182-271AC6373599}"/>
    <cellStyle name="Normal 4 3 12 6" xfId="1296" xr:uid="{12E7CA9D-ABBB-4152-A67B-9845C84A68FC}"/>
    <cellStyle name="Normal 4 3 12 6 2" xfId="3017" xr:uid="{B9A5F6CA-46A3-427F-BA87-A24DA84BE0AC}"/>
    <cellStyle name="Normal 4 3 12 7" xfId="1514" xr:uid="{97669126-7DAD-412B-95A0-A7B3C4C9367C}"/>
    <cellStyle name="Normal 4 3 12 7 2" xfId="3235" xr:uid="{3F2CA4CE-30F2-4D7A-8A8B-139B71C5105E}"/>
    <cellStyle name="Normal 4 3 12 8" xfId="1733" xr:uid="{4F048723-3FBB-4351-8731-304E39D70A69}"/>
    <cellStyle name="Normal 4 3 12 8 2" xfId="3454" xr:uid="{89AF9863-20FC-4674-A137-AFCB4874689E}"/>
    <cellStyle name="Normal 4 3 12 9" xfId="1953" xr:uid="{5017F42C-F9BF-431E-A9F8-721CD5A11856}"/>
    <cellStyle name="Normal 4 3 13" xfId="209" xr:uid="{F9EDC75C-C605-4D46-9DCC-E62586C7A59D}"/>
    <cellStyle name="Normal 4 3 13 2" xfId="453" xr:uid="{51A96A17-F195-427C-BF3A-C21E3ADA81E5}"/>
    <cellStyle name="Normal 4 3 13 2 2" xfId="2152" xr:uid="{33FA74AB-A6B9-4A47-BCDA-12889C39B99A}"/>
    <cellStyle name="Normal 4 3 13 3" xfId="649" xr:uid="{E77A12CF-1636-4365-B306-E042CFF92B11}"/>
    <cellStyle name="Normal 4 3 13 3 2" xfId="2370" xr:uid="{FBA038C0-4175-46E0-875A-861CC30FFEE8}"/>
    <cellStyle name="Normal 4 3 13 4" xfId="867" xr:uid="{253655D5-7B8F-4036-A8F0-61CAD930101A}"/>
    <cellStyle name="Normal 4 3 13 4 2" xfId="2588" xr:uid="{061A3B67-3F4A-46DD-B2B0-10BE5F46CA32}"/>
    <cellStyle name="Normal 4 3 13 5" xfId="1085" xr:uid="{165FB474-40CE-4400-A5FD-53660678DE67}"/>
    <cellStyle name="Normal 4 3 13 5 2" xfId="2806" xr:uid="{FDB5FFCA-6825-46C0-A927-34BA41C5B5C2}"/>
    <cellStyle name="Normal 4 3 13 6" xfId="1303" xr:uid="{09AA3D96-EADC-4CF6-8EB0-728B090CB8B7}"/>
    <cellStyle name="Normal 4 3 13 6 2" xfId="3024" xr:uid="{7E92F14F-BB49-4537-9F81-FF9BC31448DB}"/>
    <cellStyle name="Normal 4 3 13 7" xfId="1521" xr:uid="{01AED39D-E2C0-41C4-A7AF-D9108ECEB154}"/>
    <cellStyle name="Normal 4 3 13 7 2" xfId="3242" xr:uid="{456DDF2A-1EF5-47B0-9C31-ADA8873C5A59}"/>
    <cellStyle name="Normal 4 3 13 8" xfId="1740" xr:uid="{A5C17F89-C9EA-41CB-BFC0-5B376D83020A}"/>
    <cellStyle name="Normal 4 3 13 8 2" xfId="3461" xr:uid="{85915EAD-48D1-4A45-8BF4-148C769529E1}"/>
    <cellStyle name="Normal 4 3 13 9" xfId="1960" xr:uid="{A347BDC0-DE27-47B3-B8F5-965CD68B2F60}"/>
    <cellStyle name="Normal 4 3 14" xfId="225" xr:uid="{46713EB6-D43E-4E69-B688-A265DBA79A5D}"/>
    <cellStyle name="Normal 4 3 14 2" xfId="469" xr:uid="{EDF1410F-A383-451C-B080-0ADD0ED42DD8}"/>
    <cellStyle name="Normal 4 3 14 2 2" xfId="2168" xr:uid="{26044867-B9F2-46B3-B658-882FE07068E0}"/>
    <cellStyle name="Normal 4 3 14 3" xfId="665" xr:uid="{5033E176-5C81-4F4E-9D94-BD79EEEA75FB}"/>
    <cellStyle name="Normal 4 3 14 3 2" xfId="2386" xr:uid="{98F20072-DC9D-43A3-BABE-8D46B567154F}"/>
    <cellStyle name="Normal 4 3 14 4" xfId="883" xr:uid="{A96442FE-91D6-4151-9CA6-2B5C34395EC8}"/>
    <cellStyle name="Normal 4 3 14 4 2" xfId="2604" xr:uid="{1CB1308A-6272-49E2-B3F0-2996336BB703}"/>
    <cellStyle name="Normal 4 3 14 5" xfId="1101" xr:uid="{05C04D5D-D868-4CA1-8149-426E1B735500}"/>
    <cellStyle name="Normal 4 3 14 5 2" xfId="2822" xr:uid="{34323B25-CFA2-463F-8868-00AEA16662C9}"/>
    <cellStyle name="Normal 4 3 14 6" xfId="1319" xr:uid="{02DD01EB-11AD-49FA-A733-7BF9A1F4CABE}"/>
    <cellStyle name="Normal 4 3 14 6 2" xfId="3040" xr:uid="{34E6F2D2-0F85-4D4B-9DA5-B4C7927917F2}"/>
    <cellStyle name="Normal 4 3 14 7" xfId="1537" xr:uid="{1CB6A0E5-9E02-4263-B344-848787D6F8AC}"/>
    <cellStyle name="Normal 4 3 14 7 2" xfId="3258" xr:uid="{908DCBBB-8ECE-4964-B275-C47BCEE32EF1}"/>
    <cellStyle name="Normal 4 3 14 8" xfId="1756" xr:uid="{10F5AB96-496B-4DC2-B007-ED54C917CBEC}"/>
    <cellStyle name="Normal 4 3 14 8 2" xfId="3477" xr:uid="{7E84AD07-47C0-444D-9CE9-4613A08759FE}"/>
    <cellStyle name="Normal 4 3 14 9" xfId="1976" xr:uid="{75C869CC-122F-411C-A0FF-95267AF3DE5C}"/>
    <cellStyle name="Normal 4 3 15" xfId="238" xr:uid="{389AB93E-8E01-4E69-A12C-63AF73D143F3}"/>
    <cellStyle name="Normal 4 3 15 2" xfId="482" xr:uid="{EA193613-10B1-46E2-BE7E-1518C6F16930}"/>
    <cellStyle name="Normal 4 3 15 2 2" xfId="2181" xr:uid="{743D2509-944A-4374-BF0D-B38364D2ADB1}"/>
    <cellStyle name="Normal 4 3 15 3" xfId="678" xr:uid="{FEA67E0C-B51E-4766-A659-209A123BB013}"/>
    <cellStyle name="Normal 4 3 15 3 2" xfId="2399" xr:uid="{89CA86F0-B091-4A51-BB72-B8F3D91A8828}"/>
    <cellStyle name="Normal 4 3 15 4" xfId="896" xr:uid="{24B0DDD4-C0C1-4C42-A812-1CFB9FB256F2}"/>
    <cellStyle name="Normal 4 3 15 4 2" xfId="2617" xr:uid="{EC1A4948-17CA-43C8-A925-0080784F97BB}"/>
    <cellStyle name="Normal 4 3 15 5" xfId="1114" xr:uid="{6F8657C5-F19D-4717-A4A6-9C4072FC8AF7}"/>
    <cellStyle name="Normal 4 3 15 5 2" xfId="2835" xr:uid="{E0F47D9D-0D27-4AD3-82AC-E3A63DD3193F}"/>
    <cellStyle name="Normal 4 3 15 6" xfId="1332" xr:uid="{FE0C400D-74F5-486C-B96B-EB68CB3EBD18}"/>
    <cellStyle name="Normal 4 3 15 6 2" xfId="3053" xr:uid="{629C89AB-FE8F-4962-BAEB-422D53D06F24}"/>
    <cellStyle name="Normal 4 3 15 7" xfId="1550" xr:uid="{95BFA186-F53D-4774-83CC-C93C285CCADA}"/>
    <cellStyle name="Normal 4 3 15 7 2" xfId="3271" xr:uid="{8E129648-1FA5-4D63-A933-BA33C724001B}"/>
    <cellStyle name="Normal 4 3 15 8" xfId="1769" xr:uid="{108E69CE-95B7-41D6-AEAE-5E67B197B635}"/>
    <cellStyle name="Normal 4 3 15 8 2" xfId="3490" xr:uid="{45D772A7-3FCF-4A84-8BC0-5CE2DB6FC284}"/>
    <cellStyle name="Normal 4 3 15 9" xfId="1989" xr:uid="{FF126C5A-0987-4F6C-BC79-FBA4ECDA669C}"/>
    <cellStyle name="Normal 4 3 16" xfId="251" xr:uid="{16649578-74E1-4F43-A526-36704D43CA98}"/>
    <cellStyle name="Normal 4 3 16 2" xfId="691" xr:uid="{B59C34C0-4FE8-439F-BF4B-8767C11EA5AD}"/>
    <cellStyle name="Normal 4 3 16 2 2" xfId="2412" xr:uid="{BF0333B8-BB5E-4F26-98EA-A95DC706022E}"/>
    <cellStyle name="Normal 4 3 16 3" xfId="909" xr:uid="{12BDC168-EFCC-48AE-A37F-FDB72489A81D}"/>
    <cellStyle name="Normal 4 3 16 3 2" xfId="2630" xr:uid="{EE891782-46B3-4B66-9AD1-C477FF016BE9}"/>
    <cellStyle name="Normal 4 3 16 4" xfId="1127" xr:uid="{4986C50C-34EE-458A-A60D-07073C237129}"/>
    <cellStyle name="Normal 4 3 16 4 2" xfId="2848" xr:uid="{B0D9D161-4BF6-4297-BF57-65F0C4564B59}"/>
    <cellStyle name="Normal 4 3 16 5" xfId="1345" xr:uid="{E2E71015-7EC1-401D-9102-86A0F6473ED5}"/>
    <cellStyle name="Normal 4 3 16 5 2" xfId="3066" xr:uid="{508E3658-1E46-4AFF-81D6-C1E2444C9D42}"/>
    <cellStyle name="Normal 4 3 16 6" xfId="1563" xr:uid="{80BDE559-983B-4294-A2E4-8D380BD35FC0}"/>
    <cellStyle name="Normal 4 3 16 6 2" xfId="3284" xr:uid="{72AEEFB8-636D-4A1F-B4BB-BBAB7CF3C668}"/>
    <cellStyle name="Normal 4 3 16 7" xfId="1782" xr:uid="{FA37F864-336A-4FD6-A719-5C69BEA5C13B}"/>
    <cellStyle name="Normal 4 3 16 7 2" xfId="3503" xr:uid="{E8F7ECE7-5E46-4D42-8DAE-7578E1A546E2}"/>
    <cellStyle name="Normal 4 3 16 8" xfId="2194" xr:uid="{A54A260F-6F01-49AE-9240-86C9494B58CB}"/>
    <cellStyle name="Normal 4 3 17" xfId="264" xr:uid="{89441703-79DA-491B-A4D3-F16162BE6976}"/>
    <cellStyle name="Normal 4 3 17 2" xfId="704" xr:uid="{97FD5C4D-513E-47E7-BE80-556DD835B6D1}"/>
    <cellStyle name="Normal 4 3 17 2 2" xfId="2425" xr:uid="{BBEC42E6-BEF8-4078-B610-D70F80D4721E}"/>
    <cellStyle name="Normal 4 3 17 3" xfId="922" xr:uid="{95ECDB13-6567-401A-82B6-5834CFF72FB6}"/>
    <cellStyle name="Normal 4 3 17 3 2" xfId="2643" xr:uid="{DFB5A1E2-00B6-4F5E-9BBC-4564C0FCB5CC}"/>
    <cellStyle name="Normal 4 3 17 4" xfId="1140" xr:uid="{488D32D9-8752-47BE-AB37-4973D83234A2}"/>
    <cellStyle name="Normal 4 3 17 4 2" xfId="2861" xr:uid="{53057823-FE91-4876-AD5F-077E5588AFE3}"/>
    <cellStyle name="Normal 4 3 17 5" xfId="1358" xr:uid="{1176EB28-D31B-4642-9C4B-65850E93BAEB}"/>
    <cellStyle name="Normal 4 3 17 5 2" xfId="3079" xr:uid="{A9D554B1-1D9D-4456-B173-339D1BFE013B}"/>
    <cellStyle name="Normal 4 3 17 6" xfId="1576" xr:uid="{A8468BBE-B1EC-4F22-BF0D-02BB79DF4BE3}"/>
    <cellStyle name="Normal 4 3 17 6 2" xfId="3297" xr:uid="{7D62C942-216F-4909-963C-A01BA7E0C52A}"/>
    <cellStyle name="Normal 4 3 17 7" xfId="1795" xr:uid="{DEDDE270-739E-42B7-8A26-5BC5054DDF4C}"/>
    <cellStyle name="Normal 4 3 17 7 2" xfId="3516" xr:uid="{33E1DEDC-320E-414E-A3A2-F4E80837380F}"/>
    <cellStyle name="Normal 4 3 17 8" xfId="2207" xr:uid="{BFC44850-26A0-4383-9FF6-78E8A6CD9467}"/>
    <cellStyle name="Normal 4 3 18" xfId="304" xr:uid="{DC0DB3D2-15B8-4904-A696-D17A78BC3B8C}"/>
    <cellStyle name="Normal 4 3 18 2" xfId="2002" xr:uid="{E5F17FFF-74DE-4CA7-99C1-BEF9A828F38E}"/>
    <cellStyle name="Normal 4 3 19" xfId="499" xr:uid="{598BD2CE-731A-460F-B7DA-815039F0CBFD}"/>
    <cellStyle name="Normal 4 3 19 2" xfId="2220" xr:uid="{BD00BF2B-DB99-4EEC-B3D1-188552C3A9DF}"/>
    <cellStyle name="Normal 4 3 2" xfId="70" xr:uid="{412A0EC8-B2D7-4E0B-BE03-4AD6FF568940}"/>
    <cellStyle name="Normal 4 3 2 10" xfId="1823" xr:uid="{5016FB2B-565B-4FF6-8AAA-A9978C498699}"/>
    <cellStyle name="Normal 4 3 2 2" xfId="214" xr:uid="{157F1ED2-E528-4277-95D7-77CBC8CD686E}"/>
    <cellStyle name="Normal 4 3 2 2 2" xfId="458" xr:uid="{2BFB71A7-1026-4709-9AB4-9B1E10EDC553}"/>
    <cellStyle name="Normal 4 3 2 2 2 2" xfId="2157" xr:uid="{7D954100-9912-47FB-BB76-18FD0D28E870}"/>
    <cellStyle name="Normal 4 3 2 2 2 2 2" xfId="3679" xr:uid="{D8B3CE08-1380-4DDB-AD10-485F7A7613BA}"/>
    <cellStyle name="Normal 4 3 2 2 2 2 2 2" xfId="3773" xr:uid="{19E0EE92-31FF-4AEC-8DDA-07CD71FBFC70}"/>
    <cellStyle name="Normal 4 3 2 2 2 2 2 2 2" xfId="4013" xr:uid="{544BD22B-ED9E-4CA0-8375-D545DE456FF1}"/>
    <cellStyle name="Normal 4 3 2 2 2 2 2 2 2 2" xfId="4551" xr:uid="{0509DA45-0634-4983-9402-1472A25E28AC}"/>
    <cellStyle name="Normal 4 3 2 2 2 2 2 2 3" xfId="4282" xr:uid="{7AD976D3-7F9A-4CDB-9DBE-2BF510A5E3C6}"/>
    <cellStyle name="Normal 4 3 2 2 2 2 2 3" xfId="3893" xr:uid="{C7D3ECFA-E624-4F26-98F8-6BF7787DB5F9}"/>
    <cellStyle name="Normal 4 3 2 2 2 2 2 3 2" xfId="4402" xr:uid="{AA8519DF-A393-4676-95C5-59A2455556B6}"/>
    <cellStyle name="Normal 4 3 2 2 2 2 2 4" xfId="4133" xr:uid="{73745485-5303-4777-80F9-B8267071085A}"/>
    <cellStyle name="Normal 4 3 2 2 2 2 3" xfId="3726" xr:uid="{1D06BA7A-7C89-4695-89D7-EC1C1A406286}"/>
    <cellStyle name="Normal 4 3 2 2 2 2 3 2" xfId="3945" xr:uid="{283A230F-CFCF-45D0-B81C-A9021BE6FC0D}"/>
    <cellStyle name="Normal 4 3 2 2 2 2 3 2 2" xfId="4479" xr:uid="{DC880601-D4C5-4F08-9A59-3E04B3E1357A}"/>
    <cellStyle name="Normal 4 3 2 2 2 2 3 3" xfId="4210" xr:uid="{7592016B-96D1-4E1E-9DB1-771C3B57F836}"/>
    <cellStyle name="Normal 4 3 2 2 2 2 4" xfId="3825" xr:uid="{F7D627C4-121D-40FD-AAF2-D7AB864DC91D}"/>
    <cellStyle name="Normal 4 3 2 2 2 2 4 2" xfId="4334" xr:uid="{EC99CA86-9348-4AA5-9C70-895CF3EEE028}"/>
    <cellStyle name="Normal 4 3 2 2 2 2 5" xfId="4065" xr:uid="{14C43238-3C5F-457C-84DC-CF11EA61BE33}"/>
    <cellStyle name="Normal 4 3 2 2 2 3" xfId="3664" xr:uid="{033D0E15-DBF5-4BA4-9966-84E2B1A916A8}"/>
    <cellStyle name="Normal 4 3 2 2 2 3 2" xfId="3741" xr:uid="{E943DA66-9C6C-44F6-BD3D-DA790130545B}"/>
    <cellStyle name="Normal 4 3 2 2 2 3 2 2" xfId="3977" xr:uid="{6F54D16C-85A9-48B5-9D64-89DCDD9E61C2}"/>
    <cellStyle name="Normal 4 3 2 2 2 3 2 2 2" xfId="4515" xr:uid="{FD136BBB-226D-41C1-A9D2-8E45114ACDF6}"/>
    <cellStyle name="Normal 4 3 2 2 2 3 2 3" xfId="4246" xr:uid="{EEF26547-A19D-42EC-AF89-D8F00D44D0AC}"/>
    <cellStyle name="Normal 4 3 2 2 2 3 3" xfId="3857" xr:uid="{DA4A33CB-0E3B-4E22-BE60-01847BFD1CC1}"/>
    <cellStyle name="Normal 4 3 2 2 2 3 3 2" xfId="4366" xr:uid="{AEDFB460-8FD8-4E70-8CCB-B5B1346DABC5}"/>
    <cellStyle name="Normal 4 3 2 2 2 3 4" xfId="4097" xr:uid="{5463C7F6-1566-473F-A0BF-55A938E926F6}"/>
    <cellStyle name="Normal 4 3 2 2 2 4" xfId="3694" xr:uid="{ED037315-855E-4F78-B7D7-5273365B2B64}"/>
    <cellStyle name="Normal 4 3 2 2 2 4 2" xfId="3913" xr:uid="{F311CF71-08AF-4402-8F8A-14BBADF33AC2}"/>
    <cellStyle name="Normal 4 3 2 2 2 4 2 2" xfId="4443" xr:uid="{E892B66F-C72C-45E4-9802-2E74FFE047B9}"/>
    <cellStyle name="Normal 4 3 2 2 2 4 3" xfId="4174" xr:uid="{39251083-42B7-401E-A27E-9B54A570545E}"/>
    <cellStyle name="Normal 4 3 2 2 2 5" xfId="3793" xr:uid="{FB811992-3B9C-4EE5-9099-2609F09A1939}"/>
    <cellStyle name="Normal 4 3 2 2 2 5 2" xfId="4302" xr:uid="{484988F6-686C-453D-9BA9-3CB0D6818487}"/>
    <cellStyle name="Normal 4 3 2 2 2 6" xfId="4033" xr:uid="{B1D21AC1-CFA6-45BE-82A5-E7C37B58DF18}"/>
    <cellStyle name="Normal 4 3 2 2 3" xfId="654" xr:uid="{9006D8EA-FA1C-4B1D-B7F3-A94AEBDBE4F7}"/>
    <cellStyle name="Normal 4 3 2 2 3 2" xfId="2375" xr:uid="{FB215715-7EF0-4B6A-AC14-2F4E4BD8C3DB}"/>
    <cellStyle name="Normal 4 3 2 2 3 2 2" xfId="3755" xr:uid="{AD0640DB-E1E2-418C-B9A3-229A72EC6E00}"/>
    <cellStyle name="Normal 4 3 2 2 3 2 2 2" xfId="3995" xr:uid="{A5AFB944-6B64-4EDB-9813-EC71D64BC997}"/>
    <cellStyle name="Normal 4 3 2 2 3 2 2 2 2" xfId="4533" xr:uid="{821FDCA6-EAB4-4FCC-A8B7-64E631ED7DD3}"/>
    <cellStyle name="Normal 4 3 2 2 3 2 2 3" xfId="4264" xr:uid="{C831974B-2D67-4BDF-AA8A-2183581C01E6}"/>
    <cellStyle name="Normal 4 3 2 2 3 2 3" xfId="3875" xr:uid="{528C9FB5-A9A9-4152-909C-54BA641BEA4B}"/>
    <cellStyle name="Normal 4 3 2 2 3 2 3 2" xfId="4384" xr:uid="{78C1A15D-7354-4B33-AD6A-4B7B74CA7985}"/>
    <cellStyle name="Normal 4 3 2 2 3 2 4" xfId="4115" xr:uid="{4B5B5F75-F9D6-4618-8285-7CDE4AA6CC2B}"/>
    <cellStyle name="Normal 4 3 2 2 3 3" xfId="3708" xr:uid="{DF10AC75-C4C2-4E46-BBFE-A32056C2AFA4}"/>
    <cellStyle name="Normal 4 3 2 2 3 3 2" xfId="3927" xr:uid="{1132CBFD-74AC-49A2-96FE-016A5CFD346E}"/>
    <cellStyle name="Normal 4 3 2 2 3 3 2 2" xfId="4461" xr:uid="{88B68DFA-4EF2-4DAC-A48C-A66601F6E5CD}"/>
    <cellStyle name="Normal 4 3 2 2 3 3 3" xfId="4192" xr:uid="{D3323EE4-B01F-43E3-8AF1-6FAB55F19A0B}"/>
    <cellStyle name="Normal 4 3 2 2 3 4" xfId="3807" xr:uid="{805C6A05-704C-4E55-BB7E-0D5756E80115}"/>
    <cellStyle name="Normal 4 3 2 2 3 4 2" xfId="4316" xr:uid="{9E98CA00-A10E-4C7A-97F0-3C28F532945C}"/>
    <cellStyle name="Normal 4 3 2 2 3 5" xfId="4047" xr:uid="{1CE093AA-D00A-48EE-92F2-24773C084B42}"/>
    <cellStyle name="Normal 4 3 2 2 4" xfId="872" xr:uid="{F52BB476-550C-4BAF-991F-8AA7F6A39484}"/>
    <cellStyle name="Normal 4 3 2 2 4 2" xfId="2593" xr:uid="{B56B465F-0134-4E9D-964D-30C5BFF68ED6}"/>
    <cellStyle name="Normal 4 3 2 2 4 2 2" xfId="3959" xr:uid="{87016B94-CC40-44A9-B0D0-96A7C5536EF8}"/>
    <cellStyle name="Normal 4 3 2 2 4 2 2 2" xfId="4497" xr:uid="{DB8027C2-8207-4A86-A71F-0F9EB42AC62A}"/>
    <cellStyle name="Normal 4 3 2 2 4 2 3" xfId="4228" xr:uid="{00F4CF4F-DF9E-44B1-BCBC-BC76B07F9F37}"/>
    <cellStyle name="Normal 4 3 2 2 4 3" xfId="3839" xr:uid="{EE8451AE-6CF8-4FDE-9B0A-09AF87930E0C}"/>
    <cellStyle name="Normal 4 3 2 2 4 3 2" xfId="4348" xr:uid="{88C91B48-6102-4974-9CEF-78081ECF3937}"/>
    <cellStyle name="Normal 4 3 2 2 4 4" xfId="4079" xr:uid="{3FD18370-AE18-4664-A45B-952C5372F47A}"/>
    <cellStyle name="Normal 4 3 2 2 5" xfId="1090" xr:uid="{60B1E740-0399-4004-A950-D0C5AD3C13E6}"/>
    <cellStyle name="Normal 4 3 2 2 5 2" xfId="2811" xr:uid="{8C37CEC6-F5CF-49A5-8068-497F7AAA2E83}"/>
    <cellStyle name="Normal 4 3 2 2 5 2 2" xfId="4425" xr:uid="{A78BB729-6733-48C8-81A4-71A4F855EBB5}"/>
    <cellStyle name="Normal 4 3 2 2 5 3" xfId="4156" xr:uid="{E1B9E860-9D9B-4520-B4D3-CC8F22E05271}"/>
    <cellStyle name="Normal 4 3 2 2 6" xfId="1308" xr:uid="{C7E5D6FD-29B4-4010-915D-F2520314C056}"/>
    <cellStyle name="Normal 4 3 2 2 6 2" xfId="3029" xr:uid="{67AC9E2A-08EE-4716-B28C-4B0A8E0D1832}"/>
    <cellStyle name="Normal 4 3 2 2 7" xfId="1526" xr:uid="{C0941789-2BEC-40CC-856F-B05565AF8797}"/>
    <cellStyle name="Normal 4 3 2 2 7 2" xfId="3247" xr:uid="{6F278AFE-2248-4132-883B-E3ACCE785315}"/>
    <cellStyle name="Normal 4 3 2 2 8" xfId="1745" xr:uid="{A1E2721B-8B61-48F6-8F63-0442CE0A8D7F}"/>
    <cellStyle name="Normal 4 3 2 2 8 2" xfId="3466" xr:uid="{41E2C537-B432-487D-A745-9D9B8D664AB4}"/>
    <cellStyle name="Normal 4 3 2 2 9" xfId="1965" xr:uid="{7C035AFD-D8EE-4B88-8A8F-896F29CF8725}"/>
    <cellStyle name="Normal 4 3 2 3" xfId="316" xr:uid="{9CC0C683-F100-4DC3-B46E-74330EAD1D51}"/>
    <cellStyle name="Normal 4 3 2 3 2" xfId="2015" xr:uid="{7753D29A-CDFB-4F77-A42F-E25F0B0341BA}"/>
    <cellStyle name="Normal 4 3 2 3 2 2" xfId="3671" xr:uid="{EFF51ED2-14AB-4AA9-BC17-62B47EDE1FD2}"/>
    <cellStyle name="Normal 4 3 2 3 2 2 2" xfId="3764" xr:uid="{48A827DF-D557-448E-9C39-7E1BD5FC85B9}"/>
    <cellStyle name="Normal 4 3 2 3 2 2 2 2" xfId="4004" xr:uid="{E0CE7F5D-48F9-4FFE-BFD1-29113C44FB90}"/>
    <cellStyle name="Normal 4 3 2 3 2 2 2 2 2" xfId="4542" xr:uid="{17C49FFE-A95E-4F3A-A317-9422EFB6DB21}"/>
    <cellStyle name="Normal 4 3 2 3 2 2 2 3" xfId="4273" xr:uid="{FBA27ED5-038B-4D6D-80EC-00CCEAA04073}"/>
    <cellStyle name="Normal 4 3 2 3 2 2 3" xfId="3884" xr:uid="{47EAB011-F5FF-4770-8845-D01EAD9F7907}"/>
    <cellStyle name="Normal 4 3 2 3 2 2 3 2" xfId="4393" xr:uid="{6F548D21-85B6-4DB5-9AA8-1120A255A31B}"/>
    <cellStyle name="Normal 4 3 2 3 2 2 4" xfId="4124" xr:uid="{3E658633-892F-474A-A959-39768233C3CB}"/>
    <cellStyle name="Normal 4 3 2 3 2 3" xfId="3717" xr:uid="{F93205F8-09BA-4CD0-A8F3-DECA65EFF3C8}"/>
    <cellStyle name="Normal 4 3 2 3 2 3 2" xfId="3936" xr:uid="{D214D879-E932-4B6A-BA06-909EFDF20F02}"/>
    <cellStyle name="Normal 4 3 2 3 2 3 2 2" xfId="4470" xr:uid="{BE5A04D3-DED2-42D1-B16D-F9B44814B1B9}"/>
    <cellStyle name="Normal 4 3 2 3 2 3 3" xfId="4201" xr:uid="{A4250A79-02D4-4A34-A983-1439F6281C88}"/>
    <cellStyle name="Normal 4 3 2 3 2 4" xfId="3816" xr:uid="{09FA0C62-D02B-4356-935C-B4D1D5DA4FF4}"/>
    <cellStyle name="Normal 4 3 2 3 2 4 2" xfId="4325" xr:uid="{D6FD6154-EF5D-4AB6-A5C6-DEA72CF56395}"/>
    <cellStyle name="Normal 4 3 2 3 2 5" xfId="4056" xr:uid="{F205405B-05D6-4273-86F9-BA4D586FA1D3}"/>
    <cellStyle name="Normal 4 3 2 3 3" xfId="3656" xr:uid="{3DC3433B-FC86-44D1-BACD-0DE381734DB7}"/>
    <cellStyle name="Normal 4 3 2 3 3 2" xfId="3733" xr:uid="{67173720-1FE0-4789-8725-5AF333178081}"/>
    <cellStyle name="Normal 4 3 2 3 3 2 2" xfId="3968" xr:uid="{68454F82-548F-4CBC-A439-327CC424EA1B}"/>
    <cellStyle name="Normal 4 3 2 3 3 2 2 2" xfId="4506" xr:uid="{32A96CB9-15A5-4F4C-9805-05414834051E}"/>
    <cellStyle name="Normal 4 3 2 3 3 2 3" xfId="4237" xr:uid="{4C4A684B-3872-49A2-A91A-742D673B055C}"/>
    <cellStyle name="Normal 4 3 2 3 3 3" xfId="3848" xr:uid="{F254ED8D-CD72-438B-B03D-252DBDE6F077}"/>
    <cellStyle name="Normal 4 3 2 3 3 3 2" xfId="4357" xr:uid="{9AA311F0-30E1-473F-8B88-7C0DFB0B274F}"/>
    <cellStyle name="Normal 4 3 2 3 3 4" xfId="4088" xr:uid="{534A5CFC-8F5A-4C82-A9AF-6F08D1139ED0}"/>
    <cellStyle name="Normal 4 3 2 3 4" xfId="3686" xr:uid="{9F4FE356-7C70-4108-8470-6E3338E1190B}"/>
    <cellStyle name="Normal 4 3 2 3 4 2" xfId="3905" xr:uid="{9CC7E210-63AC-4426-AACD-D8196C9F561B}"/>
    <cellStyle name="Normal 4 3 2 3 4 2 2" xfId="4434" xr:uid="{54F67BA4-58EC-43EE-9AAC-B157CBB80462}"/>
    <cellStyle name="Normal 4 3 2 3 4 3" xfId="4165" xr:uid="{E290FDBC-EE92-4A6B-A5C3-A31D61377BB7}"/>
    <cellStyle name="Normal 4 3 2 3 5" xfId="3785" xr:uid="{50E9F207-CF68-4374-9F70-2B9036B858BB}"/>
    <cellStyle name="Normal 4 3 2 3 5 2" xfId="4294" xr:uid="{47C25C48-4F33-48C9-AC76-584D3D83415D}"/>
    <cellStyle name="Normal 4 3 2 3 6" xfId="4025" xr:uid="{7546E6E3-5A39-414F-AF85-458235FA6D66}"/>
    <cellStyle name="Normal 4 3 2 4" xfId="512" xr:uid="{03B76E8A-CFA5-4C9D-B8D7-E9734CD20DEC}"/>
    <cellStyle name="Normal 4 3 2 4 2" xfId="2233" xr:uid="{57EEF372-6137-4942-9198-B582519E8F09}"/>
    <cellStyle name="Normal 4 3 2 4 2 2" xfId="3746" xr:uid="{991DF127-73CC-48BB-89BF-6E4EA6678CF0}"/>
    <cellStyle name="Normal 4 3 2 4 2 2 2" xfId="3986" xr:uid="{82C2DEE9-8548-4A3E-88F1-2189C38046EB}"/>
    <cellStyle name="Normal 4 3 2 4 2 2 2 2" xfId="4524" xr:uid="{6CA60A7F-5B72-4A36-B6EA-5D97E04464E7}"/>
    <cellStyle name="Normal 4 3 2 4 2 2 3" xfId="4255" xr:uid="{B0FABC12-EBF8-434E-BEDB-FA2EA5D4A532}"/>
    <cellStyle name="Normal 4 3 2 4 2 3" xfId="3866" xr:uid="{BA0297A7-A08F-4AF0-A4D3-D8955F0FD881}"/>
    <cellStyle name="Normal 4 3 2 4 2 3 2" xfId="4375" xr:uid="{2DF454B8-F73B-4AB1-A792-55513EBAE30E}"/>
    <cellStyle name="Normal 4 3 2 4 2 4" xfId="4106" xr:uid="{7125AA64-06BF-43FA-93D7-508201A1225B}"/>
    <cellStyle name="Normal 4 3 2 4 3" xfId="3699" xr:uid="{C9ED2DA5-B28E-4215-BADB-77D01E8EAF5C}"/>
    <cellStyle name="Normal 4 3 2 4 3 2" xfId="3918" xr:uid="{75581341-CDF3-4E64-AC36-27E1C0DCCBB9}"/>
    <cellStyle name="Normal 4 3 2 4 3 2 2" xfId="4452" xr:uid="{3968CD65-D1B4-47D0-891F-C629B2705FD9}"/>
    <cellStyle name="Normal 4 3 2 4 3 3" xfId="4183" xr:uid="{BE22D84D-8E08-48CD-924A-F3AD02B8D4D7}"/>
    <cellStyle name="Normal 4 3 2 4 4" xfId="3798" xr:uid="{13836DD0-DF9C-436D-902E-290A101D7DF2}"/>
    <cellStyle name="Normal 4 3 2 4 4 2" xfId="4307" xr:uid="{5C19433A-A226-4FD0-B43E-B55F96FCCFAD}"/>
    <cellStyle name="Normal 4 3 2 4 5" xfId="4038" xr:uid="{C0B43225-AAA9-4BA5-ABFA-A65572185302}"/>
    <cellStyle name="Normal 4 3 2 5" xfId="730" xr:uid="{219B55D1-2A37-480C-96BB-E18636CDE480}"/>
    <cellStyle name="Normal 4 3 2 5 2" xfId="2451" xr:uid="{60AC8032-78C2-46F0-B5B6-6F82C81746D9}"/>
    <cellStyle name="Normal 4 3 2 5 2 2" xfId="3950" xr:uid="{E2975761-0A04-4B7D-89F0-18E4F5F129FA}"/>
    <cellStyle name="Normal 4 3 2 5 2 2 2" xfId="4488" xr:uid="{E7D4C009-3040-4095-B4F7-89C0D6EF00A7}"/>
    <cellStyle name="Normal 4 3 2 5 2 3" xfId="4219" xr:uid="{CDFC00B6-411F-4EA4-A172-64F808BA9FC5}"/>
    <cellStyle name="Normal 4 3 2 5 3" xfId="3830" xr:uid="{3BEE6F46-B386-49C2-AE98-0B46C5DA63AA}"/>
    <cellStyle name="Normal 4 3 2 5 3 2" xfId="4339" xr:uid="{C8CD0737-D548-48D5-AAD2-964BABA5C624}"/>
    <cellStyle name="Normal 4 3 2 5 4" xfId="4070" xr:uid="{00698F43-AD1E-431E-97D4-87BFE5681EF2}"/>
    <cellStyle name="Normal 4 3 2 6" xfId="948" xr:uid="{AF13F72E-90FE-4A88-A8D2-F587A310833C}"/>
    <cellStyle name="Normal 4 3 2 6 2" xfId="2669" xr:uid="{898C461A-EB55-408F-B321-3BA46ECD47D8}"/>
    <cellStyle name="Normal 4 3 2 6 2 2" xfId="3898" xr:uid="{601E624A-57A7-40B9-B728-1045B26922F2}"/>
    <cellStyle name="Normal 4 3 2 6 2 2 2" xfId="4416" xr:uid="{7630CD17-EAE1-4909-A110-BB558990C683}"/>
    <cellStyle name="Normal 4 3 2 6 2 3" xfId="4147" xr:uid="{CF238917-B86E-4F08-AC81-2548400AC31B}"/>
    <cellStyle name="Normal 4 3 2 6 3" xfId="3778" xr:uid="{F61B69F9-0747-418E-9DAD-D0D9B392EEBA}"/>
    <cellStyle name="Normal 4 3 2 6 3 2" xfId="4287" xr:uid="{A6396572-AF82-47EB-9A16-49C90E5AAD23}"/>
    <cellStyle name="Normal 4 3 2 6 4" xfId="4018" xr:uid="{66EE46BF-43A7-4B8A-910C-E4C70CF3047E}"/>
    <cellStyle name="Normal 4 3 2 7" xfId="1166" xr:uid="{D78D716B-FE68-4E84-BBC6-F2CB92FDE40F}"/>
    <cellStyle name="Normal 4 3 2 7 2" xfId="2887" xr:uid="{F8BA2F55-AF30-4102-A37E-39082139E01E}"/>
    <cellStyle name="Normal 4 3 2 7 2 2" xfId="4407" xr:uid="{829C8C0A-BE5F-47A1-8AC7-F82F0F7FAEAD}"/>
    <cellStyle name="Normal 4 3 2 7 3" xfId="4138" xr:uid="{F1BAFD4B-F01A-4C53-9D81-EFD127114E16}"/>
    <cellStyle name="Normal 4 3 2 8" xfId="1384" xr:uid="{68EC4314-CC0D-4F88-BF3B-8DCC26B7B218}"/>
    <cellStyle name="Normal 4 3 2 8 2" xfId="3105" xr:uid="{F0365B37-602F-428E-8ADD-24D65E80D75F}"/>
    <cellStyle name="Normal 4 3 2 9" xfId="1603" xr:uid="{3F9B6DEA-3D22-4273-A00D-17BA2066C09F}"/>
    <cellStyle name="Normal 4 3 2 9 2" xfId="3324" xr:uid="{A860FBA2-5AAA-4050-8DA8-E9FE3AE8E8B9}"/>
    <cellStyle name="Normal 4 3 20" xfId="717" xr:uid="{22F318C2-910F-4D1F-8D5A-54340E821AED}"/>
    <cellStyle name="Normal 4 3 20 2" xfId="2438" xr:uid="{6BC623F0-475C-44D0-9DCC-74BA188E58F6}"/>
    <cellStyle name="Normal 4 3 21" xfId="935" xr:uid="{53A76166-5F8B-4DC9-B59D-C1834F86D8D0}"/>
    <cellStyle name="Normal 4 3 21 2" xfId="2656" xr:uid="{1730C01C-4D18-48F6-962D-96300EEAB40D}"/>
    <cellStyle name="Normal 4 3 22" xfId="1153" xr:uid="{53F066E5-DC1E-4759-9FD8-2602A7135B92}"/>
    <cellStyle name="Normal 4 3 22 2" xfId="2874" xr:uid="{88BC391E-EA0F-42A0-BD45-7D51698F55B5}"/>
    <cellStyle name="Normal 4 3 23" xfId="1371" xr:uid="{7392EA3D-B54D-4314-B6D1-DC6CF99D5553}"/>
    <cellStyle name="Normal 4 3 23 2" xfId="3092" xr:uid="{62ED89DD-2373-4684-8801-9B9FB89358FF}"/>
    <cellStyle name="Normal 4 3 24" xfId="1590" xr:uid="{408FDE08-3CE6-40FC-9187-0BC8157F2888}"/>
    <cellStyle name="Normal 4 3 24 2" xfId="3311" xr:uid="{E866B627-E5FB-44BC-AAF0-281CB5D7A0D2}"/>
    <cellStyle name="Normal 4 3 25" xfId="1810" xr:uid="{BBAC9AD1-7D81-417A-9C1A-A906F7415F3F}"/>
    <cellStyle name="Normal 4 3 3" xfId="83" xr:uid="{B9CFFD7B-9B2B-497E-9B6F-3DA4A57F9E88}"/>
    <cellStyle name="Normal 4 3 3 2" xfId="329" xr:uid="{1D4E9F54-AFE8-4CEC-99DA-0D8076BB54EA}"/>
    <cellStyle name="Normal 4 3 3 2 2" xfId="2028" xr:uid="{0AC15E03-AB04-467A-BE4A-A0206EBCA78F}"/>
    <cellStyle name="Normal 4 3 3 2 2 2" xfId="3649" xr:uid="{4647B03F-5447-4C1B-8CFD-CF724FDC7647}"/>
    <cellStyle name="Normal 4 3 3 2 2 2 2" xfId="3677" xr:uid="{9D6C4D6B-AD09-4D66-86D6-09CCBA05B5F2}"/>
    <cellStyle name="Normal 4 3 3 2 2 2 2 2" xfId="3770" xr:uid="{6D5AF29F-8CB1-49FA-B151-BA1F3CF2C40D}"/>
    <cellStyle name="Normal 4 3 3 2 2 2 2 2 2" xfId="4010" xr:uid="{34FC7264-1E20-45FE-8EB6-8DF22CBDDF11}"/>
    <cellStyle name="Normal 4 3 3 2 2 2 2 2 2 2" xfId="4548" xr:uid="{50C8641F-EC10-4665-A780-BF771C546085}"/>
    <cellStyle name="Normal 4 3 3 2 2 2 2 2 3" xfId="4279" xr:uid="{F4C67B62-A275-4950-A495-1C92D88213F4}"/>
    <cellStyle name="Normal 4 3 3 2 2 2 2 3" xfId="3890" xr:uid="{E96BD38E-537B-4C71-A230-D72F15877D83}"/>
    <cellStyle name="Normal 4 3 3 2 2 2 2 3 2" xfId="4399" xr:uid="{682EAD98-123E-4A17-8C3F-D089B7D5120B}"/>
    <cellStyle name="Normal 4 3 3 2 2 2 2 4" xfId="4130" xr:uid="{E0CE3C3D-C62A-4094-98A0-844078E87E3D}"/>
    <cellStyle name="Normal 4 3 3 2 2 2 3" xfId="3723" xr:uid="{14456619-8470-4A39-AECC-7B5539003106}"/>
    <cellStyle name="Normal 4 3 3 2 2 2 3 2" xfId="3942" xr:uid="{5BA7B82E-9FFD-4B5E-B220-B0CC714FD181}"/>
    <cellStyle name="Normal 4 3 3 2 2 2 3 2 2" xfId="4476" xr:uid="{D5365181-6585-4E4B-993C-19F93D6B8C57}"/>
    <cellStyle name="Normal 4 3 3 2 2 2 3 3" xfId="4207" xr:uid="{2998DE7A-0156-4A7E-A347-9BFF0B0E92BA}"/>
    <cellStyle name="Normal 4 3 3 2 2 2 4" xfId="3822" xr:uid="{E1D5FCF2-9F43-4E7B-B4A6-0BCFF34C0104}"/>
    <cellStyle name="Normal 4 3 3 2 2 2 4 2" xfId="4331" xr:uid="{67E61001-0E3A-4112-936A-2B362FA69511}"/>
    <cellStyle name="Normal 4 3 3 2 2 2 5" xfId="4062" xr:uid="{49EE584E-0380-4D4A-BD40-FE5DEA5ECB40}"/>
    <cellStyle name="Normal 4 3 3 2 2 3" xfId="3662" xr:uid="{4898C628-B8EF-4023-AB5E-7C84B578EDE0}"/>
    <cellStyle name="Normal 4 3 3 2 2 3 2" xfId="3739" xr:uid="{FE4F5F2D-CAF5-42A8-BD6A-C9D12D1CF027}"/>
    <cellStyle name="Normal 4 3 3 2 2 3 2 2" xfId="3974" xr:uid="{EC5D56F4-11C9-4B3B-844E-142F3D1FD789}"/>
    <cellStyle name="Normal 4 3 3 2 2 3 2 2 2" xfId="4512" xr:uid="{42CE381F-5040-4FD0-90A1-6801B46A3237}"/>
    <cellStyle name="Normal 4 3 3 2 2 3 2 3" xfId="4243" xr:uid="{784B6C40-A542-4CB9-84A4-65C73AB156CC}"/>
    <cellStyle name="Normal 4 3 3 2 2 3 3" xfId="3854" xr:uid="{DF0A28B2-8092-4A87-BEC6-6242576C8785}"/>
    <cellStyle name="Normal 4 3 3 2 2 3 3 2" xfId="4363" xr:uid="{361254A2-C1B6-4040-AD22-7A2E1D54969C}"/>
    <cellStyle name="Normal 4 3 3 2 2 3 4" xfId="4094" xr:uid="{4253CBF9-C1B3-4DA4-9569-8255BDA1D109}"/>
    <cellStyle name="Normal 4 3 3 2 2 4" xfId="3692" xr:uid="{FB51353D-147A-4BB2-8914-076877CCA5D1}"/>
    <cellStyle name="Normal 4 3 3 2 2 4 2" xfId="3911" xr:uid="{90B90988-E383-4C22-98FA-C986B9D5FB33}"/>
    <cellStyle name="Normal 4 3 3 2 2 4 2 2" xfId="4440" xr:uid="{5DEDF0D2-E429-4A1E-B110-E5BB000D82DD}"/>
    <cellStyle name="Normal 4 3 3 2 2 4 3" xfId="4171" xr:uid="{0504F400-4698-41B2-9BEB-C54ADA8529E9}"/>
    <cellStyle name="Normal 4 3 3 2 2 5" xfId="3791" xr:uid="{84B685B7-F992-4CF6-B67B-583D596799FC}"/>
    <cellStyle name="Normal 4 3 3 2 2 5 2" xfId="4300" xr:uid="{86B6B139-B7AD-47F3-8B1B-A26AF34887E7}"/>
    <cellStyle name="Normal 4 3 3 2 2 6" xfId="4031" xr:uid="{0A11C0E5-E638-4278-B27D-A7A04CDCCC43}"/>
    <cellStyle name="Normal 4 3 3 2 3" xfId="3647" xr:uid="{775214EB-AA52-43EF-B76C-B5A1B3E1A913}"/>
    <cellStyle name="Normal 4 3 3 2 3 2" xfId="3666" xr:uid="{E48064DC-27C8-4139-B654-05B1886D0619}"/>
    <cellStyle name="Normal 4 3 3 2 3 2 2" xfId="3752" xr:uid="{2B9D1E82-0839-41DC-9032-F5348B8ADE53}"/>
    <cellStyle name="Normal 4 3 3 2 3 2 2 2" xfId="3992" xr:uid="{5C475BAD-95C6-483B-9E8E-1240798F5BA0}"/>
    <cellStyle name="Normal 4 3 3 2 3 2 2 2 2" xfId="4530" xr:uid="{4867259C-85FE-42F8-9B29-C37F24BEB952}"/>
    <cellStyle name="Normal 4 3 3 2 3 2 2 3" xfId="4261" xr:uid="{BD080012-23A3-4D19-801F-BA4BCD330F00}"/>
    <cellStyle name="Normal 4 3 3 2 3 2 3" xfId="3872" xr:uid="{76CF85D2-3F25-4A99-8A17-5070F39A0C0E}"/>
    <cellStyle name="Normal 4 3 3 2 3 2 3 2" xfId="4381" xr:uid="{813D5BA8-008A-4B30-A913-1A52E46829E1}"/>
    <cellStyle name="Normal 4 3 3 2 3 2 4" xfId="4112" xr:uid="{BE3EEF26-4F79-4EF0-A958-76FEA5FB46C7}"/>
    <cellStyle name="Normal 4 3 3 2 3 3" xfId="3705" xr:uid="{871FEDF0-C662-47CE-BEE8-D116960FA787}"/>
    <cellStyle name="Normal 4 3 3 2 3 3 2" xfId="3924" xr:uid="{987A3CC2-0F9C-4270-9D14-F4B8863E677E}"/>
    <cellStyle name="Normal 4 3 3 2 3 3 2 2" xfId="4458" xr:uid="{E69876BC-01BB-4AEE-845F-01B9A6A3C9FE}"/>
    <cellStyle name="Normal 4 3 3 2 3 3 3" xfId="4189" xr:uid="{8C92FBB7-7464-4102-8175-A7A4D026FEF5}"/>
    <cellStyle name="Normal 4 3 3 2 3 4" xfId="3804" xr:uid="{EDD2B3E0-B6E0-42DE-B2B2-06B6C6BDD38F}"/>
    <cellStyle name="Normal 4 3 3 2 3 4 2" xfId="4313" xr:uid="{BE700AC6-012F-4A4C-BB52-92AFFC59EC75}"/>
    <cellStyle name="Normal 4 3 3 2 3 5" xfId="4044" xr:uid="{08A65175-E56E-4E79-A90A-B00EF75E9C08}"/>
    <cellStyle name="Normal 4 3 3 2 4" xfId="3651" xr:uid="{43AFD7C9-DE46-4A60-83E1-69FBD39C5FE6}"/>
    <cellStyle name="Normal 4 3 3 2 4 2" xfId="3728" xr:uid="{2DCD2A00-97C1-4E8E-9D97-7857A5C82FE7}"/>
    <cellStyle name="Normal 4 3 3 2 4 2 2" xfId="3956" xr:uid="{A1336CE9-2F82-47E3-9DE2-EC4C3B723CE0}"/>
    <cellStyle name="Normal 4 3 3 2 4 2 2 2" xfId="4494" xr:uid="{B8EA1495-ADEB-497C-9F76-4023D5039492}"/>
    <cellStyle name="Normal 4 3 3 2 4 2 3" xfId="4225" xr:uid="{653544B9-4DD0-40FE-B640-BA889E6F239A}"/>
    <cellStyle name="Normal 4 3 3 2 4 3" xfId="3836" xr:uid="{47F7643D-CE97-4CE3-B27A-13BBE503E6F5}"/>
    <cellStyle name="Normal 4 3 3 2 4 3 2" xfId="4345" xr:uid="{7CC94959-725B-4424-BF95-85756A118EC0}"/>
    <cellStyle name="Normal 4 3 3 2 4 4" xfId="4076" xr:uid="{4254BF0B-E9A9-42BD-8435-5E099761A338}"/>
    <cellStyle name="Normal 4 3 3 2 5" xfId="3681" xr:uid="{C718DA1A-E049-4C42-9244-70F93AB3F9CE}"/>
    <cellStyle name="Normal 4 3 3 2 5 2" xfId="3900" xr:uid="{0B9896D0-3188-4180-AA34-5255CBA621B1}"/>
    <cellStyle name="Normal 4 3 3 2 5 2 2" xfId="4422" xr:uid="{E6053381-0E4E-444C-B717-E7442C21CD58}"/>
    <cellStyle name="Normal 4 3 3 2 5 3" xfId="4153" xr:uid="{35B37F5E-694F-4D5E-836F-8133F9B33E65}"/>
    <cellStyle name="Normal 4 3 3 2 6" xfId="3780" xr:uid="{F2E12C0D-BA86-4254-87BD-F651B6914434}"/>
    <cellStyle name="Normal 4 3 3 2 6 2" xfId="4289" xr:uid="{A9D845CD-C4C4-4082-A4CF-1AB815B0344A}"/>
    <cellStyle name="Normal 4 3 3 2 7" xfId="4020" xr:uid="{BB1F5E2C-1483-4638-B321-530FDE8EB431}"/>
    <cellStyle name="Normal 4 3 3 3" xfId="525" xr:uid="{823B41CE-74DB-413C-A0B9-DEA0ECEBD7EE}"/>
    <cellStyle name="Normal 4 3 3 3 2" xfId="2246" xr:uid="{FE19CBE1-2CAD-45B6-B391-D6BF494E63AD}"/>
    <cellStyle name="Normal 4 3 3 3 2 2" xfId="3669" xr:uid="{350A9A61-AA1E-4BA4-BC43-FC76534C4654}"/>
    <cellStyle name="Normal 4 3 3 3 2 2 2" xfId="3761" xr:uid="{F51F67C4-4E6A-403E-BAC1-E711BB8B4540}"/>
    <cellStyle name="Normal 4 3 3 3 2 2 2 2" xfId="4001" xr:uid="{A42459F8-D849-42F9-9D52-7EB377FE3D97}"/>
    <cellStyle name="Normal 4 3 3 3 2 2 2 2 2" xfId="4539" xr:uid="{21207F01-2E22-48CA-8AEF-E021C69C6C61}"/>
    <cellStyle name="Normal 4 3 3 3 2 2 2 3" xfId="4270" xr:uid="{2987D001-9C92-42CD-9EF2-BCD730A6CFD6}"/>
    <cellStyle name="Normal 4 3 3 3 2 2 3" xfId="3881" xr:uid="{E508CF66-7ABA-4C3F-BC18-DE16249712F2}"/>
    <cellStyle name="Normal 4 3 3 3 2 2 3 2" xfId="4390" xr:uid="{43018DEE-8FA6-4F3A-86C7-465AE84918C3}"/>
    <cellStyle name="Normal 4 3 3 3 2 2 4" xfId="4121" xr:uid="{769D8C74-0371-43B9-92E0-2E14F9915ACB}"/>
    <cellStyle name="Normal 4 3 3 3 2 3" xfId="3714" xr:uid="{869C7407-90AC-45FD-8FB7-0E9C69A33F2F}"/>
    <cellStyle name="Normal 4 3 3 3 2 3 2" xfId="3933" xr:uid="{7FA9AFFB-5366-4940-836F-4D596A64486B}"/>
    <cellStyle name="Normal 4 3 3 3 2 3 2 2" xfId="4467" xr:uid="{CA977B4A-0303-4729-A1F7-B418C3A717D4}"/>
    <cellStyle name="Normal 4 3 3 3 2 3 3" xfId="4198" xr:uid="{A5DD323E-34DD-474A-9387-EF30BDD9DFA0}"/>
    <cellStyle name="Normal 4 3 3 3 2 4" xfId="3813" xr:uid="{E912FA7B-6102-4C51-B84F-143E2B2879DB}"/>
    <cellStyle name="Normal 4 3 3 3 2 4 2" xfId="4322" xr:uid="{8CE5EB21-CCB0-4B85-AF75-7253F5ECCD6E}"/>
    <cellStyle name="Normal 4 3 3 3 2 5" xfId="4053" xr:uid="{7B95321F-ED64-4865-9DF9-D8B18FFDB3E3}"/>
    <cellStyle name="Normal 4 3 3 3 3" xfId="3654" xr:uid="{C50C2D72-CA4D-4E23-B199-D6D5E8660029}"/>
    <cellStyle name="Normal 4 3 3 3 3 2" xfId="3731" xr:uid="{D17B6DF5-E060-4B7F-A72B-6F74F7FB08AC}"/>
    <cellStyle name="Normal 4 3 3 3 3 2 2" xfId="3965" xr:uid="{5A16E5D9-CD74-434C-B42B-55693F1243EE}"/>
    <cellStyle name="Normal 4 3 3 3 3 2 2 2" xfId="4503" xr:uid="{B4C8DBC4-2C70-4C8F-B17E-B79405FBDACF}"/>
    <cellStyle name="Normal 4 3 3 3 3 2 3" xfId="4234" xr:uid="{349CB63A-2F86-47F6-A149-A612BE56F93C}"/>
    <cellStyle name="Normal 4 3 3 3 3 3" xfId="3845" xr:uid="{59A69FA8-89A8-40B5-AE40-AFB22D77ADAD}"/>
    <cellStyle name="Normal 4 3 3 3 3 3 2" xfId="4354" xr:uid="{54E0FE18-941F-4E31-8D38-984C416DD07C}"/>
    <cellStyle name="Normal 4 3 3 3 3 4" xfId="4085" xr:uid="{1B040D17-1803-4059-9FC2-FCF9F50725C9}"/>
    <cellStyle name="Normal 4 3 3 3 4" xfId="3684" xr:uid="{EDC0EFEE-BA59-4040-AA44-D5821FB7B02E}"/>
    <cellStyle name="Normal 4 3 3 3 4 2" xfId="3903" xr:uid="{374F8E17-64AC-49C9-9ED9-43E3C32E35B5}"/>
    <cellStyle name="Normal 4 3 3 3 4 2 2" xfId="4431" xr:uid="{8D924282-E53E-4C0B-B8DD-5F968BFAF916}"/>
    <cellStyle name="Normal 4 3 3 3 4 3" xfId="4162" xr:uid="{14F925E9-F82D-498C-B2BC-A09879222B2D}"/>
    <cellStyle name="Normal 4 3 3 3 5" xfId="3783" xr:uid="{B734E899-49AB-4DBA-8086-324DF31D5402}"/>
    <cellStyle name="Normal 4 3 3 3 5 2" xfId="4292" xr:uid="{AA2332FD-B093-4F23-8711-70774407BD8C}"/>
    <cellStyle name="Normal 4 3 3 3 6" xfId="4023" xr:uid="{B5A5E1F4-AEFD-4EB1-8F0D-81AB0D2CB018}"/>
    <cellStyle name="Normal 4 3 3 4" xfId="743" xr:uid="{BC30BEED-AC22-412A-9A65-9008523B64CA}"/>
    <cellStyle name="Normal 4 3 3 4 2" xfId="2464" xr:uid="{36B18113-464A-456C-BBFB-E543880BC54A}"/>
    <cellStyle name="Normal 4 3 3 4 2 2" xfId="3744" xr:uid="{54DFE1DB-8F86-43A3-BD59-92050AB66ECC}"/>
    <cellStyle name="Normal 4 3 3 4 2 2 2" xfId="3983" xr:uid="{CD666881-511B-4E31-A0B1-85347C718705}"/>
    <cellStyle name="Normal 4 3 3 4 2 2 2 2" xfId="4521" xr:uid="{3C58367A-9993-4B1E-8F45-75AB4EDEE09F}"/>
    <cellStyle name="Normal 4 3 3 4 2 2 3" xfId="4252" xr:uid="{2E25D452-B893-42CA-AA68-1BD5A8B1A771}"/>
    <cellStyle name="Normal 4 3 3 4 2 3" xfId="3863" xr:uid="{C872D5F3-BF7F-4940-90C0-704D6E749D3F}"/>
    <cellStyle name="Normal 4 3 3 4 2 3 2" xfId="4372" xr:uid="{AAFA61C1-830F-4312-98A9-7D1787FCDBB6}"/>
    <cellStyle name="Normal 4 3 3 4 2 4" xfId="4103" xr:uid="{9F996D41-1BE5-48A5-94DA-2486DC1E808D}"/>
    <cellStyle name="Normal 4 3 3 4 3" xfId="3697" xr:uid="{5CFEBA7E-C5E4-4E50-94C9-E8A85619ACB4}"/>
    <cellStyle name="Normal 4 3 3 4 3 2" xfId="3916" xr:uid="{431F4386-B3B0-4B4F-A6AA-99F19F700BD1}"/>
    <cellStyle name="Normal 4 3 3 4 3 2 2" xfId="4449" xr:uid="{D6C88313-6641-4B7E-8925-BD2DF16EA329}"/>
    <cellStyle name="Normal 4 3 3 4 3 3" xfId="4180" xr:uid="{966F7CFE-C79B-4FEA-90A3-DAD58617BF5C}"/>
    <cellStyle name="Normal 4 3 3 4 4" xfId="3796" xr:uid="{60058B54-A1C2-4C0D-885F-33BE0CBC5631}"/>
    <cellStyle name="Normal 4 3 3 4 4 2" xfId="4305" xr:uid="{C5C785DC-457E-4877-86AA-8BEBCD5FE294}"/>
    <cellStyle name="Normal 4 3 3 4 5" xfId="4036" xr:uid="{82C08D78-A076-4D86-8196-1679DA288D52}"/>
    <cellStyle name="Normal 4 3 3 5" xfId="961" xr:uid="{283E3152-45A9-4088-A532-DF611CD22DD5}"/>
    <cellStyle name="Normal 4 3 3 5 2" xfId="2682" xr:uid="{943C200A-6379-415A-977A-C4C6F588A3DB}"/>
    <cellStyle name="Normal 4 3 3 5 2 2" xfId="3948" xr:uid="{4A92369E-5A66-436D-8448-E9D64EAB3138}"/>
    <cellStyle name="Normal 4 3 3 5 2 2 2" xfId="4485" xr:uid="{27D7B3DA-60F4-433A-82D2-5B69065C4AE4}"/>
    <cellStyle name="Normal 4 3 3 5 2 3" xfId="4216" xr:uid="{E868AA21-506E-482F-87BC-CB50C385C466}"/>
    <cellStyle name="Normal 4 3 3 5 3" xfId="3828" xr:uid="{D0EF5643-82C5-4B54-AA2F-FDE1004905D5}"/>
    <cellStyle name="Normal 4 3 3 5 3 2" xfId="4337" xr:uid="{E4CC82B8-A538-436A-A200-29A136A4CB7F}"/>
    <cellStyle name="Normal 4 3 3 5 4" xfId="4068" xr:uid="{C82F3CD0-AA02-44A4-B167-48BD9E50451D}"/>
    <cellStyle name="Normal 4 3 3 6" xfId="1179" xr:uid="{A85EDDD1-B54E-4F6A-82EE-6A616B71670F}"/>
    <cellStyle name="Normal 4 3 3 6 2" xfId="2900" xr:uid="{73437231-9DFD-47D9-92DE-7940B7BEC496}"/>
    <cellStyle name="Normal 4 3 3 6 2 2" xfId="3896" xr:uid="{BD420AAC-692B-4D51-8C58-2F6FA6800A5C}"/>
    <cellStyle name="Normal 4 3 3 6 2 2 2" xfId="4413" xr:uid="{B70BB5C4-5F7D-4B86-B18F-1755726F73D7}"/>
    <cellStyle name="Normal 4 3 3 6 2 3" xfId="4144" xr:uid="{2217CEAF-1D6F-494E-A41E-DE6E8B1CFD51}"/>
    <cellStyle name="Normal 4 3 3 6 3" xfId="3776" xr:uid="{BC5F8A01-1A35-46DD-83E7-D97CA3B9D0DA}"/>
    <cellStyle name="Normal 4 3 3 6 3 2" xfId="4285" xr:uid="{2BCC4A8A-FA54-48D1-957F-B028EF55FC30}"/>
    <cellStyle name="Normal 4 3 3 6 4" xfId="4016" xr:uid="{8B6C9BAA-62C1-4EB7-8F37-E3ACA6EC1E74}"/>
    <cellStyle name="Normal 4 3 3 7" xfId="1397" xr:uid="{C1F6933D-5ABC-4736-94AB-D9457292F7E7}"/>
    <cellStyle name="Normal 4 3 3 7 2" xfId="3118" xr:uid="{EDC4B607-EB96-493D-959C-5B2211926DE2}"/>
    <cellStyle name="Normal 4 3 3 7 2 2" xfId="4405" xr:uid="{ADAD33CB-2C79-464B-8713-104492A8A321}"/>
    <cellStyle name="Normal 4 3 3 7 3" xfId="4136" xr:uid="{4DCD305C-6010-4154-9D11-C92186E82F0D}"/>
    <cellStyle name="Normal 4 3 3 8" xfId="1616" xr:uid="{2224D9F4-E170-458B-9F5B-3C728AF17EEF}"/>
    <cellStyle name="Normal 4 3 3 8 2" xfId="3337" xr:uid="{83DF8DCD-D770-432A-A9F6-B285C9CCC03E}"/>
    <cellStyle name="Normal 4 3 3 9" xfId="1836" xr:uid="{7ED46169-12A6-4EB0-A26D-E5D4906AF017}"/>
    <cellStyle name="Normal 4 3 4" xfId="96" xr:uid="{11D6A57B-DC9D-45F1-AD42-57D3249ABE17}"/>
    <cellStyle name="Normal 4 3 4 2" xfId="342" xr:uid="{60E28549-2D98-4E7A-B990-0F8497C06FCC}"/>
    <cellStyle name="Normal 4 3 4 2 2" xfId="2041" xr:uid="{5CCEE36F-0A3D-4378-91A9-C5E9437E2AC7}"/>
    <cellStyle name="Normal 4 3 4 2 2 2" xfId="3674" xr:uid="{D2879666-CDAE-4480-B9A9-7F31CE07F09D}"/>
    <cellStyle name="Normal 4 3 4 2 2 2 2" xfId="3767" xr:uid="{AEC3F6EE-BCEE-421D-9246-ED05C8C76A64}"/>
    <cellStyle name="Normal 4 3 4 2 2 2 2 2" xfId="4007" xr:uid="{884C34D5-09D6-4333-8797-497362001CDE}"/>
    <cellStyle name="Normal 4 3 4 2 2 2 2 2 2" xfId="4545" xr:uid="{11D22E4D-7FFC-4DEC-9BCD-BE0314E544CE}"/>
    <cellStyle name="Normal 4 3 4 2 2 2 2 3" xfId="4276" xr:uid="{61741D73-4DC7-430F-9D1C-77994B1B60F1}"/>
    <cellStyle name="Normal 4 3 4 2 2 2 3" xfId="3887" xr:uid="{8BCDCA25-206E-4856-8DBE-B5A850EDA084}"/>
    <cellStyle name="Normal 4 3 4 2 2 2 3 2" xfId="4396" xr:uid="{7CE7082E-0F5D-4B29-BC4F-0B26C141D5F9}"/>
    <cellStyle name="Normal 4 3 4 2 2 2 4" xfId="4127" xr:uid="{F107668E-70CC-4907-B3EC-1866CC2428E2}"/>
    <cellStyle name="Normal 4 3 4 2 2 3" xfId="3720" xr:uid="{9326DFE5-F5D7-484E-B6EA-DFA1FC8903C0}"/>
    <cellStyle name="Normal 4 3 4 2 2 3 2" xfId="3939" xr:uid="{1211413E-647F-46C8-91AA-B916F06B9B73}"/>
    <cellStyle name="Normal 4 3 4 2 2 3 2 2" xfId="4473" xr:uid="{1072BC88-E665-4E39-9FBC-CA7FDCF626E7}"/>
    <cellStyle name="Normal 4 3 4 2 2 3 3" xfId="4204" xr:uid="{E456BE0F-70B7-44CF-8753-A8E6E73E91D6}"/>
    <cellStyle name="Normal 4 3 4 2 2 4" xfId="3819" xr:uid="{D584019F-90FD-403F-9570-B50B9E3D598F}"/>
    <cellStyle name="Normal 4 3 4 2 2 4 2" xfId="4328" xr:uid="{19EC64A5-2C05-4682-AC7B-609F177B322E}"/>
    <cellStyle name="Normal 4 3 4 2 2 5" xfId="4059" xr:uid="{32D6361A-73C4-4F05-A0BD-CCD2BBB28823}"/>
    <cellStyle name="Normal 4 3 4 2 3" xfId="3659" xr:uid="{34327631-89D8-425D-8C98-E2BD3D45376A}"/>
    <cellStyle name="Normal 4 3 4 2 3 2" xfId="3736" xr:uid="{D1470C4C-9586-45CC-81C9-B7C7939AB8F3}"/>
    <cellStyle name="Normal 4 3 4 2 3 2 2" xfId="3971" xr:uid="{A1810B5E-15DB-4135-A7C6-FB823DBDAAE5}"/>
    <cellStyle name="Normal 4 3 4 2 3 2 2 2" xfId="4509" xr:uid="{8105FE7A-A3F5-4840-B31E-4C86AF2F13C6}"/>
    <cellStyle name="Normal 4 3 4 2 3 2 3" xfId="4240" xr:uid="{15FFD1B0-FAC4-4C88-8622-1688D0CC6AF0}"/>
    <cellStyle name="Normal 4 3 4 2 3 3" xfId="3851" xr:uid="{2E2BE9AE-6F40-4A87-848C-BBB658981984}"/>
    <cellStyle name="Normal 4 3 4 2 3 3 2" xfId="4360" xr:uid="{03670993-6059-4A87-8C9F-E031F37BB946}"/>
    <cellStyle name="Normal 4 3 4 2 3 4" xfId="4091" xr:uid="{6321B7C9-2B80-44EC-989C-3C60138C2E42}"/>
    <cellStyle name="Normal 4 3 4 2 4" xfId="3689" xr:uid="{1ED76FD6-5C6B-442E-B4C8-0EE518BE226A}"/>
    <cellStyle name="Normal 4 3 4 2 4 2" xfId="3908" xr:uid="{813C6FC0-7461-4078-82FB-4F5F6B7BF914}"/>
    <cellStyle name="Normal 4 3 4 2 4 2 2" xfId="4437" xr:uid="{612F7055-2104-47F2-9837-B561A7271D1A}"/>
    <cellStyle name="Normal 4 3 4 2 4 3" xfId="4168" xr:uid="{EAAA9C3E-2454-4B8F-84E2-B58074B1CA46}"/>
    <cellStyle name="Normal 4 3 4 2 5" xfId="3788" xr:uid="{31798416-0A73-457F-B52B-C9B010E918C1}"/>
    <cellStyle name="Normal 4 3 4 2 5 2" xfId="4297" xr:uid="{E7F8E38F-50BB-409F-9176-DE26AE0666ED}"/>
    <cellStyle name="Normal 4 3 4 2 6" xfId="4028" xr:uid="{0A12A812-0C69-4ADE-B38F-40D230F375A9}"/>
    <cellStyle name="Normal 4 3 4 3" xfId="538" xr:uid="{EB7A92C6-5E09-4BF0-9068-A6A8DACF9D56}"/>
    <cellStyle name="Normal 4 3 4 3 2" xfId="2259" xr:uid="{6A7C989F-F75D-4A8A-862C-D69E04A67873}"/>
    <cellStyle name="Normal 4 3 4 3 2 2" xfId="3749" xr:uid="{D8868C05-0125-43E9-B0F9-568E8500A874}"/>
    <cellStyle name="Normal 4 3 4 3 2 2 2" xfId="3989" xr:uid="{7EA955AC-0E32-45E4-8CAF-8BF3087C7296}"/>
    <cellStyle name="Normal 4 3 4 3 2 2 2 2" xfId="4527" xr:uid="{F1D0EB08-F785-4030-B4F8-CFAED22A9F01}"/>
    <cellStyle name="Normal 4 3 4 3 2 2 3" xfId="4258" xr:uid="{F820136F-CB6D-48EA-A019-FA8102209B7C}"/>
    <cellStyle name="Normal 4 3 4 3 2 3" xfId="3869" xr:uid="{7B65B5ED-E6F7-4029-93AE-D7B53448F129}"/>
    <cellStyle name="Normal 4 3 4 3 2 3 2" xfId="4378" xr:uid="{C5EAAB3C-B03B-4A3A-B9AF-538F0B5FAD69}"/>
    <cellStyle name="Normal 4 3 4 3 2 4" xfId="4109" xr:uid="{18B62F02-D373-4229-89DB-E5A07FF53ADF}"/>
    <cellStyle name="Normal 4 3 4 3 3" xfId="3702" xr:uid="{54573906-63BD-49F0-94A6-3E06A5CF4C7E}"/>
    <cellStyle name="Normal 4 3 4 3 3 2" xfId="3921" xr:uid="{AFEEFB30-ABA1-43BC-A4A7-B904CD69615B}"/>
    <cellStyle name="Normal 4 3 4 3 3 2 2" xfId="4455" xr:uid="{A836FD7E-E6A8-4C70-B753-03E248D46EEF}"/>
    <cellStyle name="Normal 4 3 4 3 3 3" xfId="4186" xr:uid="{D9D3D239-8E79-46AC-94CE-E0D4954B34B1}"/>
    <cellStyle name="Normal 4 3 4 3 4" xfId="3801" xr:uid="{9B3CDF40-4642-45E2-8FCC-CA98AA6548E4}"/>
    <cellStyle name="Normal 4 3 4 3 4 2" xfId="4310" xr:uid="{6ADB60E5-6D64-49F5-AD7F-EDD9363F6845}"/>
    <cellStyle name="Normal 4 3 4 3 5" xfId="4041" xr:uid="{70E3A72F-2DD9-4BEA-8A00-15B6A4A285D2}"/>
    <cellStyle name="Normal 4 3 4 4" xfId="756" xr:uid="{BCB22A22-8638-4977-8A76-485697FDBD43}"/>
    <cellStyle name="Normal 4 3 4 4 2" xfId="2477" xr:uid="{2FC41BA3-35EE-4BA8-B1CB-CAB4EAF9441F}"/>
    <cellStyle name="Normal 4 3 4 4 2 2" xfId="3953" xr:uid="{D97E1F34-9FFB-4339-B6A9-0D122BBAE045}"/>
    <cellStyle name="Normal 4 3 4 4 2 2 2" xfId="4491" xr:uid="{3330453B-F7A0-47C6-8273-F6895F7071D9}"/>
    <cellStyle name="Normal 4 3 4 4 2 3" xfId="4222" xr:uid="{88CF119B-543F-4C24-BC7D-80486EEB9BCF}"/>
    <cellStyle name="Normal 4 3 4 4 3" xfId="3833" xr:uid="{D8533164-8AB9-47F9-A075-C48DE9DD1869}"/>
    <cellStyle name="Normal 4 3 4 4 3 2" xfId="4342" xr:uid="{653618E0-DF8C-4973-BF33-AFC1507CD418}"/>
    <cellStyle name="Normal 4 3 4 4 4" xfId="4073" xr:uid="{FA417461-45A0-4C88-B245-88EE4EA01394}"/>
    <cellStyle name="Normal 4 3 4 5" xfId="974" xr:uid="{95CF6EB0-C777-400F-9ED5-04D0E99FCA19}"/>
    <cellStyle name="Normal 4 3 4 5 2" xfId="2695" xr:uid="{996DB319-A336-4F69-8477-C634E0E58AFD}"/>
    <cellStyle name="Normal 4 3 4 5 2 2" xfId="4419" xr:uid="{4AA5E437-FEB5-4CF2-A142-D577667D1C33}"/>
    <cellStyle name="Normal 4 3 4 5 3" xfId="4150" xr:uid="{0848A0E3-03E0-4167-8258-EA3510F4B03C}"/>
    <cellStyle name="Normal 4 3 4 6" xfId="1192" xr:uid="{FC7F343B-AF89-48A4-9456-61F466980A28}"/>
    <cellStyle name="Normal 4 3 4 6 2" xfId="2913" xr:uid="{8D7DC744-CCCC-450A-88E2-34DF3750C998}"/>
    <cellStyle name="Normal 4 3 4 7" xfId="1410" xr:uid="{48FD7272-9185-4A6A-B546-164A8583E8FC}"/>
    <cellStyle name="Normal 4 3 4 7 2" xfId="3131" xr:uid="{6BDF94DF-D193-459F-A0A4-D5388DC1BCCE}"/>
    <cellStyle name="Normal 4 3 4 8" xfId="1629" xr:uid="{B1F3171C-0E4F-43E8-952C-9A66DDAC2F4D}"/>
    <cellStyle name="Normal 4 3 4 8 2" xfId="3350" xr:uid="{1D54E27A-B932-4F24-9514-C55AE422A497}"/>
    <cellStyle name="Normal 4 3 4 9" xfId="1849" xr:uid="{C873B384-93E6-4232-8BF5-9F7A3FDF5E10}"/>
    <cellStyle name="Normal 4 3 5" xfId="109" xr:uid="{22BEDD0B-A478-4D52-8BDF-56036CACC084}"/>
    <cellStyle name="Normal 4 3 5 2" xfId="355" xr:uid="{85E53437-37FB-444F-B419-F999BB513C02}"/>
    <cellStyle name="Normal 4 3 5 2 2" xfId="2054" xr:uid="{F269D390-A8DC-46E6-91ED-C77A0F5C2FBD}"/>
    <cellStyle name="Normal 4 3 5 2 2 2" xfId="3758" xr:uid="{A3E56A7D-9F10-426D-BCEC-E4D94646137E}"/>
    <cellStyle name="Normal 4 3 5 2 2 2 2" xfId="3998" xr:uid="{83FC339F-E7F5-4D24-982F-69763E090B5C}"/>
    <cellStyle name="Normal 4 3 5 2 2 2 2 2" xfId="4536" xr:uid="{72ABD90B-DE8F-492D-B5D5-4CA14757EF2C}"/>
    <cellStyle name="Normal 4 3 5 2 2 2 3" xfId="4267" xr:uid="{5B3B382F-18B6-4141-BDAD-3867F43E94B4}"/>
    <cellStyle name="Normal 4 3 5 2 2 3" xfId="3878" xr:uid="{A1FDF6A5-24E4-4026-9CFC-B611708AE4BF}"/>
    <cellStyle name="Normal 4 3 5 2 2 3 2" xfId="4387" xr:uid="{3486B8A5-37AB-4BCB-AFB9-C24528959774}"/>
    <cellStyle name="Normal 4 3 5 2 2 4" xfId="4118" xr:uid="{43B23107-B200-462D-B9AF-A60539B0539D}"/>
    <cellStyle name="Normal 4 3 5 2 3" xfId="3711" xr:uid="{4237972F-B3D3-4E11-AEAF-464B2E5F38FD}"/>
    <cellStyle name="Normal 4 3 5 2 3 2" xfId="3930" xr:uid="{E6CA777B-8C8B-4CDE-B4EB-73912EA59B7A}"/>
    <cellStyle name="Normal 4 3 5 2 3 2 2" xfId="4464" xr:uid="{DCE20A5B-47FF-4A56-9BC8-66B4ED0FA7BD}"/>
    <cellStyle name="Normal 4 3 5 2 3 3" xfId="4195" xr:uid="{D906ED3C-ED41-4DF2-965B-C198353A83AA}"/>
    <cellStyle name="Normal 4 3 5 2 4" xfId="3810" xr:uid="{5A256E70-0F44-4605-AF65-11A2694FB840}"/>
    <cellStyle name="Normal 4 3 5 2 4 2" xfId="4319" xr:uid="{3D1CC030-C723-46F4-AC30-2FCFC9EED1E4}"/>
    <cellStyle name="Normal 4 3 5 2 5" xfId="4050" xr:uid="{9C715716-EBAC-4950-BF2E-79FA82EAAFB8}"/>
    <cellStyle name="Normal 4 3 5 3" xfId="551" xr:uid="{702DAF53-F32A-43F1-8672-C4FDBB4C7ACA}"/>
    <cellStyle name="Normal 4 3 5 3 2" xfId="2272" xr:uid="{E9369456-DB5C-471E-A305-861172ADF0B7}"/>
    <cellStyle name="Normal 4 3 5 3 2 2" xfId="3962" xr:uid="{7797288A-C0F0-40BF-9A29-EEE6FD2B25BC}"/>
    <cellStyle name="Normal 4 3 5 3 2 2 2" xfId="4500" xr:uid="{8D242421-8495-4EC1-8485-3C166C3EE42D}"/>
    <cellStyle name="Normal 4 3 5 3 2 3" xfId="4231" xr:uid="{BC5B32CF-97C1-4354-8A49-B85DE597212E}"/>
    <cellStyle name="Normal 4 3 5 3 3" xfId="3842" xr:uid="{32070F99-EE37-4B6A-956E-3322BF305C07}"/>
    <cellStyle name="Normal 4 3 5 3 3 2" xfId="4351" xr:uid="{4B1CEACF-67B8-4F6F-B62F-54A9E887429C}"/>
    <cellStyle name="Normal 4 3 5 3 4" xfId="4082" xr:uid="{753AC056-32F7-4913-A0D5-3617CB1A5794}"/>
    <cellStyle name="Normal 4 3 5 4" xfId="769" xr:uid="{34D6E073-BB7A-46F2-ADF9-0EE2F6CC0A69}"/>
    <cellStyle name="Normal 4 3 5 4 2" xfId="2490" xr:uid="{AAC1C9E2-4951-436D-B224-45DA51FA608D}"/>
    <cellStyle name="Normal 4 3 5 4 2 2" xfId="4428" xr:uid="{79CFA698-C753-4224-B536-1D905F9FFF85}"/>
    <cellStyle name="Normal 4 3 5 4 3" xfId="4159" xr:uid="{DD48D9A4-2E8A-4FF5-AE0E-24FE5CF09BF8}"/>
    <cellStyle name="Normal 4 3 5 5" xfId="987" xr:uid="{B7837FD4-03EA-436F-B904-14A59102028E}"/>
    <cellStyle name="Normal 4 3 5 5 2" xfId="2708" xr:uid="{DEE6B084-1E21-474A-B890-07D658879CF0}"/>
    <cellStyle name="Normal 4 3 5 6" xfId="1205" xr:uid="{283C401A-7F6D-470A-B3DB-B5310B079169}"/>
    <cellStyle name="Normal 4 3 5 6 2" xfId="2926" xr:uid="{CFBED835-3692-449B-B8E5-22ABBBFB253F}"/>
    <cellStyle name="Normal 4 3 5 7" xfId="1423" xr:uid="{84893C56-A1C8-4DC8-B561-77D5E0415ECC}"/>
    <cellStyle name="Normal 4 3 5 7 2" xfId="3144" xr:uid="{FC17252B-7EEA-4A62-A016-299F910096E8}"/>
    <cellStyle name="Normal 4 3 5 8" xfId="1642" xr:uid="{3D20B0A9-CBE8-4809-95E7-B7C944C19064}"/>
    <cellStyle name="Normal 4 3 5 8 2" xfId="3363" xr:uid="{1974AD48-A5C8-4F8E-A02C-AB0FDC48E455}"/>
    <cellStyle name="Normal 4 3 5 9" xfId="1862" xr:uid="{EFDE22C0-19E1-41EF-BD2B-22851F8D0C8F}"/>
    <cellStyle name="Normal 4 3 6" xfId="122" xr:uid="{39320A18-6928-456A-B17D-5DBE39E531D6}"/>
    <cellStyle name="Normal 4 3 6 2" xfId="368" xr:uid="{2086B8A1-7BB1-4FC9-A06F-C49896C22518}"/>
    <cellStyle name="Normal 4 3 6 2 2" xfId="2067" xr:uid="{5EB15996-1653-4142-AB31-A627757A3A4F}"/>
    <cellStyle name="Normal 4 3 6 2 2 2" xfId="3980" xr:uid="{34224D75-B742-4884-B52F-C3D43DF95A7B}"/>
    <cellStyle name="Normal 4 3 6 2 2 2 2" xfId="4518" xr:uid="{950A804A-20DB-482A-BCE0-8CAD76643B3E}"/>
    <cellStyle name="Normal 4 3 6 2 2 3" xfId="4249" xr:uid="{B6294989-6AC1-4B00-B706-5E9B49B1C7CE}"/>
    <cellStyle name="Normal 4 3 6 2 3" xfId="3860" xr:uid="{69762927-362D-4E9A-92C6-150F71666A85}"/>
    <cellStyle name="Normal 4 3 6 2 3 2" xfId="4369" xr:uid="{405A45B4-B76F-4AA7-89D3-4EE8613CD456}"/>
    <cellStyle name="Normal 4 3 6 2 4" xfId="4100" xr:uid="{06CB7485-12A8-48DB-AB2F-87AFD67A5AB7}"/>
    <cellStyle name="Normal 4 3 6 3" xfId="564" xr:uid="{86B4CC8B-E6C9-4104-A834-7A9A4A97B6EF}"/>
    <cellStyle name="Normal 4 3 6 3 2" xfId="2285" xr:uid="{3AF860B9-C95D-4718-983A-59B25DA13380}"/>
    <cellStyle name="Normal 4 3 6 3 2 2" xfId="4446" xr:uid="{00CF41FF-F19C-4EB6-B1BA-305AF2AE6641}"/>
    <cellStyle name="Normal 4 3 6 3 3" xfId="4177" xr:uid="{9E8FDA8A-2E12-468D-94AD-782936DA7CC7}"/>
    <cellStyle name="Normal 4 3 6 4" xfId="782" xr:uid="{FDFE80B2-F308-4ED5-B92E-90EF0B3CB9A1}"/>
    <cellStyle name="Normal 4 3 6 4 2" xfId="2503" xr:uid="{BF322047-BDAB-45D8-8772-82F56413E0DD}"/>
    <cellStyle name="Normal 4 3 6 5" xfId="1000" xr:uid="{A983CD58-5E2A-4A2F-B23E-39B467CB385A}"/>
    <cellStyle name="Normal 4 3 6 5 2" xfId="2721" xr:uid="{B2054552-86C1-4902-AFFC-DC242768CD5D}"/>
    <cellStyle name="Normal 4 3 6 6" xfId="1218" xr:uid="{9BE23C36-E3B6-48CF-A3E0-10A608EB94A9}"/>
    <cellStyle name="Normal 4 3 6 6 2" xfId="2939" xr:uid="{F6EBE857-1B2D-46A5-94DB-D167384CDD35}"/>
    <cellStyle name="Normal 4 3 6 7" xfId="1436" xr:uid="{417D4ACB-41D9-49A5-9461-7627FC2E1F3D}"/>
    <cellStyle name="Normal 4 3 6 7 2" xfId="3157" xr:uid="{95DA3AE3-CD8A-4396-9339-AE258B4B5E49}"/>
    <cellStyle name="Normal 4 3 6 8" xfId="1655" xr:uid="{ACAEB87D-8E67-4D16-8DB9-509B8DA1419E}"/>
    <cellStyle name="Normal 4 3 6 8 2" xfId="3376" xr:uid="{9A072833-F028-4010-9908-AC18E226E30D}"/>
    <cellStyle name="Normal 4 3 6 9" xfId="1875" xr:uid="{B619D6C9-0816-4DA3-9417-44A14041E9CE}"/>
    <cellStyle name="Normal 4 3 7" xfId="135" xr:uid="{D1BF936D-9E14-4BC3-8296-AB52CBD4CB03}"/>
    <cellStyle name="Normal 4 3 7 2" xfId="381" xr:uid="{F17DE65A-B532-4824-B6E9-F399996BC5AE}"/>
    <cellStyle name="Normal 4 3 7 2 2" xfId="2080" xr:uid="{01AC9AB2-24B6-4519-94DB-073A2A6B165B}"/>
    <cellStyle name="Normal 4 3 7 2 2 2" xfId="4482" xr:uid="{DBB9694A-AD84-4E0C-B529-E67ACDC74A1E}"/>
    <cellStyle name="Normal 4 3 7 2 3" xfId="4213" xr:uid="{EBFF5076-B02B-4B3D-BC7A-132CFA307CBE}"/>
    <cellStyle name="Normal 4 3 7 3" xfId="577" xr:uid="{AB76CA7A-391B-4D93-A979-07A24A0975D3}"/>
    <cellStyle name="Normal 4 3 7 3 2" xfId="2298" xr:uid="{120E5C9E-601E-4477-AFFD-92942F0FC12C}"/>
    <cellStyle name="Normal 4 3 7 4" xfId="795" xr:uid="{2A7B77E2-1837-406A-9079-F7A2C51046C6}"/>
    <cellStyle name="Normal 4 3 7 4 2" xfId="2516" xr:uid="{C330C1A5-A749-45DD-98CE-951803FD655E}"/>
    <cellStyle name="Normal 4 3 7 5" xfId="1013" xr:uid="{9359866D-B2E8-4CA9-992C-5BC5C0BBA7FA}"/>
    <cellStyle name="Normal 4 3 7 5 2" xfId="2734" xr:uid="{345489FF-F5E0-4991-9708-2EC0975C637E}"/>
    <cellStyle name="Normal 4 3 7 6" xfId="1231" xr:uid="{B27DB5EB-C574-49D6-8295-F02FA4F98AFD}"/>
    <cellStyle name="Normal 4 3 7 6 2" xfId="2952" xr:uid="{F686298B-5FF3-4973-9A82-2BC0A889DBD9}"/>
    <cellStyle name="Normal 4 3 7 7" xfId="1449" xr:uid="{8B86BB87-06E3-4CEE-A546-D2BA9061EA96}"/>
    <cellStyle name="Normal 4 3 7 7 2" xfId="3170" xr:uid="{1997C53E-80E6-4605-BA53-9562AE5CC8D4}"/>
    <cellStyle name="Normal 4 3 7 8" xfId="1668" xr:uid="{EEF44835-D702-4E16-B5D1-FB0FCCB2B092}"/>
    <cellStyle name="Normal 4 3 7 8 2" xfId="3389" xr:uid="{BB460C0D-5FFC-4DB9-AADD-9FED13308234}"/>
    <cellStyle name="Normal 4 3 7 9" xfId="1888" xr:uid="{64EA09B0-061A-4D32-A052-FCA7AFFFBB18}"/>
    <cellStyle name="Normal 4 3 8" xfId="148" xr:uid="{7871605A-74B6-45AE-9CB4-4AD0EDD6B365}"/>
    <cellStyle name="Normal 4 3 8 2" xfId="394" xr:uid="{BDBE9CB2-6225-4FB9-968E-ED9A928FA8AD}"/>
    <cellStyle name="Normal 4 3 8 2 2" xfId="2093" xr:uid="{2C747F7C-7376-41C2-953E-9600E082B2CB}"/>
    <cellStyle name="Normal 4 3 8 2 2 2" xfId="4410" xr:uid="{DBD5C9E1-819C-4683-B03B-947618C8517C}"/>
    <cellStyle name="Normal 4 3 8 2 3" xfId="4141" xr:uid="{8BFD8FD9-4A22-4CC4-8BA5-35FC3A17C6FB}"/>
    <cellStyle name="Normal 4 3 8 3" xfId="590" xr:uid="{3DEAA04D-EE6A-43BA-B427-4C88CAAE3651}"/>
    <cellStyle name="Normal 4 3 8 3 2" xfId="2311" xr:uid="{B41CEFAE-881B-41A5-B8BE-F194A07F7E91}"/>
    <cellStyle name="Normal 4 3 8 4" xfId="808" xr:uid="{66B4860E-FB25-4ADB-8A76-9DB2252989E4}"/>
    <cellStyle name="Normal 4 3 8 4 2" xfId="2529" xr:uid="{8A4A8DBD-58AB-48E3-8D04-0483A3FE1210}"/>
    <cellStyle name="Normal 4 3 8 5" xfId="1026" xr:uid="{83B3502D-0BB4-4E28-A89D-0C59F4382E48}"/>
    <cellStyle name="Normal 4 3 8 5 2" xfId="2747" xr:uid="{03013443-8266-4E14-BF04-792145A2C6F1}"/>
    <cellStyle name="Normal 4 3 8 6" xfId="1244" xr:uid="{7E4C13C3-EC04-4F4F-A402-553C0A369A4E}"/>
    <cellStyle name="Normal 4 3 8 6 2" xfId="2965" xr:uid="{BE4B1AC4-A65C-4CE0-8849-B6D2F4685C30}"/>
    <cellStyle name="Normal 4 3 8 7" xfId="1462" xr:uid="{0250F09F-09FA-4036-A67C-AA3CCA4C757F}"/>
    <cellStyle name="Normal 4 3 8 7 2" xfId="3183" xr:uid="{E0D6D719-BC46-416E-AE5E-680D13D5EC5D}"/>
    <cellStyle name="Normal 4 3 8 8" xfId="1681" xr:uid="{912F1B2C-C129-4EFD-A814-D4FAAEB29E51}"/>
    <cellStyle name="Normal 4 3 8 8 2" xfId="3402" xr:uid="{CE1DE506-2DF7-4E47-9A52-5942CD5F4B2C}"/>
    <cellStyle name="Normal 4 3 8 9" xfId="1901" xr:uid="{C96CBCFA-BDC7-43D7-B357-73BF598B7D9F}"/>
    <cellStyle name="Normal 4 3 9" xfId="161" xr:uid="{549396CE-9964-40C1-87AD-312E6BBC3FC4}"/>
    <cellStyle name="Normal 4 3 9 2" xfId="407" xr:uid="{C358663E-3217-4673-963B-0A5E89596B58}"/>
    <cellStyle name="Normal 4 3 9 2 2" xfId="2106" xr:uid="{7761A5C4-4C4C-47BF-AB7F-498C4A857AAF}"/>
    <cellStyle name="Normal 4 3 9 3" xfId="603" xr:uid="{498F6BEA-52E2-424B-BDEE-A5A12EA53EF7}"/>
    <cellStyle name="Normal 4 3 9 3 2" xfId="2324" xr:uid="{3C5BC497-432F-4049-A04E-ABE358AB2930}"/>
    <cellStyle name="Normal 4 3 9 4" xfId="821" xr:uid="{5BAD67F4-D554-4FCA-B3CD-96D1DB9F0DD3}"/>
    <cellStyle name="Normal 4 3 9 4 2" xfId="2542" xr:uid="{3BF82881-0561-4FDD-BBBB-D883BB5C48A2}"/>
    <cellStyle name="Normal 4 3 9 5" xfId="1039" xr:uid="{09F37413-113E-4DEC-AD7B-A36B662CFD4C}"/>
    <cellStyle name="Normal 4 3 9 5 2" xfId="2760" xr:uid="{93AD2B1A-FBEA-4F55-9065-9BBD7F9D4FCB}"/>
    <cellStyle name="Normal 4 3 9 6" xfId="1257" xr:uid="{9EF0F7D2-1005-4D93-A9F0-87CCC68C4BB1}"/>
    <cellStyle name="Normal 4 3 9 6 2" xfId="2978" xr:uid="{915FAB84-EFE9-4CD2-B832-43D4B9D2B38C}"/>
    <cellStyle name="Normal 4 3 9 7" xfId="1475" xr:uid="{6EA5CEB3-58BF-4587-8EF5-695B9862C4E2}"/>
    <cellStyle name="Normal 4 3 9 7 2" xfId="3196" xr:uid="{45FB0D61-0B66-47F3-954D-2E7B7EB0A61A}"/>
    <cellStyle name="Normal 4 3 9 8" xfId="1694" xr:uid="{8905DDBF-B5BC-4E56-A54C-8E6F044DCCDE}"/>
    <cellStyle name="Normal 4 3 9 8 2" xfId="3415" xr:uid="{AD7017D8-F45E-4B66-8FCC-02CABD0B4A56}"/>
    <cellStyle name="Normal 4 3 9 9" xfId="1914" xr:uid="{8EF198A7-D715-4B93-945D-8F7FE7146A5E}"/>
    <cellStyle name="Normal 4 4" xfId="64" xr:uid="{2CFFFD6C-A94C-44FE-B0BF-483FE73D5372}"/>
    <cellStyle name="Normal 4 4 10" xfId="1817" xr:uid="{692EE5E1-AB1F-4015-826F-551425537480}"/>
    <cellStyle name="Normal 4 4 2" xfId="212" xr:uid="{2040C70B-52F3-430D-BD21-C547D22B0FEC}"/>
    <cellStyle name="Normal 4 4 2 2" xfId="456" xr:uid="{A6F36303-1102-4742-8F56-77C018888465}"/>
    <cellStyle name="Normal 4 4 2 2 2" xfId="2155" xr:uid="{3F898010-1D5E-496E-B3D4-75CC2EEACC3D}"/>
    <cellStyle name="Normal 4 4 2 2 2 2" xfId="3678" xr:uid="{5F04D791-4B25-4D60-8245-8EEA0C1746FC}"/>
    <cellStyle name="Normal 4 4 2 2 2 2 2" xfId="3771" xr:uid="{C1B445F2-8942-412A-9257-1E75EF4D28A3}"/>
    <cellStyle name="Normal 4 4 2 2 2 2 2 2" xfId="4011" xr:uid="{F6484F41-D736-42C3-AB77-272CAC5D39B5}"/>
    <cellStyle name="Normal 4 4 2 2 2 2 2 2 2" xfId="4549" xr:uid="{60226977-516C-4468-91A8-7BF73A02F2E6}"/>
    <cellStyle name="Normal 4 4 2 2 2 2 2 3" xfId="4280" xr:uid="{0D946CCD-C01E-439A-B469-8E0081AF770D}"/>
    <cellStyle name="Normal 4 4 2 2 2 2 3" xfId="3891" xr:uid="{9269FE39-B1F0-4DB1-BC51-30973F623549}"/>
    <cellStyle name="Normal 4 4 2 2 2 2 3 2" xfId="4400" xr:uid="{3372FB27-5F56-4F55-B08B-07EB3F100ADF}"/>
    <cellStyle name="Normal 4 4 2 2 2 2 4" xfId="4131" xr:uid="{A2BAB37C-B0FE-41CE-9CAE-34675D169D6F}"/>
    <cellStyle name="Normal 4 4 2 2 2 3" xfId="3724" xr:uid="{A0944F5C-AEA8-4CED-B9D6-8DC2BD096AE4}"/>
    <cellStyle name="Normal 4 4 2 2 2 3 2" xfId="3943" xr:uid="{486CC6B7-B294-40A9-BB14-87ED3566B9F6}"/>
    <cellStyle name="Normal 4 4 2 2 2 3 2 2" xfId="4477" xr:uid="{108EB48C-C79B-44C8-9C5A-8C664A23A5B1}"/>
    <cellStyle name="Normal 4 4 2 2 2 3 3" xfId="4208" xr:uid="{4B3EF9A9-C7E6-4CFD-809A-7E9A42099470}"/>
    <cellStyle name="Normal 4 4 2 2 2 4" xfId="3823" xr:uid="{FA0BDBF9-0C95-4AE1-A4C3-2E6902BE0429}"/>
    <cellStyle name="Normal 4 4 2 2 2 4 2" xfId="4332" xr:uid="{A85C08B9-579F-420D-B692-62E714861107}"/>
    <cellStyle name="Normal 4 4 2 2 2 5" xfId="4063" xr:uid="{7AD3B335-C921-45B5-B55F-857C67D9D7F7}"/>
    <cellStyle name="Normal 4 4 2 2 3" xfId="3663" xr:uid="{68F44B69-3B4A-4882-9C0F-187F2A863ED9}"/>
    <cellStyle name="Normal 4 4 2 2 3 2" xfId="3740" xr:uid="{1E4DE533-D0B3-42D7-808F-88E436A778A2}"/>
    <cellStyle name="Normal 4 4 2 2 3 2 2" xfId="3975" xr:uid="{E75B3289-E233-4986-8F23-577659F8B039}"/>
    <cellStyle name="Normal 4 4 2 2 3 2 2 2" xfId="4513" xr:uid="{98B87BF6-D378-400F-B5D9-475030A2C535}"/>
    <cellStyle name="Normal 4 4 2 2 3 2 3" xfId="4244" xr:uid="{9165D530-524B-4E3E-B141-4DB0FC0B1669}"/>
    <cellStyle name="Normal 4 4 2 2 3 3" xfId="3855" xr:uid="{CE081EF9-AED4-470D-9F62-300CC85CC00E}"/>
    <cellStyle name="Normal 4 4 2 2 3 3 2" xfId="4364" xr:uid="{6639C238-15A8-4A57-AE6E-6EBEC0318FD2}"/>
    <cellStyle name="Normal 4 4 2 2 3 4" xfId="4095" xr:uid="{84B420E2-988F-4034-9828-5AFE057E1C25}"/>
    <cellStyle name="Normal 4 4 2 2 4" xfId="3693" xr:uid="{E31509CB-C920-4E93-9D3B-E69AE2CA2281}"/>
    <cellStyle name="Normal 4 4 2 2 4 2" xfId="3912" xr:uid="{7CC36970-3324-4537-BAA9-E44BCDF55A45}"/>
    <cellStyle name="Normal 4 4 2 2 4 2 2" xfId="4441" xr:uid="{1D7F4B0D-EC85-4A40-91A1-D164D7D63A70}"/>
    <cellStyle name="Normal 4 4 2 2 4 3" xfId="4172" xr:uid="{199414A1-9BFA-49C8-9807-E638A3064222}"/>
    <cellStyle name="Normal 4 4 2 2 5" xfId="3792" xr:uid="{32FD368E-8E65-477A-84DA-9EE23F28DAA0}"/>
    <cellStyle name="Normal 4 4 2 2 5 2" xfId="4301" xr:uid="{14D7276E-AB93-4966-8B67-4E34F06DD1DC}"/>
    <cellStyle name="Normal 4 4 2 2 6" xfId="4032" xr:uid="{1042E5DB-2C5E-4EF0-A1D9-E2B398B8882C}"/>
    <cellStyle name="Normal 4 4 2 3" xfId="652" xr:uid="{8D8340EC-F550-4735-A943-45F8ABBB044A}"/>
    <cellStyle name="Normal 4 4 2 3 2" xfId="2373" xr:uid="{5D602545-3A42-4D88-A137-237BD57FCAEF}"/>
    <cellStyle name="Normal 4 4 2 3 2 2" xfId="3753" xr:uid="{0C58A9C1-5667-4884-9976-CF5D9AF31432}"/>
    <cellStyle name="Normal 4 4 2 3 2 2 2" xfId="3993" xr:uid="{A2FB4612-1CC5-433B-870D-AAA9DA6BEF09}"/>
    <cellStyle name="Normal 4 4 2 3 2 2 2 2" xfId="4531" xr:uid="{D2C1A305-CB51-428E-BFDB-B1423F51B0E6}"/>
    <cellStyle name="Normal 4 4 2 3 2 2 3" xfId="4262" xr:uid="{ACB3C6FF-37F1-48AA-8BC1-B66CE513F97D}"/>
    <cellStyle name="Normal 4 4 2 3 2 3" xfId="3873" xr:uid="{1E10F412-03C9-4AA5-86CD-21F0FFD9F4F3}"/>
    <cellStyle name="Normal 4 4 2 3 2 3 2" xfId="4382" xr:uid="{CDB8650C-A518-4EB7-ABF7-CD090834E754}"/>
    <cellStyle name="Normal 4 4 2 3 2 4" xfId="4113" xr:uid="{0DD448C2-B6AB-4F55-8785-DCB335F0C64C}"/>
    <cellStyle name="Normal 4 4 2 3 3" xfId="3706" xr:uid="{FED954B9-3362-4677-B33E-1B2A7648EF1D}"/>
    <cellStyle name="Normal 4 4 2 3 3 2" xfId="3925" xr:uid="{AA874023-7845-4AD7-88B7-20F5B099A3C0}"/>
    <cellStyle name="Normal 4 4 2 3 3 2 2" xfId="4459" xr:uid="{4C51197B-4B93-48C5-8A61-E89264A570EF}"/>
    <cellStyle name="Normal 4 4 2 3 3 3" xfId="4190" xr:uid="{D9EF380E-427D-4747-B956-A16D800499CA}"/>
    <cellStyle name="Normal 4 4 2 3 4" xfId="3805" xr:uid="{625CABB4-00A3-4C33-B837-482684F45E26}"/>
    <cellStyle name="Normal 4 4 2 3 4 2" xfId="4314" xr:uid="{3B1963CE-1EE0-4554-B916-402F5BFA6967}"/>
    <cellStyle name="Normal 4 4 2 3 5" xfId="4045" xr:uid="{F35C4A18-80D5-4B73-BE58-B3090C5FC8B1}"/>
    <cellStyle name="Normal 4 4 2 4" xfId="870" xr:uid="{102FB782-F505-44E7-A749-54C1E06DA987}"/>
    <cellStyle name="Normal 4 4 2 4 2" xfId="2591" xr:uid="{9EE01015-14C8-4505-8E5D-BB60FCB33A3F}"/>
    <cellStyle name="Normal 4 4 2 4 2 2" xfId="3957" xr:uid="{A63FC14B-E729-43B9-9EDD-D587C8A25E85}"/>
    <cellStyle name="Normal 4 4 2 4 2 2 2" xfId="4495" xr:uid="{294DBD83-C151-49F7-8C20-8D1B7E71E74D}"/>
    <cellStyle name="Normal 4 4 2 4 2 3" xfId="4226" xr:uid="{2431106C-02EE-4202-8886-84A8F1622D6C}"/>
    <cellStyle name="Normal 4 4 2 4 3" xfId="3837" xr:uid="{A8ED8092-6ACD-4281-BCC2-8D2B74E9C139}"/>
    <cellStyle name="Normal 4 4 2 4 3 2" xfId="4346" xr:uid="{E43FA2FC-8C14-461A-B9C8-756A13EE7D74}"/>
    <cellStyle name="Normal 4 4 2 4 4" xfId="4077" xr:uid="{D0FAFF72-9DDC-48C0-AC7E-4090B5A20153}"/>
    <cellStyle name="Normal 4 4 2 5" xfId="1088" xr:uid="{DD7DFCCD-8D04-4A16-9556-8562E8F2A7D9}"/>
    <cellStyle name="Normal 4 4 2 5 2" xfId="2809" xr:uid="{B7FA3C16-9623-4818-A1F9-9C5DEF971079}"/>
    <cellStyle name="Normal 4 4 2 5 2 2" xfId="4423" xr:uid="{4CA38EB7-EC5F-4B54-990F-4E1FA0904A09}"/>
    <cellStyle name="Normal 4 4 2 5 3" xfId="4154" xr:uid="{918196D8-3F9F-4538-91A3-36BC9896030D}"/>
    <cellStyle name="Normal 4 4 2 6" xfId="1306" xr:uid="{FD04863D-0B9A-42BE-9E70-0DEF737F7C28}"/>
    <cellStyle name="Normal 4 4 2 6 2" xfId="3027" xr:uid="{7A0B301E-3436-47B1-82DA-F87AA07B65AC}"/>
    <cellStyle name="Normal 4 4 2 7" xfId="1524" xr:uid="{4B62C4F2-ADF0-4450-B537-91E51D351440}"/>
    <cellStyle name="Normal 4 4 2 7 2" xfId="3245" xr:uid="{044F0434-41D9-458F-94F1-2C87C208CE62}"/>
    <cellStyle name="Normal 4 4 2 8" xfId="1743" xr:uid="{B30F2B2E-29C2-4F57-B63D-FDE8C7959C4A}"/>
    <cellStyle name="Normal 4 4 2 8 2" xfId="3464" xr:uid="{00592FE9-0625-4ADD-AD01-E11EC04F807A}"/>
    <cellStyle name="Normal 4 4 2 9" xfId="1963" xr:uid="{89F54C38-0022-4EC3-A9AD-83C9A5B7CACE}"/>
    <cellStyle name="Normal 4 4 3" xfId="310" xr:uid="{B18343C5-F37D-4605-8A81-38B55DA22E00}"/>
    <cellStyle name="Normal 4 4 3 2" xfId="2009" xr:uid="{50F1A686-B470-4CA0-ABE3-50E17F1CE821}"/>
    <cellStyle name="Normal 4 4 3 2 2" xfId="3670" xr:uid="{1B7C5F01-ACCC-4CBC-B65E-3EC68669F276}"/>
    <cellStyle name="Normal 4 4 3 2 2 2" xfId="3762" xr:uid="{3F1609B8-C9AF-4B2E-9B45-EB1172FA4498}"/>
    <cellStyle name="Normal 4 4 3 2 2 2 2" xfId="4002" xr:uid="{3E28DAF2-A369-4A73-B533-099BB9DED97F}"/>
    <cellStyle name="Normal 4 4 3 2 2 2 2 2" xfId="4540" xr:uid="{119B14B3-410D-4D24-B3E7-CEBEDC3333A6}"/>
    <cellStyle name="Normal 4 4 3 2 2 2 3" xfId="4271" xr:uid="{A800379C-F3D2-4F6D-8916-0B545E37BDD6}"/>
    <cellStyle name="Normal 4 4 3 2 2 3" xfId="3882" xr:uid="{6151279D-2BF1-4BAB-8802-DB7B9B4FCB32}"/>
    <cellStyle name="Normal 4 4 3 2 2 3 2" xfId="4391" xr:uid="{1519E9E3-A9F8-42E6-B227-AE40A4BF5E74}"/>
    <cellStyle name="Normal 4 4 3 2 2 4" xfId="4122" xr:uid="{4D784029-C391-4751-8AAA-468F3F403F6B}"/>
    <cellStyle name="Normal 4 4 3 2 3" xfId="3715" xr:uid="{A08E3356-D277-4390-8F0B-F0CC48AE26DE}"/>
    <cellStyle name="Normal 4 4 3 2 3 2" xfId="3934" xr:uid="{4D2EEF19-91D8-4EB1-AF4B-B795AC7B602A}"/>
    <cellStyle name="Normal 4 4 3 2 3 2 2" xfId="4468" xr:uid="{B23B0306-4B6A-495B-8F1A-511408B1B8B4}"/>
    <cellStyle name="Normal 4 4 3 2 3 3" xfId="4199" xr:uid="{6CB9EEA2-8567-4509-8CC5-731975CCE575}"/>
    <cellStyle name="Normal 4 4 3 2 4" xfId="3814" xr:uid="{CFE63D94-1D26-4E94-88FD-9929D59EFCF3}"/>
    <cellStyle name="Normal 4 4 3 2 4 2" xfId="4323" xr:uid="{9B95E843-8BBA-4835-A94F-3360C83D4E74}"/>
    <cellStyle name="Normal 4 4 3 2 5" xfId="4054" xr:uid="{6C984737-0D37-40A8-AB4B-FD28811FE0BC}"/>
    <cellStyle name="Normal 4 4 3 3" xfId="3655" xr:uid="{6EBE3FE5-78CB-4472-9117-1E740152B54E}"/>
    <cellStyle name="Normal 4 4 3 3 2" xfId="3732" xr:uid="{198D9A8B-A7CC-4C8A-8E39-F84F3DDBD125}"/>
    <cellStyle name="Normal 4 4 3 3 2 2" xfId="3966" xr:uid="{B838D6C7-D8B2-41D7-9DF2-4945D4A7103F}"/>
    <cellStyle name="Normal 4 4 3 3 2 2 2" xfId="4504" xr:uid="{09CDA9CA-FE7E-48C3-A3C7-064038C93882}"/>
    <cellStyle name="Normal 4 4 3 3 2 3" xfId="4235" xr:uid="{DAF83606-C0F5-4C11-89B2-B3E0FE1DE7C8}"/>
    <cellStyle name="Normal 4 4 3 3 3" xfId="3846" xr:uid="{0AE12056-7D51-4976-8082-D6A0C2AE2555}"/>
    <cellStyle name="Normal 4 4 3 3 3 2" xfId="4355" xr:uid="{91C7B66E-3F44-4750-9D33-DF62021FF0DF}"/>
    <cellStyle name="Normal 4 4 3 3 4" xfId="4086" xr:uid="{2BD6060B-A1F9-4D14-8AEE-CB775F018413}"/>
    <cellStyle name="Normal 4 4 3 4" xfId="3685" xr:uid="{2AABD8EA-7217-40F0-B044-65A6027F1045}"/>
    <cellStyle name="Normal 4 4 3 4 2" xfId="3904" xr:uid="{5C4F3739-DC8C-4F72-A864-590297240EBA}"/>
    <cellStyle name="Normal 4 4 3 4 2 2" xfId="4432" xr:uid="{BFFE3366-F775-4F4C-9BFC-E32A1016A6E3}"/>
    <cellStyle name="Normal 4 4 3 4 3" xfId="4163" xr:uid="{89348F99-52C0-4510-8A62-F0E7F44E2199}"/>
    <cellStyle name="Normal 4 4 3 5" xfId="3784" xr:uid="{7F1BF4C0-C5F6-42F0-A87C-629A2CEF9A45}"/>
    <cellStyle name="Normal 4 4 3 5 2" xfId="4293" xr:uid="{0DD79F4B-FDBB-4CC5-A941-5BEADC99EA46}"/>
    <cellStyle name="Normal 4 4 3 6" xfId="4024" xr:uid="{BB80D873-8CB7-4573-AA34-0C1F842A137E}"/>
    <cellStyle name="Normal 4 4 4" xfId="506" xr:uid="{F048CAC9-DE0D-4B86-BEBD-286C0CE54B20}"/>
    <cellStyle name="Normal 4 4 4 2" xfId="2227" xr:uid="{9AB70AE1-B573-4EC5-B695-AAC7864911EF}"/>
    <cellStyle name="Normal 4 4 4 2 2" xfId="3745" xr:uid="{6A5615DB-EE02-45A6-BF5C-5A773C562616}"/>
    <cellStyle name="Normal 4 4 4 2 2 2" xfId="3984" xr:uid="{6B96B018-9408-40C7-A49A-08179E901BE1}"/>
    <cellStyle name="Normal 4 4 4 2 2 2 2" xfId="4522" xr:uid="{ECA60FF3-BFF6-4A5A-8220-FD953B8C0396}"/>
    <cellStyle name="Normal 4 4 4 2 2 3" xfId="4253" xr:uid="{162FFF9B-0738-424A-A7DF-44F643C70764}"/>
    <cellStyle name="Normal 4 4 4 2 3" xfId="3864" xr:uid="{7346C28B-C403-49EE-977F-8FDDFA50EDF4}"/>
    <cellStyle name="Normal 4 4 4 2 3 2" xfId="4373" xr:uid="{CBF48A0D-5EC7-40ED-8A80-0648581659D2}"/>
    <cellStyle name="Normal 4 4 4 2 4" xfId="4104" xr:uid="{DB612DCD-A106-41FF-8FC8-CDC8B2333139}"/>
    <cellStyle name="Normal 4 4 4 3" xfId="3698" xr:uid="{13025249-728D-4E49-AD21-633571D50A43}"/>
    <cellStyle name="Normal 4 4 4 3 2" xfId="3917" xr:uid="{1E9BCABA-4616-4F4E-9543-D1C33AF0F2B0}"/>
    <cellStyle name="Normal 4 4 4 3 2 2" xfId="4450" xr:uid="{E51D62CB-2D3F-47F7-BC2A-04CA07CD7339}"/>
    <cellStyle name="Normal 4 4 4 3 3" xfId="4181" xr:uid="{5AFE2B12-88B9-4E49-A002-730A3C7D0813}"/>
    <cellStyle name="Normal 4 4 4 4" xfId="3797" xr:uid="{416A45D2-D3DC-4748-8311-99379EA9BC5F}"/>
    <cellStyle name="Normal 4 4 4 4 2" xfId="4306" xr:uid="{610C712F-A692-4C01-B0B1-241CACFA53F4}"/>
    <cellStyle name="Normal 4 4 4 5" xfId="4037" xr:uid="{F0602609-3A9E-4298-BD43-0403ABE38070}"/>
    <cellStyle name="Normal 4 4 5" xfId="724" xr:uid="{E8B4CB5E-9FDA-4834-81D3-B43BB5AE072C}"/>
    <cellStyle name="Normal 4 4 5 2" xfId="2445" xr:uid="{170937F8-F3E6-4BE0-8265-CB3333246EDA}"/>
    <cellStyle name="Normal 4 4 5 2 2" xfId="3949" xr:uid="{01C1BD97-B2F3-458A-BDCF-1476BB1D93DD}"/>
    <cellStyle name="Normal 4 4 5 2 2 2" xfId="4486" xr:uid="{F736EB69-CDF6-4FE5-A462-576DB304A484}"/>
    <cellStyle name="Normal 4 4 5 2 3" xfId="4217" xr:uid="{489FD7B0-DC89-468F-9110-B120F1A93AFB}"/>
    <cellStyle name="Normal 4 4 5 3" xfId="3829" xr:uid="{26F30AF7-BAF4-464C-94CC-3B270DBD0272}"/>
    <cellStyle name="Normal 4 4 5 3 2" xfId="4338" xr:uid="{CCA8CC4A-E8CF-4D0C-824C-A694869B7F8C}"/>
    <cellStyle name="Normal 4 4 5 4" xfId="4069" xr:uid="{2B0B4816-E508-4A1F-8110-2B5F46170879}"/>
    <cellStyle name="Normal 4 4 6" xfId="942" xr:uid="{6FD9D85C-432F-4BA1-A06B-F2EE575F21B2}"/>
    <cellStyle name="Normal 4 4 6 2" xfId="2663" xr:uid="{8781BDF9-4AE8-4B1D-AB13-DEB18AE7EA42}"/>
    <cellStyle name="Normal 4 4 6 2 2" xfId="3897" xr:uid="{EDDF9E5B-5EA0-4EBF-BD19-1C16064BEEC9}"/>
    <cellStyle name="Normal 4 4 6 2 2 2" xfId="4414" xr:uid="{688B0AE9-0589-46F8-A42B-5A5FEDC20C5F}"/>
    <cellStyle name="Normal 4 4 6 2 3" xfId="4145" xr:uid="{4DD1A8A5-5478-4377-A9E6-B03384AB4DBC}"/>
    <cellStyle name="Normal 4 4 6 3" xfId="3777" xr:uid="{A86A2F05-4D74-422A-A0D3-B559A170E8F7}"/>
    <cellStyle name="Normal 4 4 6 3 2" xfId="4286" xr:uid="{49595D23-149D-481E-B262-EE31B6940A25}"/>
    <cellStyle name="Normal 4 4 6 4" xfId="4017" xr:uid="{BC41822B-562C-4952-B24A-582EA983F7CD}"/>
    <cellStyle name="Normal 4 4 7" xfId="1160" xr:uid="{C09FB092-5A6F-497E-B493-AD5B3E2D57A3}"/>
    <cellStyle name="Normal 4 4 7 2" xfId="2881" xr:uid="{A4ECD347-3329-480A-8ACF-A62BE76C3FF4}"/>
    <cellStyle name="Normal 4 4 7 2 2" xfId="4406" xr:uid="{9E53BCE7-916D-4451-AC50-C8119B5518C0}"/>
    <cellStyle name="Normal 4 4 7 3" xfId="4137" xr:uid="{911B892B-26C5-44E6-ABAA-D6B4D86B11DA}"/>
    <cellStyle name="Normal 4 4 8" xfId="1378" xr:uid="{988454C7-E7C0-4ED6-A244-D807FA7ABE9C}"/>
    <cellStyle name="Normal 4 4 8 2" xfId="3099" xr:uid="{47ECA620-9AA7-467A-85C0-9D0D42589914}"/>
    <cellStyle name="Normal 4 4 9" xfId="1597" xr:uid="{C6FFF3D6-D989-44C0-AA01-5FF668EC721A}"/>
    <cellStyle name="Normal 4 4 9 2" xfId="3318" xr:uid="{D42D1737-F86E-4DA7-938C-BF1E3952B2B4}"/>
    <cellStyle name="Normal 4 5" xfId="77" xr:uid="{B65DA290-ECA6-4CFF-8AD6-7EEEFF9D5D69}"/>
    <cellStyle name="Normal 4 5 2" xfId="323" xr:uid="{BFAEEE23-467E-4782-879C-65A0480FB708}"/>
    <cellStyle name="Normal 4 5 2 2" xfId="2022" xr:uid="{55969A74-6958-4262-96AC-91C5C9ECCC25}"/>
    <cellStyle name="Normal 4 5 2 2 2" xfId="3648" xr:uid="{E95B4DA2-90F1-45D4-8D70-1A3E1FD84EEE}"/>
    <cellStyle name="Normal 4 5 2 2 2 2" xfId="3675" xr:uid="{A419B654-3B9E-45C3-BC0A-AF8481134DEB}"/>
    <cellStyle name="Normal 4 5 2 2 2 2 2" xfId="3768" xr:uid="{492D3E7E-67FA-4B52-B3B2-0CEB2432276B}"/>
    <cellStyle name="Normal 4 5 2 2 2 2 2 2" xfId="4008" xr:uid="{C02593B6-2FC5-4634-BCA5-C568D77ACDB1}"/>
    <cellStyle name="Normal 4 5 2 2 2 2 2 2 2" xfId="4546" xr:uid="{24CC3828-5D81-4C47-A00C-AFE21ED6203F}"/>
    <cellStyle name="Normal 4 5 2 2 2 2 2 3" xfId="4277" xr:uid="{658B411A-6752-4CCE-9BD7-C42652F13ED1}"/>
    <cellStyle name="Normal 4 5 2 2 2 2 3" xfId="3888" xr:uid="{9C1A79A3-6B23-4429-81D6-CEF5F46039E2}"/>
    <cellStyle name="Normal 4 5 2 2 2 2 3 2" xfId="4397" xr:uid="{1BDB5292-8BF4-429C-850B-8B7E07E60253}"/>
    <cellStyle name="Normal 4 5 2 2 2 2 4" xfId="4128" xr:uid="{02F3FFF8-804E-45E7-B94B-2D012A088F63}"/>
    <cellStyle name="Normal 4 5 2 2 2 3" xfId="3721" xr:uid="{D7EADB9D-5CD7-443D-9DB0-2A7D9A7A9AF0}"/>
    <cellStyle name="Normal 4 5 2 2 2 3 2" xfId="3940" xr:uid="{FCC0ADD2-5EF0-41C8-8FD9-626CDD65A534}"/>
    <cellStyle name="Normal 4 5 2 2 2 3 2 2" xfId="4474" xr:uid="{5CF0289C-4491-405A-94F5-4AD0AB5ECA3F}"/>
    <cellStyle name="Normal 4 5 2 2 2 3 3" xfId="4205" xr:uid="{5CE86D9D-4EB8-423F-ABB4-FEFF1FC4EE64}"/>
    <cellStyle name="Normal 4 5 2 2 2 4" xfId="3820" xr:uid="{79C25B68-8E35-4971-A626-4FBD91E818F7}"/>
    <cellStyle name="Normal 4 5 2 2 2 4 2" xfId="4329" xr:uid="{345D25F3-7058-4F12-A65C-C3E247605D7E}"/>
    <cellStyle name="Normal 4 5 2 2 2 5" xfId="4060" xr:uid="{E3E500F9-150D-41E3-92BD-10C1F7C68220}"/>
    <cellStyle name="Normal 4 5 2 2 3" xfId="3660" xr:uid="{A1E15CC5-3E5A-45A8-9073-2CF620FF5E13}"/>
    <cellStyle name="Normal 4 5 2 2 3 2" xfId="3737" xr:uid="{BF3A8EA5-2C4E-4D19-9EDA-8BBB3399A28C}"/>
    <cellStyle name="Normal 4 5 2 2 3 2 2" xfId="3972" xr:uid="{2D2C9B8D-CC82-4CDD-8E27-3DE5C9264F6C}"/>
    <cellStyle name="Normal 4 5 2 2 3 2 2 2" xfId="4510" xr:uid="{1031D45B-83D5-48A8-ACC7-71DFAFE70424}"/>
    <cellStyle name="Normal 4 5 2 2 3 2 3" xfId="4241" xr:uid="{3FF59486-6911-47D9-8E16-02948A4C4FF9}"/>
    <cellStyle name="Normal 4 5 2 2 3 3" xfId="3852" xr:uid="{42DB7082-B4B3-4FCE-BCE7-722EC114B0FD}"/>
    <cellStyle name="Normal 4 5 2 2 3 3 2" xfId="4361" xr:uid="{DFC8E7D3-E5A0-48F3-9A39-7E3A85F70807}"/>
    <cellStyle name="Normal 4 5 2 2 3 4" xfId="4092" xr:uid="{F7A17A60-D57D-47DE-AC0D-A4E8FB8C9E14}"/>
    <cellStyle name="Normal 4 5 2 2 4" xfId="3690" xr:uid="{E87CD1D3-FA78-439B-B496-5740ABCD5AD3}"/>
    <cellStyle name="Normal 4 5 2 2 4 2" xfId="3909" xr:uid="{4DB1A098-E452-4353-A274-E7AA6F44E7D4}"/>
    <cellStyle name="Normal 4 5 2 2 4 2 2" xfId="4438" xr:uid="{2803C647-5AB9-4F05-B774-4A8A9F86A775}"/>
    <cellStyle name="Normal 4 5 2 2 4 3" xfId="4169" xr:uid="{D5D557A8-6904-41BE-A83E-0573689AB5C0}"/>
    <cellStyle name="Normal 4 5 2 2 5" xfId="3789" xr:uid="{3D4815B8-A6A8-43A2-B3F9-1ED3AC05DFAE}"/>
    <cellStyle name="Normal 4 5 2 2 5 2" xfId="4298" xr:uid="{CC2449DD-B5E0-4961-8CBE-293D98C6F796}"/>
    <cellStyle name="Normal 4 5 2 2 6" xfId="4029" xr:uid="{8DC87A99-3E5D-4FE5-81B1-65EAD2C7E1B3}"/>
    <cellStyle name="Normal 4 5 2 3" xfId="3646" xr:uid="{D33CC8F2-A8CB-4E5A-AB72-AE38754D4691}"/>
    <cellStyle name="Normal 4 5 2 3 2" xfId="3665" xr:uid="{21AE23D9-2585-4429-A497-454B6F0FC732}"/>
    <cellStyle name="Normal 4 5 2 3 2 2" xfId="3750" xr:uid="{B5E97121-727A-423A-AB52-109351884942}"/>
    <cellStyle name="Normal 4 5 2 3 2 2 2" xfId="3990" xr:uid="{F0EF6982-C648-4A30-8A98-B0BDEB71783C}"/>
    <cellStyle name="Normal 4 5 2 3 2 2 2 2" xfId="4528" xr:uid="{D2449D1F-FFCE-48AD-821C-469BEFEBDBA4}"/>
    <cellStyle name="Normal 4 5 2 3 2 2 3" xfId="4259" xr:uid="{15FEEE95-F574-4A33-B41D-1994317DE35B}"/>
    <cellStyle name="Normal 4 5 2 3 2 3" xfId="3870" xr:uid="{D9473DBB-9BF6-41AF-A46E-42A03A90C54E}"/>
    <cellStyle name="Normal 4 5 2 3 2 3 2" xfId="4379" xr:uid="{389A2764-BA14-4BD7-AB30-322DA9956C69}"/>
    <cellStyle name="Normal 4 5 2 3 2 4" xfId="4110" xr:uid="{3CE2C709-1C87-421E-83B9-076791E096A2}"/>
    <cellStyle name="Normal 4 5 2 3 3" xfId="3703" xr:uid="{A5B78B2E-9C80-4623-A94A-C7638768E3A4}"/>
    <cellStyle name="Normal 4 5 2 3 3 2" xfId="3922" xr:uid="{71773A83-1DD1-447E-B42B-76DBB27A10E7}"/>
    <cellStyle name="Normal 4 5 2 3 3 2 2" xfId="4456" xr:uid="{6D1A77A6-4001-4F66-ABB3-734C908CED68}"/>
    <cellStyle name="Normal 4 5 2 3 3 3" xfId="4187" xr:uid="{D4B22CEB-9D8F-4DA4-A0F6-05559AF293EC}"/>
    <cellStyle name="Normal 4 5 2 3 4" xfId="3802" xr:uid="{DF0DF0B1-3097-40B7-B153-B98E0AB74F3E}"/>
    <cellStyle name="Normal 4 5 2 3 4 2" xfId="4311" xr:uid="{3501F14A-4389-4B71-8738-5225815FBAD6}"/>
    <cellStyle name="Normal 4 5 2 3 5" xfId="4042" xr:uid="{583A7945-2218-420E-8573-348001E5C5AC}"/>
    <cellStyle name="Normal 4 5 2 4" xfId="3650" xr:uid="{F765F1BA-6D55-4524-A73F-DA5C4C4BC4EF}"/>
    <cellStyle name="Normal 4 5 2 4 2" xfId="3727" xr:uid="{B0D3C7D4-73F3-41B1-8E4E-44B144D2F24D}"/>
    <cellStyle name="Normal 4 5 2 4 2 2" xfId="3954" xr:uid="{798D3DAE-D6D9-403A-98A8-67A72184C99A}"/>
    <cellStyle name="Normal 4 5 2 4 2 2 2" xfId="4492" xr:uid="{BEE535B4-5587-4469-8311-D0F797EAD52A}"/>
    <cellStyle name="Normal 4 5 2 4 2 3" xfId="4223" xr:uid="{1474EFAB-4C62-402B-92B4-F95BC09386BA}"/>
    <cellStyle name="Normal 4 5 2 4 3" xfId="3834" xr:uid="{DE7E4A00-DB3A-477C-B5AA-F1ED70FA7F54}"/>
    <cellStyle name="Normal 4 5 2 4 3 2" xfId="4343" xr:uid="{12F1EE36-354A-4BFC-8138-F087FC4F3E28}"/>
    <cellStyle name="Normal 4 5 2 4 4" xfId="4074" xr:uid="{C41649AC-791D-43DF-8DB1-9E70101292E6}"/>
    <cellStyle name="Normal 4 5 2 5" xfId="3680" xr:uid="{E23B667B-90CB-4B01-BABA-9180E7F1076C}"/>
    <cellStyle name="Normal 4 5 2 5 2" xfId="3899" xr:uid="{4BE93335-3011-4926-AD11-8D681E73E08F}"/>
    <cellStyle name="Normal 4 5 2 5 2 2" xfId="4420" xr:uid="{027E77E0-7E14-43F0-AEDC-C3E42A1FA1C2}"/>
    <cellStyle name="Normal 4 5 2 5 3" xfId="4151" xr:uid="{7CE917CE-FC07-4F4F-BEAE-B8F3EA8046D6}"/>
    <cellStyle name="Normal 4 5 2 6" xfId="3779" xr:uid="{8C690955-0FD1-452C-BC04-85FAEBFE56CA}"/>
    <cellStyle name="Normal 4 5 2 6 2" xfId="4288" xr:uid="{0E95CD2C-F86D-4EAD-B554-C4E4A44F5F35}"/>
    <cellStyle name="Normal 4 5 2 7" xfId="4019" xr:uid="{C0AE3EC3-A842-4189-8B91-FA637CCFDAF2}"/>
    <cellStyle name="Normal 4 5 3" xfId="519" xr:uid="{BBF668F0-2888-45CD-9D5F-BE6C2E3C50F1}"/>
    <cellStyle name="Normal 4 5 3 2" xfId="2240" xr:uid="{0DD8CF96-D180-456C-8D92-84135AE4BA49}"/>
    <cellStyle name="Normal 4 5 3 2 2" xfId="3667" xr:uid="{7C8D6DCE-BFD8-4D1C-82FA-A2D683648265}"/>
    <cellStyle name="Normal 4 5 3 2 2 2" xfId="3759" xr:uid="{1A7610A5-6AA5-4F17-8CA1-2E03025EDB5B}"/>
    <cellStyle name="Normal 4 5 3 2 2 2 2" xfId="3999" xr:uid="{F86806D5-42A5-4E25-B494-A62DFA92A172}"/>
    <cellStyle name="Normal 4 5 3 2 2 2 2 2" xfId="4537" xr:uid="{B96E3502-C416-4381-9082-0BB137C9FB00}"/>
    <cellStyle name="Normal 4 5 3 2 2 2 3" xfId="4268" xr:uid="{863B56E8-9789-4EBC-8F0F-93F430EEEE32}"/>
    <cellStyle name="Normal 4 5 3 2 2 3" xfId="3879" xr:uid="{1C88E6B3-4348-4503-A89D-ECB64C167E07}"/>
    <cellStyle name="Normal 4 5 3 2 2 3 2" xfId="4388" xr:uid="{58F5CDCF-4E50-43BE-942E-3B4B8EB071F2}"/>
    <cellStyle name="Normal 4 5 3 2 2 4" xfId="4119" xr:uid="{A9728BD5-E6A4-436E-A4EA-949249FF653D}"/>
    <cellStyle name="Normal 4 5 3 2 3" xfId="3712" xr:uid="{9392958E-46FC-4CE7-B9FB-E40969FF6250}"/>
    <cellStyle name="Normal 4 5 3 2 3 2" xfId="3931" xr:uid="{FE40AA45-0891-4994-BF78-2F6AD632073E}"/>
    <cellStyle name="Normal 4 5 3 2 3 2 2" xfId="4465" xr:uid="{63E2D8E0-6BE4-4F90-8554-69C6FAE55964}"/>
    <cellStyle name="Normal 4 5 3 2 3 3" xfId="4196" xr:uid="{DDF85A79-1241-4F93-8C5B-EBE4933AC21D}"/>
    <cellStyle name="Normal 4 5 3 2 4" xfId="3811" xr:uid="{8FCEB2A3-A786-4D35-8F19-77422E3BDEAB}"/>
    <cellStyle name="Normal 4 5 3 2 4 2" xfId="4320" xr:uid="{39EA79FD-DB30-4D31-BA70-54141ACC7CAA}"/>
    <cellStyle name="Normal 4 5 3 2 5" xfId="4051" xr:uid="{1BA5CB66-2E8C-4E59-A896-D60FD75E3A61}"/>
    <cellStyle name="Normal 4 5 3 3" xfId="3652" xr:uid="{EA1880AD-119C-4A25-BDA2-97FD6B7778BF}"/>
    <cellStyle name="Normal 4 5 3 3 2" xfId="3729" xr:uid="{3F041237-8E5D-4FD2-AEFA-F57F21A7662C}"/>
    <cellStyle name="Normal 4 5 3 3 2 2" xfId="3963" xr:uid="{FE5171CB-334E-4C63-BE5A-C1FDBC12B87E}"/>
    <cellStyle name="Normal 4 5 3 3 2 2 2" xfId="4501" xr:uid="{A7632207-5599-4BE6-B0E1-F1415D33B421}"/>
    <cellStyle name="Normal 4 5 3 3 2 3" xfId="4232" xr:uid="{76CC35DD-E171-4675-B63B-4355636B1B46}"/>
    <cellStyle name="Normal 4 5 3 3 3" xfId="3843" xr:uid="{38A9B1D5-12E8-4FF4-B524-89096D48FECF}"/>
    <cellStyle name="Normal 4 5 3 3 3 2" xfId="4352" xr:uid="{4EE15529-6006-4083-85CF-777E43C7E725}"/>
    <cellStyle name="Normal 4 5 3 3 4" xfId="4083" xr:uid="{7B25168A-843A-4C2E-B50E-C986CCE60CF1}"/>
    <cellStyle name="Normal 4 5 3 4" xfId="3682" xr:uid="{24EC629E-EE60-4BD3-BB77-73480108A54C}"/>
    <cellStyle name="Normal 4 5 3 4 2" xfId="3901" xr:uid="{5AB01B19-E09E-483D-A750-000DAD080F01}"/>
    <cellStyle name="Normal 4 5 3 4 2 2" xfId="4429" xr:uid="{B26DB3DB-3C6E-484B-8FAF-7AD796831917}"/>
    <cellStyle name="Normal 4 5 3 4 3" xfId="4160" xr:uid="{9B20C6C1-6E49-4ADE-9CFA-59110DC81D2D}"/>
    <cellStyle name="Normal 4 5 3 5" xfId="3781" xr:uid="{BC1901A5-E4B5-4B0C-B5EE-FA7279E51FB0}"/>
    <cellStyle name="Normal 4 5 3 5 2" xfId="4290" xr:uid="{B34385C7-9344-4DB0-BC23-37E0DCC09AE6}"/>
    <cellStyle name="Normal 4 5 3 6" xfId="4021" xr:uid="{73E16B50-FE4E-4343-BE63-D9F87EEB7555}"/>
    <cellStyle name="Normal 4 5 4" xfId="737" xr:uid="{2602542A-20EA-4157-BBC9-2915089CDA07}"/>
    <cellStyle name="Normal 4 5 4 2" xfId="2458" xr:uid="{0AABF00D-4819-49A3-9191-4DE4535D8F11}"/>
    <cellStyle name="Normal 4 5 4 2 2" xfId="3742" xr:uid="{281E3A10-8314-4D43-BBB1-61A694C4A2E9}"/>
    <cellStyle name="Normal 4 5 4 2 2 2" xfId="3981" xr:uid="{7F974699-8D68-43B7-A111-F4D82B8CDC46}"/>
    <cellStyle name="Normal 4 5 4 2 2 2 2" xfId="4519" xr:uid="{B8FA5011-13DA-45B7-843C-92E13FDFA38F}"/>
    <cellStyle name="Normal 4 5 4 2 2 3" xfId="4250" xr:uid="{42AAE438-07F7-4631-857D-16E5F18E02BC}"/>
    <cellStyle name="Normal 4 5 4 2 3" xfId="3861" xr:uid="{F6D5CBF6-1758-428A-8BCF-FF755A194D97}"/>
    <cellStyle name="Normal 4 5 4 2 3 2" xfId="4370" xr:uid="{9B6C0CB4-BB02-45BA-ACDF-404C518DF167}"/>
    <cellStyle name="Normal 4 5 4 2 4" xfId="4101" xr:uid="{ECE0B8B7-5831-4879-B122-EF5B51502DF5}"/>
    <cellStyle name="Normal 4 5 4 3" xfId="3695" xr:uid="{208EA94A-2E9F-410C-B8E1-B1C3C05247F3}"/>
    <cellStyle name="Normal 4 5 4 3 2" xfId="3914" xr:uid="{833A748D-4102-4275-99D1-34B2C364AE2E}"/>
    <cellStyle name="Normal 4 5 4 3 2 2" xfId="4447" xr:uid="{9AAA97F2-A5FB-4E01-9FEA-2A13EF697248}"/>
    <cellStyle name="Normal 4 5 4 3 3" xfId="4178" xr:uid="{7E1880A3-E6E2-46FE-A4B0-50496D149E99}"/>
    <cellStyle name="Normal 4 5 4 4" xfId="3794" xr:uid="{89CA32FE-5B13-43CC-A866-A496C3817A47}"/>
    <cellStyle name="Normal 4 5 4 4 2" xfId="4303" xr:uid="{A985570B-8C1D-4438-ABC6-9F2E39741462}"/>
    <cellStyle name="Normal 4 5 4 5" xfId="4034" xr:uid="{EF470E2F-6425-4435-A2AC-4CBAC0EDA228}"/>
    <cellStyle name="Normal 4 5 5" xfId="955" xr:uid="{988C9AAF-61A1-4DF7-900D-268BB4E3B12E}"/>
    <cellStyle name="Normal 4 5 5 2" xfId="2676" xr:uid="{7CA7FB21-0494-49D4-AAF7-E7A40F1E760D}"/>
    <cellStyle name="Normal 4 5 5 2 2" xfId="3946" xr:uid="{BE8A1617-0E50-4733-B087-9660BEBF44B5}"/>
    <cellStyle name="Normal 4 5 5 2 2 2" xfId="4483" xr:uid="{5C82E679-635D-4A3A-B90C-60D8553CCE80}"/>
    <cellStyle name="Normal 4 5 5 2 3" xfId="4214" xr:uid="{770479EA-7DEC-47A0-9C61-847ABFFA6ECC}"/>
    <cellStyle name="Normal 4 5 5 3" xfId="3826" xr:uid="{5FEA6054-6443-437C-8AAD-CC8DCE8A939D}"/>
    <cellStyle name="Normal 4 5 5 3 2" xfId="4335" xr:uid="{7D94D83E-7575-43FA-B331-2CC6962639F3}"/>
    <cellStyle name="Normal 4 5 5 4" xfId="4066" xr:uid="{34C991FF-5C23-4E6E-AF82-3BD55AE5602F}"/>
    <cellStyle name="Normal 4 5 6" xfId="1173" xr:uid="{85BF477B-25A7-4E1B-8A20-54F306023334}"/>
    <cellStyle name="Normal 4 5 6 2" xfId="2894" xr:uid="{72AD90F7-11F9-4669-AB09-5D7BE4F34760}"/>
    <cellStyle name="Normal 4 5 6 2 2" xfId="3894" xr:uid="{B6645C53-6BE8-4595-BAE4-709CEA979869}"/>
    <cellStyle name="Normal 4 5 6 2 2 2" xfId="4411" xr:uid="{F2C295EA-684D-4643-8AE4-A19A9C29EA6F}"/>
    <cellStyle name="Normal 4 5 6 2 3" xfId="4142" xr:uid="{63C5D3D4-6105-41CA-8E6D-EB720659F15B}"/>
    <cellStyle name="Normal 4 5 6 3" xfId="3774" xr:uid="{A364A495-FAB7-4A15-828A-0BE641CB667F}"/>
    <cellStyle name="Normal 4 5 6 3 2" xfId="4283" xr:uid="{B5D05083-C9EF-4AFD-B641-B7EB0949A3B3}"/>
    <cellStyle name="Normal 4 5 6 4" xfId="4014" xr:uid="{D509D4F6-6DB7-4F47-8E27-32BE668F00DE}"/>
    <cellStyle name="Normal 4 5 7" xfId="1391" xr:uid="{B43D167A-61BB-4461-843E-F80EE94D62B8}"/>
    <cellStyle name="Normal 4 5 7 2" xfId="3112" xr:uid="{C0D218F8-5D73-410D-93D3-488C93488577}"/>
    <cellStyle name="Normal 4 5 7 2 2" xfId="4403" xr:uid="{DCD7933B-C50B-4B28-AD9A-8505755DAB18}"/>
    <cellStyle name="Normal 4 5 7 3" xfId="4134" xr:uid="{74508034-DFCC-4EF1-A6C3-FBEBC0CD5D24}"/>
    <cellStyle name="Normal 4 5 8" xfId="1610" xr:uid="{59841566-A5EB-4568-B8E0-349342BBA006}"/>
    <cellStyle name="Normal 4 5 8 2" xfId="3331" xr:uid="{E8B951D5-87C2-4951-811A-E4947459B664}"/>
    <cellStyle name="Normal 4 5 9" xfId="1830" xr:uid="{89C737F9-30FD-47A5-81AC-E19B50AFA92B}"/>
    <cellStyle name="Normal 4 6" xfId="90" xr:uid="{41AD0C37-BBEB-4253-96B0-BF1C29094FA7}"/>
    <cellStyle name="Normal 4 6 2" xfId="336" xr:uid="{D150E29A-6E47-4DFF-ABE7-124626FDB9D3}"/>
    <cellStyle name="Normal 4 6 2 2" xfId="2035" xr:uid="{40C6F214-BEFF-4669-88AA-47A221432074}"/>
    <cellStyle name="Normal 4 6 2 2 2" xfId="3672" xr:uid="{A9BADA0A-7350-4EC3-BC36-1909E870EFEB}"/>
    <cellStyle name="Normal 4 6 2 2 2 2" xfId="3765" xr:uid="{AEC2605F-525C-4B4C-A90F-F73E675B2BCD}"/>
    <cellStyle name="Normal 4 6 2 2 2 2 2" xfId="4005" xr:uid="{DD9BE1FE-8F31-428C-840F-2F1472942720}"/>
    <cellStyle name="Normal 4 6 2 2 2 2 2 2" xfId="4543" xr:uid="{B9DA5EE4-2277-492C-9F5E-92787E5F057A}"/>
    <cellStyle name="Normal 4 6 2 2 2 2 3" xfId="4274" xr:uid="{350AEAB5-D547-4D8A-B257-5334BE772780}"/>
    <cellStyle name="Normal 4 6 2 2 2 3" xfId="3885" xr:uid="{1BE2BB01-99F4-4254-B9D2-8421CECBF16B}"/>
    <cellStyle name="Normal 4 6 2 2 2 3 2" xfId="4394" xr:uid="{B2D9BCAF-B42C-43EC-8AC0-C23CE11C35B4}"/>
    <cellStyle name="Normal 4 6 2 2 2 4" xfId="4125" xr:uid="{97127075-BCA3-47A6-9EAF-B6F4D713DDCD}"/>
    <cellStyle name="Normal 4 6 2 2 3" xfId="3718" xr:uid="{0A9B7ECA-0FB5-48D1-8470-AC8D58EAE296}"/>
    <cellStyle name="Normal 4 6 2 2 3 2" xfId="3937" xr:uid="{33545DD9-53B3-4289-A415-5A3B91F15FD7}"/>
    <cellStyle name="Normal 4 6 2 2 3 2 2" xfId="4471" xr:uid="{9F5F36BE-06BA-4DE3-B29E-11EF90B9DFDD}"/>
    <cellStyle name="Normal 4 6 2 2 3 3" xfId="4202" xr:uid="{89175ADD-9BBD-4571-92AF-E950EA85B2EA}"/>
    <cellStyle name="Normal 4 6 2 2 4" xfId="3817" xr:uid="{DD67E966-1C8D-40B1-B403-7784BF993CE5}"/>
    <cellStyle name="Normal 4 6 2 2 4 2" xfId="4326" xr:uid="{29FDA742-D785-45A7-BF91-8782D1FDA975}"/>
    <cellStyle name="Normal 4 6 2 2 5" xfId="4057" xr:uid="{612D4BBC-5748-4E33-832A-3174C779BC27}"/>
    <cellStyle name="Normal 4 6 2 3" xfId="3657" xr:uid="{6EB70822-405C-4169-8C92-1A824F05A4E5}"/>
    <cellStyle name="Normal 4 6 2 3 2" xfId="3734" xr:uid="{54FBC103-B5F2-44D1-9431-9EEBB7B8C1AC}"/>
    <cellStyle name="Normal 4 6 2 3 2 2" xfId="3969" xr:uid="{028BC2A3-2530-46F4-943D-A70A00604D5F}"/>
    <cellStyle name="Normal 4 6 2 3 2 2 2" xfId="4507" xr:uid="{17957055-A946-45A9-A0F5-D343ADF4D8BA}"/>
    <cellStyle name="Normal 4 6 2 3 2 3" xfId="4238" xr:uid="{F642396F-6526-41A5-AAAE-74854B050DFC}"/>
    <cellStyle name="Normal 4 6 2 3 3" xfId="3849" xr:uid="{03DD6C19-3953-4E05-A77B-04D9F9F4E575}"/>
    <cellStyle name="Normal 4 6 2 3 3 2" xfId="4358" xr:uid="{E519EA11-9CBF-45A9-8F3C-8A7FDBDA2F2A}"/>
    <cellStyle name="Normal 4 6 2 3 4" xfId="4089" xr:uid="{781A30E8-9B75-423F-AEF1-DCCA5AD9863A}"/>
    <cellStyle name="Normal 4 6 2 4" xfId="3687" xr:uid="{12FE0050-2B7E-4FE0-9491-E1D4D9776023}"/>
    <cellStyle name="Normal 4 6 2 4 2" xfId="3906" xr:uid="{1043E1EE-0418-4B93-A579-4F68017D9491}"/>
    <cellStyle name="Normal 4 6 2 4 2 2" xfId="4435" xr:uid="{CAB318D3-F014-4B9B-B740-54652E7FEAEB}"/>
    <cellStyle name="Normal 4 6 2 4 3" xfId="4166" xr:uid="{4CEE3BFD-C810-4DA8-9912-D63006206FAE}"/>
    <cellStyle name="Normal 4 6 2 5" xfId="3786" xr:uid="{60A3163F-0B41-4F4C-8747-4F99A6CD8913}"/>
    <cellStyle name="Normal 4 6 2 5 2" xfId="4295" xr:uid="{1CD0FE89-6A50-4D9E-8BF0-4E0C3625B796}"/>
    <cellStyle name="Normal 4 6 2 6" xfId="4026" xr:uid="{EBDE4E50-C1DA-481B-BBC1-72137A4B6894}"/>
    <cellStyle name="Normal 4 6 3" xfId="532" xr:uid="{08E88B73-1703-46B8-A764-267E7381DA1A}"/>
    <cellStyle name="Normal 4 6 3 2" xfId="2253" xr:uid="{CD005550-19F5-4DD2-8E9B-DE104A99A9ED}"/>
    <cellStyle name="Normal 4 6 3 2 2" xfId="3747" xr:uid="{C70B105D-21F3-43D5-ABAE-09881E0BF544}"/>
    <cellStyle name="Normal 4 6 3 2 2 2" xfId="3987" xr:uid="{D4826934-0C78-457E-92D8-097CEA07AE3F}"/>
    <cellStyle name="Normal 4 6 3 2 2 2 2" xfId="4525" xr:uid="{D9B3F585-3E1F-4401-A844-431B954E408E}"/>
    <cellStyle name="Normal 4 6 3 2 2 3" xfId="4256" xr:uid="{D8325295-DB1B-425E-A0E1-74B7E6E5996E}"/>
    <cellStyle name="Normal 4 6 3 2 3" xfId="3867" xr:uid="{4DAF32CF-54DA-412A-B6E3-4DA45519B8C8}"/>
    <cellStyle name="Normal 4 6 3 2 3 2" xfId="4376" xr:uid="{A7720C86-76D5-4ECD-9424-1C5885379C20}"/>
    <cellStyle name="Normal 4 6 3 2 4" xfId="4107" xr:uid="{645F8461-9B5F-4C11-9C17-E528B7C77610}"/>
    <cellStyle name="Normal 4 6 3 3" xfId="3700" xr:uid="{8179FE97-2892-4079-BBDC-876D4F2D7704}"/>
    <cellStyle name="Normal 4 6 3 3 2" xfId="3919" xr:uid="{34BA5D43-0E45-4200-8050-2C0645242AA4}"/>
    <cellStyle name="Normal 4 6 3 3 2 2" xfId="4453" xr:uid="{F58F1DD4-3457-4D0A-99CE-7AE283A9BABD}"/>
    <cellStyle name="Normal 4 6 3 3 3" xfId="4184" xr:uid="{5CE15FC2-A15E-473E-A250-A0DD3C3FCED6}"/>
    <cellStyle name="Normal 4 6 3 4" xfId="3799" xr:uid="{0FF5BC7A-9A02-432D-8514-A3771C0BC234}"/>
    <cellStyle name="Normal 4 6 3 4 2" xfId="4308" xr:uid="{A4CA1F78-3482-46A9-8205-5A84D42CCBCA}"/>
    <cellStyle name="Normal 4 6 3 5" xfId="4039" xr:uid="{F8FD63DE-99F2-4F4D-9E43-ACCDB5B22142}"/>
    <cellStyle name="Normal 4 6 4" xfId="750" xr:uid="{105D2839-AFE9-45D3-885F-F98346625F9F}"/>
    <cellStyle name="Normal 4 6 4 2" xfId="2471" xr:uid="{2CAFFA12-C4C3-4E97-BB6E-A1B52F77A84B}"/>
    <cellStyle name="Normal 4 6 4 2 2" xfId="3951" xr:uid="{A787FCAA-1FD4-4EC8-827D-1A0D681F4D37}"/>
    <cellStyle name="Normal 4 6 4 2 2 2" xfId="4489" xr:uid="{C99B28A8-0318-4B86-8E5B-56BE979DC9EF}"/>
    <cellStyle name="Normal 4 6 4 2 3" xfId="4220" xr:uid="{B6D99223-5CA6-4728-998F-8249F9630FD1}"/>
    <cellStyle name="Normal 4 6 4 3" xfId="3831" xr:uid="{3FEFF10B-4696-4756-A28B-6BC5609B1FD1}"/>
    <cellStyle name="Normal 4 6 4 3 2" xfId="4340" xr:uid="{1B7A8CDE-72BF-48D0-88EE-3429E181C059}"/>
    <cellStyle name="Normal 4 6 4 4" xfId="4071" xr:uid="{AFC75402-7135-428B-9C57-3A09C69E6DB3}"/>
    <cellStyle name="Normal 4 6 5" xfId="968" xr:uid="{7C2F19A9-9EA2-49D9-AB19-71B2BCFA2B9A}"/>
    <cellStyle name="Normal 4 6 5 2" xfId="2689" xr:uid="{DA502FCA-D6D1-4F47-BDF9-FD3BB067AF93}"/>
    <cellStyle name="Normal 4 6 5 2 2" xfId="4417" xr:uid="{88FAF122-CBE5-49DD-8BA3-B2DF143BE345}"/>
    <cellStyle name="Normal 4 6 5 3" xfId="4148" xr:uid="{2C9BEBC6-86AF-4995-B164-09B94071F408}"/>
    <cellStyle name="Normal 4 6 6" xfId="1186" xr:uid="{831EBB1B-4FB4-44F7-A19B-4982FDD6608B}"/>
    <cellStyle name="Normal 4 6 6 2" xfId="2907" xr:uid="{D0D1F9D1-1F0A-4C0D-AA32-31761E73F657}"/>
    <cellStyle name="Normal 4 6 7" xfId="1404" xr:uid="{5F0D7A0E-B03D-4A6D-A8C0-33458E5AC2F7}"/>
    <cellStyle name="Normal 4 6 7 2" xfId="3125" xr:uid="{50D69ED7-ADBE-48F5-AE4E-996E1B26BB7B}"/>
    <cellStyle name="Normal 4 6 8" xfId="1623" xr:uid="{DAE36B10-769F-44FE-8BF2-1A285A7F626B}"/>
    <cellStyle name="Normal 4 6 8 2" xfId="3344" xr:uid="{89847DF8-BA42-4989-A599-AD5887E270CD}"/>
    <cellStyle name="Normal 4 6 9" xfId="1843" xr:uid="{672526D4-C331-4D9F-9AC8-1383603CB33B}"/>
    <cellStyle name="Normal 4 7" xfId="103" xr:uid="{DE6CF2B5-5BC7-44BF-8699-EF16C3AE5619}"/>
    <cellStyle name="Normal 4 7 2" xfId="349" xr:uid="{EF9530BD-2071-4A12-9135-6495AB126311}"/>
    <cellStyle name="Normal 4 7 2 2" xfId="2048" xr:uid="{7C2BF326-3E2F-41CF-8FFF-7BABB9B52266}"/>
    <cellStyle name="Normal 4 7 2 2 2" xfId="3756" xr:uid="{68A944F2-2A04-45FF-9753-451F5AC16409}"/>
    <cellStyle name="Normal 4 7 2 2 2 2" xfId="3996" xr:uid="{CB97D5FA-5008-47C4-B1AD-15BA1B7BD6FB}"/>
    <cellStyle name="Normal 4 7 2 2 2 2 2" xfId="4534" xr:uid="{F7CC55E9-4E62-4578-B7C0-3BF33E7617B0}"/>
    <cellStyle name="Normal 4 7 2 2 2 3" xfId="4265" xr:uid="{4C14CD74-2952-4266-9B29-DF2B81AF5D78}"/>
    <cellStyle name="Normal 4 7 2 2 3" xfId="3876" xr:uid="{5B35D09E-3CF8-4F79-979B-EEAFE6DEEA0C}"/>
    <cellStyle name="Normal 4 7 2 2 3 2" xfId="4385" xr:uid="{BE1957EE-0F31-40C6-A75C-A08340B2B111}"/>
    <cellStyle name="Normal 4 7 2 2 4" xfId="4116" xr:uid="{59FBDA49-3AB6-4057-B31A-3A066C0D3807}"/>
    <cellStyle name="Normal 4 7 2 3" xfId="3709" xr:uid="{CE14E1F0-5380-47F4-90B9-826764EADCC4}"/>
    <cellStyle name="Normal 4 7 2 3 2" xfId="3928" xr:uid="{0B5BA318-899A-4ABC-BFC8-1A456BF5FAB9}"/>
    <cellStyle name="Normal 4 7 2 3 2 2" xfId="4462" xr:uid="{3F496FF7-E4AB-4CAD-85C0-80015AD48E0E}"/>
    <cellStyle name="Normal 4 7 2 3 3" xfId="4193" xr:uid="{AAD66E0E-DAC5-4EB1-A98D-39F9B10C0303}"/>
    <cellStyle name="Normal 4 7 2 4" xfId="3808" xr:uid="{C549CC25-1ADD-4661-9577-E4EA56C1281C}"/>
    <cellStyle name="Normal 4 7 2 4 2" xfId="4317" xr:uid="{4A9447C0-60F8-4CDF-A15D-A4DE0937CFCE}"/>
    <cellStyle name="Normal 4 7 2 5" xfId="4048" xr:uid="{00126F31-3B3A-44C0-B98C-CF84D645E2D5}"/>
    <cellStyle name="Normal 4 7 3" xfId="545" xr:uid="{2270145D-4356-45D5-AFA3-26A048DF3B94}"/>
    <cellStyle name="Normal 4 7 3 2" xfId="2266" xr:uid="{4E49E9DD-9331-4892-9DEF-E80A411CE63E}"/>
    <cellStyle name="Normal 4 7 3 2 2" xfId="3960" xr:uid="{5F687F14-D878-4858-B8EF-6653CF06E1F6}"/>
    <cellStyle name="Normal 4 7 3 2 2 2" xfId="4498" xr:uid="{3A395297-E5C1-4DD7-A7D8-35469A72CEB8}"/>
    <cellStyle name="Normal 4 7 3 2 3" xfId="4229" xr:uid="{5DA8F567-9C8F-4893-A46C-8E8F5F0EB509}"/>
    <cellStyle name="Normal 4 7 3 3" xfId="3840" xr:uid="{6634DD2E-52EB-487E-A98B-9FAC59D39FF8}"/>
    <cellStyle name="Normal 4 7 3 3 2" xfId="4349" xr:uid="{07139531-F27C-44BB-9B90-8BF9F5C27684}"/>
    <cellStyle name="Normal 4 7 3 4" xfId="4080" xr:uid="{3B7DE297-D4A4-452A-8B75-B7463C6356B9}"/>
    <cellStyle name="Normal 4 7 4" xfId="763" xr:uid="{A232D6CF-72CB-4AFA-817F-7F103A6023C1}"/>
    <cellStyle name="Normal 4 7 4 2" xfId="2484" xr:uid="{5C380092-9A6D-41DC-B70E-BB881B6D6BE5}"/>
    <cellStyle name="Normal 4 7 4 2 2" xfId="4426" xr:uid="{DD94BDD4-A4C2-41C2-AAB5-828FE40DA586}"/>
    <cellStyle name="Normal 4 7 4 3" xfId="4157" xr:uid="{D3F94DF5-F95C-4CAF-8394-1656F8B10982}"/>
    <cellStyle name="Normal 4 7 5" xfId="981" xr:uid="{004A80EF-27B3-4CF0-A54A-FB394E9B8BCE}"/>
    <cellStyle name="Normal 4 7 5 2" xfId="2702" xr:uid="{F1C58F82-940D-410B-9E76-0AEF159824C0}"/>
    <cellStyle name="Normal 4 7 6" xfId="1199" xr:uid="{BB20B89E-A3F7-4E63-B54F-668207E975C3}"/>
    <cellStyle name="Normal 4 7 6 2" xfId="2920" xr:uid="{083C4AB0-3717-47AF-96A4-45D2BC965DD1}"/>
    <cellStyle name="Normal 4 7 7" xfId="1417" xr:uid="{BDC8CF99-3DDC-478A-A49C-A80CF7B6C1F3}"/>
    <cellStyle name="Normal 4 7 7 2" xfId="3138" xr:uid="{C86AA516-2324-4EA1-83D1-CD3E9F36589F}"/>
    <cellStyle name="Normal 4 7 8" xfId="1636" xr:uid="{5270777A-C08B-4DCC-B414-DCFD2EB43082}"/>
    <cellStyle name="Normal 4 7 8 2" xfId="3357" xr:uid="{7D1D24AA-5103-4B93-96C1-6810F895B5AF}"/>
    <cellStyle name="Normal 4 7 9" xfId="1856" xr:uid="{187E5FC0-B706-4CDB-BC7E-72E59801ECC2}"/>
    <cellStyle name="Normal 4 8" xfId="116" xr:uid="{65EB96E8-FCC1-4A9F-9155-FC5903EF1E61}"/>
    <cellStyle name="Normal 4 8 2" xfId="362" xr:uid="{42D5A5AD-D5AD-4C2C-8399-10A74B771584}"/>
    <cellStyle name="Normal 4 8 2 2" xfId="2061" xr:uid="{7472436A-3EDB-4C19-93AB-08289B339231}"/>
    <cellStyle name="Normal 4 8 2 2 2" xfId="3978" xr:uid="{C6090450-7AA8-4468-8ED6-3320CD490231}"/>
    <cellStyle name="Normal 4 8 2 2 2 2" xfId="4516" xr:uid="{5EB4E933-01E9-47CF-B4CE-9824E8119C1D}"/>
    <cellStyle name="Normal 4 8 2 2 3" xfId="4247" xr:uid="{5D343F06-4617-499A-81DD-5E92541C8A31}"/>
    <cellStyle name="Normal 4 8 2 3" xfId="3858" xr:uid="{5B070CA2-31CA-4FAA-BD34-59DA319B3885}"/>
    <cellStyle name="Normal 4 8 2 3 2" xfId="4367" xr:uid="{2D9235AE-26CD-46B8-AD04-C0BA7E3812EF}"/>
    <cellStyle name="Normal 4 8 2 4" xfId="4098" xr:uid="{DC241E2C-D28A-4514-A70A-AD57763BB895}"/>
    <cellStyle name="Normal 4 8 3" xfId="558" xr:uid="{1850B247-E136-4C3A-AFBA-24B471AE604D}"/>
    <cellStyle name="Normal 4 8 3 2" xfId="2279" xr:uid="{F320319A-9BC0-4D20-A7F3-E749546E56AC}"/>
    <cellStyle name="Normal 4 8 3 2 2" xfId="4444" xr:uid="{4182BEAF-0A34-47B6-8451-EA0D02F2B5A1}"/>
    <cellStyle name="Normal 4 8 3 3" xfId="4175" xr:uid="{05037B92-44B2-4174-B8A2-E26D1A680DD8}"/>
    <cellStyle name="Normal 4 8 4" xfId="776" xr:uid="{2AC57496-6B59-492F-A195-5B9C038E1131}"/>
    <cellStyle name="Normal 4 8 4 2" xfId="2497" xr:uid="{E55A8909-8A94-44E3-BEFA-46B613C17578}"/>
    <cellStyle name="Normal 4 8 5" xfId="994" xr:uid="{BBD0AA1B-3CDB-41EC-B3E0-E78F5BC820E2}"/>
    <cellStyle name="Normal 4 8 5 2" xfId="2715" xr:uid="{362913B9-2594-4071-AB3B-D1454C73DF1B}"/>
    <cellStyle name="Normal 4 8 6" xfId="1212" xr:uid="{A2A651E7-3691-4E2B-A6E9-15B581CDA838}"/>
    <cellStyle name="Normal 4 8 6 2" xfId="2933" xr:uid="{2C90CF56-136B-48C2-A148-4FDE31F61F67}"/>
    <cellStyle name="Normal 4 8 7" xfId="1430" xr:uid="{317479E0-0D72-40E4-8316-4FFA4D3B3EC4}"/>
    <cellStyle name="Normal 4 8 7 2" xfId="3151" xr:uid="{77756392-6668-4A9F-90E8-9955DB3770C6}"/>
    <cellStyle name="Normal 4 8 8" xfId="1649" xr:uid="{FD0DE70D-4417-48B4-9D75-0890519CB93D}"/>
    <cellStyle name="Normal 4 8 8 2" xfId="3370" xr:uid="{DC73E003-70FD-424D-A25C-7040A1373757}"/>
    <cellStyle name="Normal 4 8 9" xfId="1869" xr:uid="{89DD7D47-4D5D-4C44-9A56-3A809DD4A9D3}"/>
    <cellStyle name="Normal 4 9" xfId="129" xr:uid="{1F8C2DB5-3722-4EF2-ABC6-7ABBE8BEC276}"/>
    <cellStyle name="Normal 4 9 2" xfId="375" xr:uid="{F36A4886-06DF-4557-973F-F86BB23FE60B}"/>
    <cellStyle name="Normal 4 9 2 2" xfId="2074" xr:uid="{78ECBD6C-517A-4FA5-A9B1-B33B05E4CC72}"/>
    <cellStyle name="Normal 4 9 2 2 2" xfId="4480" xr:uid="{A1C7BE2D-F136-4C7B-B6AC-5F007F18EA7E}"/>
    <cellStyle name="Normal 4 9 2 3" xfId="4211" xr:uid="{32390AD3-8C61-448D-BB66-181BC721F0AD}"/>
    <cellStyle name="Normal 4 9 3" xfId="571" xr:uid="{EB8E80A9-CD3F-4B19-890C-BB0C3CCD6796}"/>
    <cellStyle name="Normal 4 9 3 2" xfId="2292" xr:uid="{4FFA42D3-5323-4555-B4DD-6AD1F3928DEB}"/>
    <cellStyle name="Normal 4 9 4" xfId="789" xr:uid="{5F93C9DF-EC3A-4B28-93DB-A8BAD0972490}"/>
    <cellStyle name="Normal 4 9 4 2" xfId="2510" xr:uid="{CD8F6932-B2BE-4196-B219-62ADDAC0E2B8}"/>
    <cellStyle name="Normal 4 9 5" xfId="1007" xr:uid="{BCE80A5F-A37E-4074-88D5-3A7FD4B4D6F9}"/>
    <cellStyle name="Normal 4 9 5 2" xfId="2728" xr:uid="{AFF5A352-E56A-498F-A29B-B8BBFB3E6035}"/>
    <cellStyle name="Normal 4 9 6" xfId="1225" xr:uid="{808D0412-FCF9-4D6B-85F4-686F5617DBF0}"/>
    <cellStyle name="Normal 4 9 6 2" xfId="2946" xr:uid="{119E9E81-2AE0-4A8C-ADDC-BA6419B27E44}"/>
    <cellStyle name="Normal 4 9 7" xfId="1443" xr:uid="{554A5590-A8E6-4BAE-AC1F-5CFC36578EA8}"/>
    <cellStyle name="Normal 4 9 7 2" xfId="3164" xr:uid="{63ED0486-7526-4CC7-9F64-057CF844EB16}"/>
    <cellStyle name="Normal 4 9 8" xfId="1662" xr:uid="{82159C99-5F52-4368-A5BA-05D09759923F}"/>
    <cellStyle name="Normal 4 9 8 2" xfId="3383" xr:uid="{76F9208B-5A9E-4447-A059-917736C3F434}"/>
    <cellStyle name="Normal 4 9 9" xfId="1882" xr:uid="{89FD72A7-F454-41AF-9DA3-AAF5C6B937AB}"/>
    <cellStyle name="Normal 5" xfId="44" xr:uid="{9134E9A6-A559-44E3-A4C3-8E495A64DC50}"/>
    <cellStyle name="Normal 5 10" xfId="178" xr:uid="{673112B0-8FBB-4894-B26A-A8BC67D739DA}"/>
    <cellStyle name="Normal 5 10 2" xfId="424" xr:uid="{137FA8EA-7C37-43B7-BE86-B455DBBC0BFB}"/>
    <cellStyle name="Normal 5 10 2 2" xfId="2123" xr:uid="{664398A3-234F-4FD2-B74F-BEC3F8BC98D3}"/>
    <cellStyle name="Normal 5 10 3" xfId="620" xr:uid="{A4F13517-CCC5-48A6-BA37-CBE36FBBD8A2}"/>
    <cellStyle name="Normal 5 10 3 2" xfId="2341" xr:uid="{0C20716E-A262-4C07-9CB0-2705D12E4BB9}"/>
    <cellStyle name="Normal 5 10 4" xfId="838" xr:uid="{EF1C55E1-383F-4CDF-992C-E86BC0ABADB8}"/>
    <cellStyle name="Normal 5 10 4 2" xfId="2559" xr:uid="{7254CC26-A9AA-43EB-9AF8-19FA55F39166}"/>
    <cellStyle name="Normal 5 10 5" xfId="1056" xr:uid="{3C634ED0-F8B4-4436-8604-BD501E017B80}"/>
    <cellStyle name="Normal 5 10 5 2" xfId="2777" xr:uid="{81EE912B-A4DE-46EF-9B33-023EE2522CEB}"/>
    <cellStyle name="Normal 5 10 6" xfId="1274" xr:uid="{F54122E8-E577-4B4B-BE31-7984FFC9A47C}"/>
    <cellStyle name="Normal 5 10 6 2" xfId="2995" xr:uid="{AE6A2F21-84AA-4511-88E3-A1E452A528E6}"/>
    <cellStyle name="Normal 5 10 7" xfId="1492" xr:uid="{295B54BA-C393-4C51-9E2B-E28462CDC4A4}"/>
    <cellStyle name="Normal 5 10 7 2" xfId="3213" xr:uid="{0D17985C-CF1C-420A-970D-41E802800696}"/>
    <cellStyle name="Normal 5 10 8" xfId="1711" xr:uid="{307BFD35-0CC5-4961-AA3D-A95FE1CB8A91}"/>
    <cellStyle name="Normal 5 10 8 2" xfId="3432" xr:uid="{D5F5DAC0-767E-4BE3-A717-FB80FA8659CC}"/>
    <cellStyle name="Normal 5 10 9" xfId="1931" xr:uid="{89FF9989-C965-4F59-B98B-8439CB13EBAF}"/>
    <cellStyle name="Normal 5 11" xfId="191" xr:uid="{DBCC4F9C-DA4F-40FB-8BBE-230758B701B5}"/>
    <cellStyle name="Normal 5 11 2" xfId="437" xr:uid="{11B7CA89-DD8B-49A6-81C3-F594A69BD35D}"/>
    <cellStyle name="Normal 5 11 2 2" xfId="2136" xr:uid="{78F89D26-A5D1-4136-9859-11BDD609375D}"/>
    <cellStyle name="Normal 5 11 3" xfId="633" xr:uid="{3005707D-C7DE-4EC3-BA99-7492C7B71664}"/>
    <cellStyle name="Normal 5 11 3 2" xfId="2354" xr:uid="{08633C4B-E24C-434E-BDE4-591360D114A0}"/>
    <cellStyle name="Normal 5 11 4" xfId="851" xr:uid="{A102613B-FB51-40F0-97C8-CE51832FE5C4}"/>
    <cellStyle name="Normal 5 11 4 2" xfId="2572" xr:uid="{D7C7AA47-5492-4EA5-8237-D4A24B9F8D72}"/>
    <cellStyle name="Normal 5 11 5" xfId="1069" xr:uid="{35DEA13F-7A7C-4D22-BA35-CA67C2F97B26}"/>
    <cellStyle name="Normal 5 11 5 2" xfId="2790" xr:uid="{4C57F544-184C-4AF5-9435-952F3F71E8CE}"/>
    <cellStyle name="Normal 5 11 6" xfId="1287" xr:uid="{5681C68B-0261-4B71-92AB-FAB867FED5BA}"/>
    <cellStyle name="Normal 5 11 6 2" xfId="3008" xr:uid="{51208F33-CDB6-43A6-B828-942A612B3875}"/>
    <cellStyle name="Normal 5 11 7" xfId="1505" xr:uid="{E9C1415C-B398-415A-A9A4-555649F7702D}"/>
    <cellStyle name="Normal 5 11 7 2" xfId="3226" xr:uid="{F0FE20B3-136F-4162-AEEF-E7B0C8C17100}"/>
    <cellStyle name="Normal 5 11 8" xfId="1724" xr:uid="{D2E4F851-BC79-42CF-9152-F2D9C16CFE75}"/>
    <cellStyle name="Normal 5 11 8 2" xfId="3445" xr:uid="{3EEEE0B6-7A15-4F04-BCF8-BB1EDA63D319}"/>
    <cellStyle name="Normal 5 11 9" xfId="1944" xr:uid="{C433F75E-6943-461A-9D9B-F0CC59D89D59}"/>
    <cellStyle name="Normal 5 12" xfId="204" xr:uid="{875E529D-A723-4471-9ECD-04A44D3BD844}"/>
    <cellStyle name="Normal 5 12 2" xfId="450" xr:uid="{D31A5D6F-9B40-4E34-ACA0-6B22E1E9577D}"/>
    <cellStyle name="Normal 5 12 2 2" xfId="2149" xr:uid="{6AD3BA89-970D-4292-B96C-08F11848ED74}"/>
    <cellStyle name="Normal 5 12 3" xfId="646" xr:uid="{D28705F5-0429-405F-8CD3-837298DA3766}"/>
    <cellStyle name="Normal 5 12 3 2" xfId="2367" xr:uid="{08F866A7-C96C-413C-BAC8-21A612465F45}"/>
    <cellStyle name="Normal 5 12 4" xfId="864" xr:uid="{E4113466-8E7A-4010-93F1-454CA7CE12CF}"/>
    <cellStyle name="Normal 5 12 4 2" xfId="2585" xr:uid="{2895479B-4DB5-4281-A732-6EA3A753C229}"/>
    <cellStyle name="Normal 5 12 5" xfId="1082" xr:uid="{BD44AF38-2D14-43BD-919A-F819C2521E2D}"/>
    <cellStyle name="Normal 5 12 5 2" xfId="2803" xr:uid="{7EA82E01-24F8-4D1A-B271-152B73BAB7B2}"/>
    <cellStyle name="Normal 5 12 6" xfId="1300" xr:uid="{7070272B-577C-42B6-B860-F5A667E719BA}"/>
    <cellStyle name="Normal 5 12 6 2" xfId="3021" xr:uid="{B114FD90-057B-4398-AF6C-43AF457A15AD}"/>
    <cellStyle name="Normal 5 12 7" xfId="1518" xr:uid="{663486E1-6C53-4EB9-B7EA-84164262C752}"/>
    <cellStyle name="Normal 5 12 7 2" xfId="3239" xr:uid="{A0DBAB1C-4EE4-448B-BE40-546BA4021E0C}"/>
    <cellStyle name="Normal 5 12 8" xfId="1737" xr:uid="{B48F1421-C629-4B02-B11C-1B3FD7FD0B27}"/>
    <cellStyle name="Normal 5 12 8 2" xfId="3458" xr:uid="{F9DDECE6-0CB7-4B10-B66D-397CE4FA1710}"/>
    <cellStyle name="Normal 5 12 9" xfId="1957" xr:uid="{744C6426-9269-498A-BA45-3B0399D52072}"/>
    <cellStyle name="Normal 5 13" xfId="211" xr:uid="{2175EF34-4779-4CEC-9437-41368A93839B}"/>
    <cellStyle name="Normal 5 13 2" xfId="455" xr:uid="{D09A66D6-E7BE-4590-B35A-D9AA6AFD7A4D}"/>
    <cellStyle name="Normal 5 13 2 2" xfId="2154" xr:uid="{CC17CE8F-D7FB-4261-AFA5-471716713B06}"/>
    <cellStyle name="Normal 5 13 3" xfId="651" xr:uid="{97CE2FA1-03D3-43DB-B8FA-88D2AE7AB29B}"/>
    <cellStyle name="Normal 5 13 3 2" xfId="2372" xr:uid="{03F2A376-5106-4714-974D-8CCBB254C890}"/>
    <cellStyle name="Normal 5 13 4" xfId="869" xr:uid="{BF4BB0F2-FAEC-4FAA-80E5-E47D79376E9F}"/>
    <cellStyle name="Normal 5 13 4 2" xfId="2590" xr:uid="{4A02F1CF-C157-4868-8900-EE147935E0C2}"/>
    <cellStyle name="Normal 5 13 5" xfId="1087" xr:uid="{8709C020-FB6C-4979-8892-4663BF3E3C20}"/>
    <cellStyle name="Normal 5 13 5 2" xfId="2808" xr:uid="{D0F73E35-0554-4E54-8175-C895DA965834}"/>
    <cellStyle name="Normal 5 13 6" xfId="1305" xr:uid="{C3F5C6DB-665F-4982-A391-E804DA507E0F}"/>
    <cellStyle name="Normal 5 13 6 2" xfId="3026" xr:uid="{F9327B1C-F131-4E2E-AD25-490D6E80BA2B}"/>
    <cellStyle name="Normal 5 13 7" xfId="1523" xr:uid="{F9512408-5BE2-4D93-A056-38FABEF12D7C}"/>
    <cellStyle name="Normal 5 13 7 2" xfId="3244" xr:uid="{8F72C35B-91EC-4077-BB21-FBC0C2630957}"/>
    <cellStyle name="Normal 5 13 8" xfId="1742" xr:uid="{64D5D04C-2A44-480A-823E-1860B0953E03}"/>
    <cellStyle name="Normal 5 13 8 2" xfId="3463" xr:uid="{70A48912-8B7D-47AE-B808-0CA7EFE0B2FF}"/>
    <cellStyle name="Normal 5 13 9" xfId="1962" xr:uid="{716ADA7D-679E-4522-B102-D44388DDBAD5}"/>
    <cellStyle name="Normal 5 14" xfId="229" xr:uid="{B4D013D7-F388-482A-B7A8-428DD7F0FD67}"/>
    <cellStyle name="Normal 5 14 2" xfId="473" xr:uid="{0FD0A5A9-D539-4024-AB8A-FDA9189E8337}"/>
    <cellStyle name="Normal 5 14 2 2" xfId="2172" xr:uid="{3383A672-1788-4F5F-B983-04FC69947A20}"/>
    <cellStyle name="Normal 5 14 3" xfId="669" xr:uid="{372E6829-FD7F-4DCC-A690-61A49056CE38}"/>
    <cellStyle name="Normal 5 14 3 2" xfId="2390" xr:uid="{CDB6A8D9-B00E-463F-A3A0-DFE9CBB495EC}"/>
    <cellStyle name="Normal 5 14 4" xfId="887" xr:uid="{EF3311F2-7A2F-4B36-AC2D-373575C1A67D}"/>
    <cellStyle name="Normal 5 14 4 2" xfId="2608" xr:uid="{328E8EA4-42E4-4586-A38E-FDC2418A364F}"/>
    <cellStyle name="Normal 5 14 5" xfId="1105" xr:uid="{836D7E35-F3BD-4A6A-87A7-2B1FA123CE90}"/>
    <cellStyle name="Normal 5 14 5 2" xfId="2826" xr:uid="{944532EE-ACE2-49C0-9F02-6463F3D92808}"/>
    <cellStyle name="Normal 5 14 6" xfId="1323" xr:uid="{0B5BA7E3-ECF5-4AC4-86AC-919021FDFF09}"/>
    <cellStyle name="Normal 5 14 6 2" xfId="3044" xr:uid="{BFD14EF0-5FBB-42A7-AA43-D922346FE0D6}"/>
    <cellStyle name="Normal 5 14 7" xfId="1541" xr:uid="{13F0DFAA-BD61-4B88-B55E-F252262C1550}"/>
    <cellStyle name="Normal 5 14 7 2" xfId="3262" xr:uid="{E9202A32-F421-407E-80CD-0187B451DD49}"/>
    <cellStyle name="Normal 5 14 8" xfId="1760" xr:uid="{2D689247-984E-4987-81AD-3E49DE9E4398}"/>
    <cellStyle name="Normal 5 14 8 2" xfId="3481" xr:uid="{40A2E50E-2296-4965-B526-0D16D6A0D3E3}"/>
    <cellStyle name="Normal 5 14 9" xfId="1980" xr:uid="{1D8EE9BA-8A40-49C5-B08B-7C11F5D016CC}"/>
    <cellStyle name="Normal 5 15" xfId="242" xr:uid="{A580D5AB-CF73-46EB-B1E9-6AB6CD75A887}"/>
    <cellStyle name="Normal 5 15 2" xfId="486" xr:uid="{B940EC20-FB41-430B-8CEE-07D9B6D98EF9}"/>
    <cellStyle name="Normal 5 15 2 2" xfId="2185" xr:uid="{E695EDEE-48AC-4466-822A-80DB1C8C22BC}"/>
    <cellStyle name="Normal 5 15 3" xfId="682" xr:uid="{63DFC8A9-CF54-474A-B30D-9FAD2F5CC616}"/>
    <cellStyle name="Normal 5 15 3 2" xfId="2403" xr:uid="{4D91E9F8-237A-48A5-A874-0BFC0745D060}"/>
    <cellStyle name="Normal 5 15 4" xfId="900" xr:uid="{0781E1B5-1578-4B25-8C96-9EF28F560701}"/>
    <cellStyle name="Normal 5 15 4 2" xfId="2621" xr:uid="{72ED79B8-BD04-48FB-B09D-959F56368F77}"/>
    <cellStyle name="Normal 5 15 5" xfId="1118" xr:uid="{C530D145-1811-4845-95C8-DA48C6351816}"/>
    <cellStyle name="Normal 5 15 5 2" xfId="2839" xr:uid="{4C0EAE3C-CB91-454A-BFA6-13E9D569EE8C}"/>
    <cellStyle name="Normal 5 15 6" xfId="1336" xr:uid="{13DE3CA5-7F0B-455C-9411-E6C3B0DECC4A}"/>
    <cellStyle name="Normal 5 15 6 2" xfId="3057" xr:uid="{82CCACD3-9E82-42CD-90ED-47146F193B78}"/>
    <cellStyle name="Normal 5 15 7" xfId="1554" xr:uid="{0AA899AC-2230-4651-B4E5-E58D84D9626A}"/>
    <cellStyle name="Normal 5 15 7 2" xfId="3275" xr:uid="{1EED3CB2-22BA-4870-8E3A-99E9CBB6D54F}"/>
    <cellStyle name="Normal 5 15 8" xfId="1773" xr:uid="{CCDF58AA-2FA8-492F-A9EF-9B53BA81664F}"/>
    <cellStyle name="Normal 5 15 8 2" xfId="3494" xr:uid="{DBD55D90-BC87-4A56-AB8A-4E0EEF9E6885}"/>
    <cellStyle name="Normal 5 15 9" xfId="1993" xr:uid="{9354ADCD-A5B2-4EF4-AF34-136A65981EA2}"/>
    <cellStyle name="Normal 5 16" xfId="255" xr:uid="{502BC1B3-34FE-4275-999A-8CFF8ABC0AEB}"/>
    <cellStyle name="Normal 5 16 2" xfId="695" xr:uid="{68284774-41B8-43BE-BE80-477EAF408125}"/>
    <cellStyle name="Normal 5 16 2 2" xfId="2416" xr:uid="{0A2B64C4-18B9-4742-B9B8-404BC969C290}"/>
    <cellStyle name="Normal 5 16 3" xfId="913" xr:uid="{6DA2EA32-2B1C-40EA-964C-45F105F2C26B}"/>
    <cellStyle name="Normal 5 16 3 2" xfId="2634" xr:uid="{9D51A72A-5638-458F-A632-B89B44B4E825}"/>
    <cellStyle name="Normal 5 16 4" xfId="1131" xr:uid="{726F892B-9475-40B2-8D2B-DC69390CFD4A}"/>
    <cellStyle name="Normal 5 16 4 2" xfId="2852" xr:uid="{4130E977-1DC4-46EA-A8FA-7199FE254CEF}"/>
    <cellStyle name="Normal 5 16 5" xfId="1349" xr:uid="{8E6D25B1-1C16-4BED-82F9-EEC97020511B}"/>
    <cellStyle name="Normal 5 16 5 2" xfId="3070" xr:uid="{9C4E8633-E980-4054-913B-B7704352B3E0}"/>
    <cellStyle name="Normal 5 16 6" xfId="1567" xr:uid="{8D83FEF2-875D-4551-B9D6-06F644415D0B}"/>
    <cellStyle name="Normal 5 16 6 2" xfId="3288" xr:uid="{7BFF9881-785C-49CE-AB36-BE90318579D1}"/>
    <cellStyle name="Normal 5 16 7" xfId="1786" xr:uid="{6774F948-B6F7-4B63-9863-617BD73D1301}"/>
    <cellStyle name="Normal 5 16 7 2" xfId="3507" xr:uid="{BC3562B0-5C89-4B9A-BB69-1DE07B1EB30F}"/>
    <cellStyle name="Normal 5 16 8" xfId="2198" xr:uid="{B5EBAE0B-D678-43F2-9813-ADBD10B6808F}"/>
    <cellStyle name="Normal 5 17" xfId="268" xr:uid="{9DB18AFB-6019-4EF1-9FBD-21A24BCBFD40}"/>
    <cellStyle name="Normal 5 17 2" xfId="708" xr:uid="{6C94FE11-8942-4EFF-8722-C11F13356682}"/>
    <cellStyle name="Normal 5 17 2 2" xfId="2429" xr:uid="{56576D3E-E2B9-47FF-8AC3-BD3820590443}"/>
    <cellStyle name="Normal 5 17 3" xfId="926" xr:uid="{EA5A3334-99B9-44EA-ADFE-834485DE53DE}"/>
    <cellStyle name="Normal 5 17 3 2" xfId="2647" xr:uid="{5ABF1DB8-9FB2-4DC4-BB5F-89F7C1133D72}"/>
    <cellStyle name="Normal 5 17 4" xfId="1144" xr:uid="{8CE752AC-EEFC-48D4-BBD0-FAEC26D8D3F2}"/>
    <cellStyle name="Normal 5 17 4 2" xfId="2865" xr:uid="{21B09070-0E64-42C1-A50A-13C192A6F338}"/>
    <cellStyle name="Normal 5 17 5" xfId="1362" xr:uid="{16C27578-FF34-4627-AC2D-E6F111AC131B}"/>
    <cellStyle name="Normal 5 17 5 2" xfId="3083" xr:uid="{605A306D-6A84-4CFA-9AAA-E0DA3513FDEF}"/>
    <cellStyle name="Normal 5 17 6" xfId="1580" xr:uid="{62F07599-B6FB-4A1F-AF0C-431E73A541A9}"/>
    <cellStyle name="Normal 5 17 6 2" xfId="3301" xr:uid="{58D5A529-0863-43FD-9A3D-E3B6EC9CFADD}"/>
    <cellStyle name="Normal 5 17 7" xfId="1799" xr:uid="{F03853FB-1567-46AA-A861-C2E0F9CE03B4}"/>
    <cellStyle name="Normal 5 17 7 2" xfId="3520" xr:uid="{540AFE6F-70BA-44E2-9A42-0FD0D7E4EEE0}"/>
    <cellStyle name="Normal 5 17 8" xfId="2211" xr:uid="{4CD95BC5-9F43-47EC-8C17-4B9037E9B9FB}"/>
    <cellStyle name="Normal 5 18" xfId="61" xr:uid="{92900543-7B0E-40B2-BB83-A3AB86803DAD}"/>
    <cellStyle name="Normal 5 18 2" xfId="2006" xr:uid="{E88EBE77-C2FF-4AB2-85E1-148B5269DA5E}"/>
    <cellStyle name="Normal 5 19" xfId="503" xr:uid="{1D9E51D1-92BB-40FF-87D1-4764743E887E}"/>
    <cellStyle name="Normal 5 19 2" xfId="2224" xr:uid="{1003BABF-815A-4502-A367-0FCC67FE51BD}"/>
    <cellStyle name="Normal 5 2" xfId="74" xr:uid="{8A1B6723-07D9-4937-8BF4-18F09E150235}"/>
    <cellStyle name="Normal 5 2 10" xfId="1827" xr:uid="{471815D9-8171-4F4F-A1C7-D99AE13F574B}"/>
    <cellStyle name="Normal 5 2 11" xfId="276" xr:uid="{398DA9D7-0106-42AA-AF4F-40AB24951B95}"/>
    <cellStyle name="Normal 5 2 2" xfId="216" xr:uid="{549CA361-2D36-43BB-AEF9-172135EB83F2}"/>
    <cellStyle name="Normal 5 2 2 2" xfId="460" xr:uid="{34977577-657E-461B-983A-0ED0A8FCF0F2}"/>
    <cellStyle name="Normal 5 2 2 2 2" xfId="2159" xr:uid="{52C993C5-8B68-46D0-8BDB-4436DC8B036A}"/>
    <cellStyle name="Normal 5 2 2 3" xfId="656" xr:uid="{C881697C-D6F0-435C-8CB9-E6302A55F37B}"/>
    <cellStyle name="Normal 5 2 2 3 2" xfId="2377" xr:uid="{7CC57616-668F-45C3-B71B-CB9172249443}"/>
    <cellStyle name="Normal 5 2 2 4" xfId="874" xr:uid="{43AC0BAB-6B3F-4C55-AC56-06AF93495A14}"/>
    <cellStyle name="Normal 5 2 2 4 2" xfId="2595" xr:uid="{5CC66156-44D2-49A0-ABCC-B00EE72C131E}"/>
    <cellStyle name="Normal 5 2 2 5" xfId="1092" xr:uid="{7A59D9A5-70B1-418F-A9AB-AC91204F7209}"/>
    <cellStyle name="Normal 5 2 2 5 2" xfId="2813" xr:uid="{AE3C8F80-3CFC-4B3D-BE45-918DF68138D4}"/>
    <cellStyle name="Normal 5 2 2 6" xfId="1310" xr:uid="{F37FC1BB-DE55-46AA-B3EC-DC033F726463}"/>
    <cellStyle name="Normal 5 2 2 6 2" xfId="3031" xr:uid="{5AD5A6F4-2329-4F27-9D47-BAC5684A6D1E}"/>
    <cellStyle name="Normal 5 2 2 7" xfId="1528" xr:uid="{E09FCFC9-C73C-4D7D-8C8F-1C7B9B96B878}"/>
    <cellStyle name="Normal 5 2 2 7 2" xfId="3249" xr:uid="{6D2E0BD9-ADB4-42D0-94DB-A6EBC5199ACB}"/>
    <cellStyle name="Normal 5 2 2 8" xfId="1747" xr:uid="{8C964874-32B3-4BEF-9142-B8712D930363}"/>
    <cellStyle name="Normal 5 2 2 8 2" xfId="3468" xr:uid="{CB065139-DB5A-4C60-8FEA-1FFC6D1A4806}"/>
    <cellStyle name="Normal 5 2 2 9" xfId="1967" xr:uid="{4DA10070-CF13-4360-B7E8-F722AAA9AC70}"/>
    <cellStyle name="Normal 5 2 3" xfId="320" xr:uid="{9581B95F-FE98-4444-AE96-AE8E6461E323}"/>
    <cellStyle name="Normal 5 2 3 2" xfId="2019" xr:uid="{14A1E54B-C319-4903-9090-A605C8B2BF28}"/>
    <cellStyle name="Normal 5 2 4" xfId="516" xr:uid="{40F12D7D-4645-425D-B800-3162928F30A4}"/>
    <cellStyle name="Normal 5 2 4 2" xfId="2237" xr:uid="{C85A3048-70A2-42E0-BAEE-870189E9864D}"/>
    <cellStyle name="Normal 5 2 5" xfId="734" xr:uid="{CC333193-4DE4-461C-89FD-23BFC2B08A1D}"/>
    <cellStyle name="Normal 5 2 5 2" xfId="2455" xr:uid="{74BCBEA6-E48B-42F4-B061-96B91516EF96}"/>
    <cellStyle name="Normal 5 2 6" xfId="952" xr:uid="{655F21E2-D303-4FB8-BD2C-3D9AF46219AE}"/>
    <cellStyle name="Normal 5 2 6 2" xfId="2673" xr:uid="{A599F227-8004-4DC2-969F-7E6570E79E76}"/>
    <cellStyle name="Normal 5 2 7" xfId="1170" xr:uid="{A4728DED-9125-49AB-A107-9AC5AA427028}"/>
    <cellStyle name="Normal 5 2 7 2" xfId="2891" xr:uid="{A5E3FC98-64B8-4B28-9240-D3C2BAB1C440}"/>
    <cellStyle name="Normal 5 2 8" xfId="1388" xr:uid="{E8D4E718-F509-458B-8871-FE32816ADED9}"/>
    <cellStyle name="Normal 5 2 8 2" xfId="3109" xr:uid="{77DE9E5E-2430-444F-A9F2-D192A7A7A994}"/>
    <cellStyle name="Normal 5 2 9" xfId="1607" xr:uid="{46692944-0C63-41C4-A8D6-5874E93C0EB9}"/>
    <cellStyle name="Normal 5 2 9 2" xfId="3328" xr:uid="{67F03132-8EAA-4713-804D-A61EA5014725}"/>
    <cellStyle name="Normal 5 20" xfId="721" xr:uid="{B8138CB3-4B46-4BC1-B4BE-40B01FAAC926}"/>
    <cellStyle name="Normal 5 20 2" xfId="2442" xr:uid="{D50BFE60-7F41-40A8-8F37-BAE14A44E989}"/>
    <cellStyle name="Normal 5 21" xfId="939" xr:uid="{6578DE2E-76A7-48B0-8BF6-DA225B26D6F8}"/>
    <cellStyle name="Normal 5 21 2" xfId="2660" xr:uid="{BBFAC413-AD13-494F-83EB-FF5EADDFD39E}"/>
    <cellStyle name="Normal 5 22" xfId="1157" xr:uid="{AAD1B4B9-F57E-4105-BB98-FEA7F4B61345}"/>
    <cellStyle name="Normal 5 22 2" xfId="2878" xr:uid="{111AB5EC-969E-40DD-A051-7E824C41D3E8}"/>
    <cellStyle name="Normal 5 23" xfId="1375" xr:uid="{47303080-7F16-46BB-AF9B-AE2AA93E8DD8}"/>
    <cellStyle name="Normal 5 23 2" xfId="3096" xr:uid="{332BE86E-4FA2-4FA9-AE6E-7C1C45BAAE34}"/>
    <cellStyle name="Normal 5 24" xfId="1594" xr:uid="{D40E9F83-73D9-4E5C-90FB-052F0A30E961}"/>
    <cellStyle name="Normal 5 24 2" xfId="3315" xr:uid="{5F0AC84C-C370-46B9-917B-801DEA127979}"/>
    <cellStyle name="Normal 5 25" xfId="1814" xr:uid="{89813284-FDBE-463F-A447-1BFFFAEA3CB8}"/>
    <cellStyle name="Normal 5 3" xfId="87" xr:uid="{7AD199FF-C3D8-4AD5-9F16-353FA9EF0F84}"/>
    <cellStyle name="Normal 5 3 10" xfId="283" xr:uid="{94CF3CBC-F133-4CA3-A1FF-00AFAA4D084E}"/>
    <cellStyle name="Normal 5 3 2" xfId="333" xr:uid="{D0A18EE3-85ED-4181-B9D5-212F18386FC0}"/>
    <cellStyle name="Normal 5 3 2 2" xfId="2032" xr:uid="{8FD3D4EA-70A5-4D12-98E4-61098877E931}"/>
    <cellStyle name="Normal 5 3 2 3" xfId="3543" xr:uid="{F6DF9F1C-8F61-438C-99F5-854F41C4F6B4}"/>
    <cellStyle name="Normal 5 3 3" xfId="529" xr:uid="{A3DC8B37-293B-4E1F-B868-A4E3042E953A}"/>
    <cellStyle name="Normal 5 3 3 2" xfId="2250" xr:uid="{B9FCCE0F-5D0F-4319-AC56-9262709A925C}"/>
    <cellStyle name="Normal 5 3 4" xfId="747" xr:uid="{B8435696-9824-46A5-8696-55EE5DA591D4}"/>
    <cellStyle name="Normal 5 3 4 2" xfId="2468" xr:uid="{B24A4BFA-A5AD-404F-B32B-9A6BB1732BC1}"/>
    <cellStyle name="Normal 5 3 5" xfId="965" xr:uid="{33967C1B-3617-49B0-A49F-587BD71F4B0F}"/>
    <cellStyle name="Normal 5 3 5 2" xfId="2686" xr:uid="{A308D3A2-9F64-43A8-90AB-BC031392B0EE}"/>
    <cellStyle name="Normal 5 3 6" xfId="1183" xr:uid="{49B2FEA9-C2D1-40B2-99A9-4BA864B05951}"/>
    <cellStyle name="Normal 5 3 6 2" xfId="2904" xr:uid="{5A4C1785-BB8A-4055-997B-F2BA8B4D100F}"/>
    <cellStyle name="Normal 5 3 7" xfId="1401" xr:uid="{86E20BDC-447F-4658-A28C-7A0307E3D187}"/>
    <cellStyle name="Normal 5 3 7 2" xfId="3122" xr:uid="{8E447471-E2A1-4A3E-833B-ED0A1C281428}"/>
    <cellStyle name="Normal 5 3 8" xfId="1620" xr:uid="{8EC77D93-DD2D-445C-93E8-782792DD0A19}"/>
    <cellStyle name="Normal 5 3 8 2" xfId="3341" xr:uid="{F6D61C87-1B53-4BF9-9D05-C07217608CC4}"/>
    <cellStyle name="Normal 5 3 9" xfId="1840" xr:uid="{E27D7CDF-1B31-4F34-B444-E4942F48626A}"/>
    <cellStyle name="Normal 5 4" xfId="100" xr:uid="{B55CC9AD-2F7F-46F4-BBA9-627E92E4E99D}"/>
    <cellStyle name="Normal 5 4 2" xfId="346" xr:uid="{E3B95879-B16E-46B1-BC5A-0D0A7260971F}"/>
    <cellStyle name="Normal 5 4 2 2" xfId="2045" xr:uid="{555FA6EC-BC60-462B-978F-B9062429792F}"/>
    <cellStyle name="Normal 5 4 3" xfId="542" xr:uid="{0C95EBAE-7DF6-41D2-9E76-65393CA20EAD}"/>
    <cellStyle name="Normal 5 4 3 2" xfId="2263" xr:uid="{1E55D250-EEDC-4091-A331-2964F0C50937}"/>
    <cellStyle name="Normal 5 4 4" xfId="760" xr:uid="{ACCC7AB1-C2C8-4C86-B474-70EB7F730CB9}"/>
    <cellStyle name="Normal 5 4 4 2" xfId="2481" xr:uid="{6EAE9920-5D5C-4D85-BD6F-D67BA6C27A22}"/>
    <cellStyle name="Normal 5 4 5" xfId="978" xr:uid="{CACD4AFC-E1A9-4968-A663-DA645790393B}"/>
    <cellStyle name="Normal 5 4 5 2" xfId="2699" xr:uid="{E73C7423-96E9-498E-AABC-855ED692AF91}"/>
    <cellStyle name="Normal 5 4 6" xfId="1196" xr:uid="{F1D4EA6C-80CA-4C48-B7F2-253D89FCBC62}"/>
    <cellStyle name="Normal 5 4 6 2" xfId="2917" xr:uid="{593458E1-7774-429D-9EAA-6E47A6BE3DB3}"/>
    <cellStyle name="Normal 5 4 7" xfId="1414" xr:uid="{BD58CFA5-F8F7-4A9E-847E-39E5D1E291AC}"/>
    <cellStyle name="Normal 5 4 7 2" xfId="3135" xr:uid="{013AA05C-8EFF-4F4A-A33D-1E36BE9EC08C}"/>
    <cellStyle name="Normal 5 4 8" xfId="1633" xr:uid="{E61B61A6-6790-42CB-9B80-9730640349BC}"/>
    <cellStyle name="Normal 5 4 8 2" xfId="3354" xr:uid="{CFAA738B-267C-4FDA-83ED-935868B93444}"/>
    <cellStyle name="Normal 5 4 9" xfId="1853" xr:uid="{D36871B0-799B-45E0-9AAF-4EAA7351A5F7}"/>
    <cellStyle name="Normal 5 5" xfId="113" xr:uid="{4EEBE774-D37F-4B39-9E73-BA329F64048B}"/>
    <cellStyle name="Normal 5 5 2" xfId="359" xr:uid="{EA2CFC17-FCEE-4FD9-AE80-EF8C7A4C0BB8}"/>
    <cellStyle name="Normal 5 5 2 2" xfId="2058" xr:uid="{C4886AF9-CB4E-4BB7-A7AD-73B8DD6AAFEA}"/>
    <cellStyle name="Normal 5 5 3" xfId="555" xr:uid="{F2F6A5B2-4302-4036-9241-2C76F9A6161D}"/>
    <cellStyle name="Normal 5 5 3 2" xfId="2276" xr:uid="{D14825BB-3C1B-4E7C-A570-7E6969EC3BF0}"/>
    <cellStyle name="Normal 5 5 4" xfId="773" xr:uid="{7F972E48-B729-4C70-8FF7-6BA6E3CB558F}"/>
    <cellStyle name="Normal 5 5 4 2" xfId="2494" xr:uid="{D975B773-E4B2-4154-BEC7-08202DC75ECB}"/>
    <cellStyle name="Normal 5 5 5" xfId="991" xr:uid="{3E263C01-9E61-4CE1-94D6-79411A974FA6}"/>
    <cellStyle name="Normal 5 5 5 2" xfId="2712" xr:uid="{018AA2BE-3A35-4928-943F-6D804E925FA4}"/>
    <cellStyle name="Normal 5 5 6" xfId="1209" xr:uid="{83E74E74-D9B1-415F-B617-C27FCE0302D6}"/>
    <cellStyle name="Normal 5 5 6 2" xfId="2930" xr:uid="{6C9CF117-56A4-4E77-9808-99499C8BE197}"/>
    <cellStyle name="Normal 5 5 7" xfId="1427" xr:uid="{D1501CF9-3D0F-4B51-A314-618583AC2934}"/>
    <cellStyle name="Normal 5 5 7 2" xfId="3148" xr:uid="{86156081-2918-41EA-852C-30248D079D6E}"/>
    <cellStyle name="Normal 5 5 8" xfId="1646" xr:uid="{B38AE9C5-E7D0-4B26-B988-38EC9C269508}"/>
    <cellStyle name="Normal 5 5 8 2" xfId="3367" xr:uid="{086E69EC-247D-4CEC-B0D5-FFF8C6FC28DB}"/>
    <cellStyle name="Normal 5 5 9" xfId="1866" xr:uid="{7DF96ABD-19C4-4E6B-921E-2865E89194BE}"/>
    <cellStyle name="Normal 5 6" xfId="126" xr:uid="{EA176E0B-03B9-4D99-BBDB-053B7FEEEC09}"/>
    <cellStyle name="Normal 5 6 2" xfId="372" xr:uid="{09EAB457-5405-432C-8911-75D0FFF95A29}"/>
    <cellStyle name="Normal 5 6 2 2" xfId="2071" xr:uid="{C776C348-A975-488E-AE67-A122AA81FC29}"/>
    <cellStyle name="Normal 5 6 3" xfId="568" xr:uid="{B0EFB29A-C90D-43F9-8E51-20039F5E80A7}"/>
    <cellStyle name="Normal 5 6 3 2" xfId="2289" xr:uid="{536CFA96-B5BA-436A-93DD-C6498EA7D59F}"/>
    <cellStyle name="Normal 5 6 4" xfId="786" xr:uid="{A455FFE0-FEA4-4C84-8D23-3839A0991879}"/>
    <cellStyle name="Normal 5 6 4 2" xfId="2507" xr:uid="{78D1EB6B-07B7-4C8F-BA7F-17F997515791}"/>
    <cellStyle name="Normal 5 6 5" xfId="1004" xr:uid="{EB8E837C-5417-429D-B61A-5AE4719E6CBB}"/>
    <cellStyle name="Normal 5 6 5 2" xfId="2725" xr:uid="{1DCBFD71-1B62-469B-8304-A0EFEE16EBEB}"/>
    <cellStyle name="Normal 5 6 6" xfId="1222" xr:uid="{EDFCE03F-A5E7-4CD9-AA26-E95648C1C376}"/>
    <cellStyle name="Normal 5 6 6 2" xfId="2943" xr:uid="{03BC7A9C-FE59-421E-98D1-5A2DEFA58936}"/>
    <cellStyle name="Normal 5 6 7" xfId="1440" xr:uid="{4DFB825B-FA8E-4514-BDF9-2AE99AD2518E}"/>
    <cellStyle name="Normal 5 6 7 2" xfId="3161" xr:uid="{303ADE36-95F1-497A-9EE0-1F2406978FFA}"/>
    <cellStyle name="Normal 5 6 8" xfId="1659" xr:uid="{3F49F0AE-6390-4923-B90B-C91CD0ADC2F3}"/>
    <cellStyle name="Normal 5 6 8 2" xfId="3380" xr:uid="{ABD38855-AA4B-40E0-8758-2EA3F991AE59}"/>
    <cellStyle name="Normal 5 6 9" xfId="1879" xr:uid="{6933E6C6-1D15-4540-A402-FA04F13C27FD}"/>
    <cellStyle name="Normal 5 7" xfId="139" xr:uid="{7F6F81E5-1859-4207-92C9-3A0E5225A785}"/>
    <cellStyle name="Normal 5 7 2" xfId="385" xr:uid="{607EB9E0-6336-4279-9B56-12CFB6F65B9D}"/>
    <cellStyle name="Normal 5 7 2 2" xfId="2084" xr:uid="{7BDA0262-A1A3-4B36-AD30-935455368A9D}"/>
    <cellStyle name="Normal 5 7 3" xfId="581" xr:uid="{336E764F-D98B-45D5-977B-11510CF05EAD}"/>
    <cellStyle name="Normal 5 7 3 2" xfId="2302" xr:uid="{0177E9C5-5226-4619-AD3E-466C5D934844}"/>
    <cellStyle name="Normal 5 7 4" xfId="799" xr:uid="{BA99FB92-5BCC-450C-93E3-E98B232058CA}"/>
    <cellStyle name="Normal 5 7 4 2" xfId="2520" xr:uid="{4A2AC074-DD54-450D-A925-7CCD73FF63BC}"/>
    <cellStyle name="Normal 5 7 5" xfId="1017" xr:uid="{E657190F-A455-4484-9AA2-EA5206CAC1CA}"/>
    <cellStyle name="Normal 5 7 5 2" xfId="2738" xr:uid="{B33D6EAB-94BE-47C5-B63D-5C641B87A382}"/>
    <cellStyle name="Normal 5 7 6" xfId="1235" xr:uid="{AE6E7D80-F4B7-414A-A2F9-C8D77FCC0ACD}"/>
    <cellStyle name="Normal 5 7 6 2" xfId="2956" xr:uid="{8CD8E34B-3021-467D-B7CB-38147DD8BF4D}"/>
    <cellStyle name="Normal 5 7 7" xfId="1453" xr:uid="{B335280C-0B52-4D9A-9982-652529D19C6C}"/>
    <cellStyle name="Normal 5 7 7 2" xfId="3174" xr:uid="{94E281EC-5E02-4878-B6D0-00954C0FA1CE}"/>
    <cellStyle name="Normal 5 7 8" xfId="1672" xr:uid="{BF102ACC-9660-4709-A6C0-9EF3F66C807C}"/>
    <cellStyle name="Normal 5 7 8 2" xfId="3393" xr:uid="{8ABA1B2F-8CF1-4BE9-8489-144E09EB0BCB}"/>
    <cellStyle name="Normal 5 7 9" xfId="1892" xr:uid="{C75AE853-6689-4525-BBE1-D1BC7B3973D0}"/>
    <cellStyle name="Normal 5 8" xfId="152" xr:uid="{0604F602-FBAF-4FAE-AE69-087C6CDB6C88}"/>
    <cellStyle name="Normal 5 8 2" xfId="398" xr:uid="{1AD16A13-DC58-4A37-B248-CB8B46AD3538}"/>
    <cellStyle name="Normal 5 8 2 2" xfId="2097" xr:uid="{B31353F7-FA27-4FFC-AC16-18272526B5E4}"/>
    <cellStyle name="Normal 5 8 3" xfId="594" xr:uid="{BED8DD0E-61DD-46CA-A089-3B2E6B245322}"/>
    <cellStyle name="Normal 5 8 3 2" xfId="2315" xr:uid="{10ECF6C1-3667-4038-8210-D80A5C4533A9}"/>
    <cellStyle name="Normal 5 8 4" xfId="812" xr:uid="{C783F993-68EB-40C5-BF26-1640274F1925}"/>
    <cellStyle name="Normal 5 8 4 2" xfId="2533" xr:uid="{DFDA552F-9590-4C4D-AF87-38BCD60A91C5}"/>
    <cellStyle name="Normal 5 8 5" xfId="1030" xr:uid="{E2EC3BD6-6525-4438-A619-47824F0D35CC}"/>
    <cellStyle name="Normal 5 8 5 2" xfId="2751" xr:uid="{D0A392FC-4493-45BC-9538-2A56AB5A5254}"/>
    <cellStyle name="Normal 5 8 6" xfId="1248" xr:uid="{AC9CC071-CCE5-4B8C-A121-DF524055482F}"/>
    <cellStyle name="Normal 5 8 6 2" xfId="2969" xr:uid="{B73DC8B6-E3F8-4D80-97DE-DAC8AAACD70D}"/>
    <cellStyle name="Normal 5 8 7" xfId="1466" xr:uid="{453F2142-15A6-45FB-A7D7-5E2E9FE6C711}"/>
    <cellStyle name="Normal 5 8 7 2" xfId="3187" xr:uid="{E8093936-22B3-4D14-A8F2-83E0A5174F6A}"/>
    <cellStyle name="Normal 5 8 8" xfId="1685" xr:uid="{C2EDD2A4-508B-4594-9AAA-D692F1E1018F}"/>
    <cellStyle name="Normal 5 8 8 2" xfId="3406" xr:uid="{36A41D79-4629-403B-AD7F-DE4792C31165}"/>
    <cellStyle name="Normal 5 8 9" xfId="1905" xr:uid="{7835FDBB-0AB3-4618-BF35-255FD86458A8}"/>
    <cellStyle name="Normal 5 9" xfId="165" xr:uid="{AB50DF9A-7ECF-4660-B105-73721B09DFB4}"/>
    <cellStyle name="Normal 5 9 2" xfId="411" xr:uid="{A9308D58-C36A-4D8D-AB73-51568E005916}"/>
    <cellStyle name="Normal 5 9 2 2" xfId="2110" xr:uid="{D077D1C0-FB4C-4CDC-8901-4EAEC8B2B36F}"/>
    <cellStyle name="Normal 5 9 3" xfId="607" xr:uid="{3954DA27-852C-4F52-A984-BA02B64FDD56}"/>
    <cellStyle name="Normal 5 9 3 2" xfId="2328" xr:uid="{3F24EF9C-E483-4B3C-A439-5E5F312F6913}"/>
    <cellStyle name="Normal 5 9 4" xfId="825" xr:uid="{399989E1-2890-40E3-B13B-A37C518E5671}"/>
    <cellStyle name="Normal 5 9 4 2" xfId="2546" xr:uid="{6A5C5F17-DA67-43FE-913C-E1972B977BA5}"/>
    <cellStyle name="Normal 5 9 5" xfId="1043" xr:uid="{88969ECC-398F-4E02-B8B2-3D2C9D0764A6}"/>
    <cellStyle name="Normal 5 9 5 2" xfId="2764" xr:uid="{A3D7579E-FD8A-4B23-A070-CBECCAB3A7AF}"/>
    <cellStyle name="Normal 5 9 6" xfId="1261" xr:uid="{A352B1BB-8476-45BF-9A47-83E8043DB5B1}"/>
    <cellStyle name="Normal 5 9 6 2" xfId="2982" xr:uid="{2394D108-F196-4052-AFE1-C01701104AEE}"/>
    <cellStyle name="Normal 5 9 7" xfId="1479" xr:uid="{8008F80F-4497-44F9-93FF-7483CCEB0295}"/>
    <cellStyle name="Normal 5 9 7 2" xfId="3200" xr:uid="{C923A8AF-502C-4757-8C23-B122E055096C}"/>
    <cellStyle name="Normal 5 9 8" xfId="1698" xr:uid="{4AD14E1C-B9BB-4323-9769-AB570F0A9F1E}"/>
    <cellStyle name="Normal 5 9 8 2" xfId="3419" xr:uid="{E3BB84C8-C9A2-42DF-82FF-826FF6496356}"/>
    <cellStyle name="Normal 5 9 9" xfId="1918" xr:uid="{147AF6CC-81F4-4167-819E-837FC5AB5AED}"/>
    <cellStyle name="Normal 6" xfId="48" xr:uid="{1872A00D-AB75-44A9-895B-C6AF1FE2FF29}"/>
    <cellStyle name="Normal 6 2" xfId="3645" xr:uid="{F669AB40-C061-4791-BEFC-7BD458DE9172}"/>
    <cellStyle name="Normal 6 3" xfId="3644" xr:uid="{A92DB000-07CA-4A11-A9CA-CE463C900D28}"/>
    <cellStyle name="Normal 7" xfId="42" xr:uid="{00000000-0005-0000-0000-00002F000000}"/>
    <cellStyle name="Normal 7 2" xfId="3302" xr:uid="{950D7E52-393B-4359-88BF-F65F43E12AF2}"/>
    <cellStyle name="Normal 7 2 2" xfId="4552" xr:uid="{FB90B350-24D0-435F-8AC1-1834364772A2}"/>
    <cellStyle name="Normal 7 3" xfId="1581" xr:uid="{7A3CE843-C738-49F6-B6A6-4AC0E26A4475}"/>
    <cellStyle name="Normal 8" xfId="50" xr:uid="{00000000-0005-0000-0000-000037000000}"/>
    <cellStyle name="Normal 8 2" xfId="3521" xr:uid="{5F5D0889-23DA-43C4-92E3-0C45852E5CE4}"/>
    <cellStyle name="Normal 8 3" xfId="1800" xr:uid="{028D736F-4C3C-47FC-939B-E069A7D3B4FC}"/>
    <cellStyle name="Normal 9" xfId="1801" xr:uid="{31932935-BF67-4693-A5D5-3058F54BDEAE}"/>
    <cellStyle name="Normal 9 2" xfId="3522" xr:uid="{EDEF06FF-BE74-40C2-A6ED-1D57BEE9A7DC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9">
    <dxf>
      <numFmt numFmtId="1" formatCode="0"/>
    </dxf>
    <dxf>
      <numFmt numFmtId="1" formatCode="0"/>
    </dxf>
    <dxf>
      <numFmt numFmtId="1" formatCode="0"/>
    </dxf>
    <dxf>
      <numFmt numFmtId="25" formatCode="h:mm"/>
    </dxf>
    <dxf>
      <numFmt numFmtId="25" formatCode="h:mm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h: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409]d\-m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5" formatCode="h:mm"/>
    </dxf>
    <dxf>
      <numFmt numFmtId="25" formatCode="h:mm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h: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409]d\-m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25" formatCode="h:mm"/>
    </dxf>
    <dxf>
      <numFmt numFmtId="25" formatCode="h:mm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h: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409]d\-m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5" formatCode="h:mm"/>
    </dxf>
    <dxf>
      <numFmt numFmtId="25" formatCode="h:mm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 outline="0">
        <left/>
        <right/>
        <top/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theme="1"/>
        <family val="2"/>
      </font>
      <numFmt numFmtId="166" formatCode="h: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theme="1"/>
        <family val="2"/>
      </font>
      <numFmt numFmtId="165" formatCode="[$-409]d\-m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1" formatCode="0"/>
    </dxf>
    <dxf>
      <numFmt numFmtId="25" formatCode="h:mm"/>
    </dxf>
    <dxf>
      <numFmt numFmtId="25" formatCode="h:mm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/>
        <right/>
        <top/>
        <bottom style="thin">
          <color rgb="FF8EA9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numFmt numFmtId="166" formatCode="h:mm;@"/>
      <alignment horizontal="center" vertical="bottom" textRotation="0" wrapText="0" indent="0" justifyLastLine="0" shrinkToFit="0" readingOrder="0"/>
    </dxf>
    <dxf>
      <numFmt numFmtId="165" formatCode="[$-409]d\-mmm;@"/>
      <alignment horizontal="center" vertical="bottom" textRotation="0" wrapText="0" indent="0" justifyLastLine="0" shrinkToFit="0" readingOrder="0"/>
    </dxf>
    <dxf>
      <numFmt numFmtId="25" formatCode="h:mm"/>
    </dxf>
    <dxf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h: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409]d\-m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5" formatCode="h:mm"/>
    </dxf>
    <dxf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h: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409]d\-m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5" formatCode="h:mm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5" formatCode="h:mm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1" formatCode="d\-mmm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2B2EB7A-72AB-4A89-9229-30E9D3741138}" name="Table_Azerbaijan12" displayName="Table_Azerbaijan12" ref="A1:H2" totalsRowShown="0">
  <autoFilter ref="A1:H2" xr:uid="{BB7DDAE5-AFAC-46DD-950A-A3B24390C046}"/>
  <tableColumns count="8">
    <tableColumn id="1" xr3:uid="{730C11AC-C700-4E72-9A27-8966E63D2BD4}" name="Date" dataDxfId="68"/>
    <tableColumn id="2" xr3:uid="{BD4183E2-DCC8-4248-8682-EC1C07715369}" name="Time" dataDxfId="67"/>
    <tableColumn id="3" xr3:uid="{32B8922B-1A1E-4C21-B723-DECC14DEAAA6}" name="Sport" dataDxfId="66"/>
    <tableColumn id="4" xr3:uid="{4349C10C-182D-45A3-8E9E-4E0A474F813C}" name="Match" dataDxfId="65"/>
    <tableColumn id="7" xr3:uid="{D11CD7B7-3881-4A54-B5A6-0CF09E4CCA6C}" name="Channel"/>
    <tableColumn id="8" xr3:uid="{77D463ED-C275-41F9-A217-6037AC7FBB08}" name="[ DEVELOPMENT ] - Timestamp" dataDxfId="64">
      <calculatedColumnFormula>(INT(H2) - DATE(1970, 1, 1)) * 86400</calculatedColumnFormula>
    </tableColumn>
    <tableColumn id="9" xr3:uid="{DC15162C-C083-47BA-952B-1DA6DA6B18F6}" name="[ DEVELOPMENT ] - GMT" dataDxfId="63">
      <calculatedColumnFormula>'GMT Glossary'!$B$1</calculatedColumnFormula>
    </tableColumn>
    <tableColumn id="10" xr3:uid="{696970C1-14D0-4E3F-A9EA-6B320EDB46B8}" name="[ DEVELOPMENT ] - GMT Time" dataDxfId="62">
      <calculatedColumnFormula>TEXT(IF(B2&lt;0, A2+1+((B2+($G$2/24))-(INT(B2+($G$2/24)))), A2+(B2+($G$2/24))), "yyyy-mm-dd HH:mm")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3E9A4B-50DA-461B-9D0E-D251E1E47CB2}" name="Table_Kyrgyzstan" displayName="Table_Kyrgyzstan" ref="A1:I165" totalsRowShown="0">
  <autoFilter ref="A1:I165" xr:uid="{CD5B60A3-0CF9-458B-ACA7-1C37AA22EB94}"/>
  <tableColumns count="9">
    <tableColumn id="1" xr3:uid="{A93DDE82-BE29-4EAE-AC03-549010BBD9AF}" name="Date" dataDxfId="61" dataCellStyle="Normal 8"/>
    <tableColumn id="2" xr3:uid="{18A6E293-133C-42C2-AAB5-577BC8BA2856}" name="Time" dataDxfId="60" dataCellStyle="Normal 8"/>
    <tableColumn id="3" xr3:uid="{5F5947E9-A0E0-4A9A-A8CB-45EC05B49A00}" name="Sport" dataDxfId="59" dataCellStyle="Normal 8"/>
    <tableColumn id="4" xr3:uid="{79824F80-1948-43F5-A90D-661BBF6F9495}" name="Match" dataDxfId="58" dataCellStyle="Normal 8"/>
    <tableColumn id="7" xr3:uid="{F3B0A847-10C6-4122-9C99-D3D22A3BD429}" name="Channel" dataDxfId="57"/>
    <tableColumn id="8" xr3:uid="{FCD843AD-9185-4BE6-AA67-6F11DF9DEFF2}" name="[ DEVELOPMENT ] - Timestamp" dataDxfId="39">
      <calculatedColumnFormula>(INT(Table_Kyrgyzstan[[#This Row],[Date]]) - DATE(1970, 1, 1)) * 86400000</calculatedColumnFormula>
    </tableColumn>
    <tableColumn id="9" xr3:uid="{E06DAD07-549B-47A2-901F-C2642E6D14C5}" name="[ DEVELOPMENT ] - GMT" dataDxfId="38">
      <calculatedColumnFormula>'GMT Glossary'!$B$2</calculatedColumnFormula>
    </tableColumn>
    <tableColumn id="10" xr3:uid="{5C303D8B-B5FD-44A5-9CBC-9CDBBCCBAC25}" name="[ DEVELOPMENT ] - GMT Date" dataDxfId="56">
      <calculatedColumnFormula>TEXT(IF(B2&lt;0, A2+1+((B2+(G2/24))-(INT(B2+(G2/24)))), A2+(B2+(G2/24))), "yyyy-mm-dd")</calculatedColumnFormula>
    </tableColumn>
    <tableColumn id="5" xr3:uid="{2CA8A7C9-3512-48CF-9367-2D0CD20D0AFE}" name="[ DEVELOPMENT ] - GMT Time" dataDxfId="55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D55330F-EF7C-4A76-BB96-304A03752B76}" name="Table_Azerbaijan" displayName="Table_Azerbaijan" ref="A1:I165" totalsRowShown="0">
  <autoFilter ref="A1:I165" xr:uid="{BB7DDAE5-AFAC-46DD-950A-A3B24390C046}"/>
  <tableColumns count="9">
    <tableColumn id="1" xr3:uid="{7880182C-E9E9-44EE-9FA4-5EDD9032F774}" name="Date" dataDxfId="37" dataCellStyle="Normal 8"/>
    <tableColumn id="2" xr3:uid="{ED9CD831-4237-4084-A448-58E5A73963CD}" name="Time" dataDxfId="36" dataCellStyle="Normal 8"/>
    <tableColumn id="3" xr3:uid="{2284333A-CA6D-4947-B98B-FEE1FADB19B7}" name="Sport" dataDxfId="35" dataCellStyle="Normal 8"/>
    <tableColumn id="4" xr3:uid="{10974277-4AE7-43D6-90E1-DF84AEE448FB}" name="Match" dataDxfId="34" dataCellStyle="Normal 8"/>
    <tableColumn id="7" xr3:uid="{4D33CCE0-6E5E-43E5-989B-6012C2859A6B}" name="Channel" dataDxfId="33"/>
    <tableColumn id="8" xr3:uid="{B3F5F866-D6C9-44C6-A061-490F90FFAC57}" name="[ DEVELOPMENT ] - Timestamp" dataDxfId="0">
      <calculatedColumnFormula>(INT(Table_Azerbaijan[[#This Row],[Date]]) - DATE(1970, 1, 1)) * 86400000</calculatedColumnFormula>
    </tableColumn>
    <tableColumn id="9" xr3:uid="{D88863FE-C4CE-42F1-B037-77B7DB151588}" name="[ DEVELOPMENT ] - GMT" dataDxfId="32">
      <calculatedColumnFormula>'GMT Glossary'!$B$2</calculatedColumnFormula>
    </tableColumn>
    <tableColumn id="10" xr3:uid="{CB47403B-4718-4445-8234-1E94077999DD}" name="[ DEVELOPMENT ] - GMT Date" dataDxfId="31">
      <calculatedColumnFormula>TEXT(IF(B2&lt;0, A2+1+((B2+(G2/24))-(INT(B2+(G2/24)))), A2+(B2+(G2/24))), "yyyy-mm-dd")</calculatedColumnFormula>
    </tableColumn>
    <tableColumn id="5" xr3:uid="{396BCE49-2EC5-4F56-AFC1-DA446B814C34}" name="[ DEVELOPMENT ] - GMT Time" dataDxfId="30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4D061A-3C5C-4365-A833-C492EC6319AE}" name="Table_Kyrgyzstan2" displayName="Table_Kyrgyzstan2" ref="A1:I165" totalsRowShown="0">
  <autoFilter ref="A1:I165" xr:uid="{CD5B60A3-0CF9-458B-ACA7-1C37AA22EB94}"/>
  <tableColumns count="9">
    <tableColumn id="1" xr3:uid="{6E7BDB78-AE41-4160-B62F-AAEFA88F5EB7}" name="Date" dataDxfId="29" dataCellStyle="Normal 8"/>
    <tableColumn id="2" xr3:uid="{08CEF47D-0B60-4EAD-899B-36B10BA4B0C7}" name="Time" dataDxfId="28" dataCellStyle="Normal 8"/>
    <tableColumn id="3" xr3:uid="{CECD1F50-BE39-4192-A386-CE5548B9B79F}" name="Sport" dataDxfId="27" dataCellStyle="Normal 8"/>
    <tableColumn id="4" xr3:uid="{19488098-8387-4329-8980-1E62AD97C25E}" name="Match" dataDxfId="26" dataCellStyle="Normal 8"/>
    <tableColumn id="7" xr3:uid="{474FC257-9D6E-4B17-8DD8-28DD681AA70C}" name="Channel" dataDxfId="25"/>
    <tableColumn id="8" xr3:uid="{99A785A4-48F0-4363-A846-3BD4A5300FE1}" name="[ DEVELOPMENT ] - Timestamp" dataDxfId="1">
      <calculatedColumnFormula>(INT(Table_Kyrgyzstan2[[#This Row],[Date]]) - DATE(1970, 1, 1)) * 86400000</calculatedColumnFormula>
    </tableColumn>
    <tableColumn id="9" xr3:uid="{EE66EB29-7329-4F43-9448-2183BD493D3A}" name="[ DEVELOPMENT ] - GMT" dataDxfId="24">
      <calculatedColumnFormula>'GMT Glossary'!$B$2</calculatedColumnFormula>
    </tableColumn>
    <tableColumn id="10" xr3:uid="{B020C355-1FF7-4803-9F2E-D0AB639C8794}" name="[ DEVELOPMENT ] - GMT Date" dataDxfId="23">
      <calculatedColumnFormula>TEXT(IF(B2&lt;0, A2+1+((B2+(G2/24))-(INT(B2+(G2/24)))), A2+(B2+(G2/24))), "yyyy-mm-dd")</calculatedColumnFormula>
    </tableColumn>
    <tableColumn id="5" xr3:uid="{ADC4EC8D-F352-4C03-A488-FCB338FA8AE3}" name="[ DEVELOPMENT ] - GMT Time" dataDxfId="22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1956751-77C7-45D2-B2AB-3580DBB58532}" name="Table_Moldova" displayName="Table_Moldova" ref="A1:I251" totalsRowShown="0">
  <autoFilter ref="A1:I251" xr:uid="{37C42372-747D-4C54-BBC6-68DC4CD52295}"/>
  <tableColumns count="9">
    <tableColumn id="1" xr3:uid="{D6910BE5-BE27-4190-BC0C-80AEC1D43DDE}" name="Date" dataDxfId="54" dataCellStyle="Normal 8"/>
    <tableColumn id="2" xr3:uid="{50A4D4F5-D928-4B1A-976B-6D933C316796}" name="Time" dataDxfId="53" dataCellStyle="Normal 8"/>
    <tableColumn id="3" xr3:uid="{FC55B2DA-136B-4C77-879C-C653BF9864DB}" name="Sport" dataDxfId="52" dataCellStyle="Normal 8"/>
    <tableColumn id="4" xr3:uid="{47133537-FDC1-4601-9069-83BF91ADB4E1}" name="Match" dataDxfId="51" dataCellStyle="Normal 8"/>
    <tableColumn id="7" xr3:uid="{8E96C239-1580-4323-8EC4-B2E9A05BC729}" name="Channel" dataDxfId="50"/>
    <tableColumn id="8" xr3:uid="{55E4B969-08C6-46FA-AACB-49BC5A0C43F9}" name="[ DEVELOPMENT ] - Timestamp" dataDxfId="2">
      <calculatedColumnFormula>(INT(Table_Moldova[[#This Row],[Date]]) - DATE(1970, 1, 1)) * 86400000</calculatedColumnFormula>
    </tableColumn>
    <tableColumn id="9" xr3:uid="{5B85231D-E9B0-49D4-BD91-2E01E2378CB6}" name="[ DEVELOPMENT ] - GMT" dataDxfId="21">
      <calculatedColumnFormula>'GMT Glossary'!$B$2</calculatedColumnFormula>
    </tableColumn>
    <tableColumn id="10" xr3:uid="{E6CB9764-4B92-4027-9B8D-D2398F1DBC1A}" name="[ DEVELOPMENT ] - GMT Date" dataDxfId="49">
      <calculatedColumnFormula>TEXT(IF(B2&lt;0, A2+1+((B2+(G2/24))-(INT(B2+(G2/24)))), A2+(B2+(G2/24))), "yyyy-mm-dd")</calculatedColumnFormula>
    </tableColumn>
    <tableColumn id="5" xr3:uid="{3319B6EC-8281-4FC0-A72A-F12B123C6C2F}" name="[ DEVELOPMENT ] - GMT Time" dataDxfId="48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516519E-9E51-4C59-9005-E0698D5EB44B}" name="Table_Uzbekistan" displayName="Table_Uzbekistan" ref="A1:I165" totalsRowShown="0">
  <autoFilter ref="A1:I165" xr:uid="{948356B8-1D1A-40C4-8E1B-0A04792BA4B2}"/>
  <tableColumns count="9">
    <tableColumn id="1" xr3:uid="{02F52697-2715-486C-BC44-0E411C871606}" name="Date" dataDxfId="47"/>
    <tableColumn id="2" xr3:uid="{145301C9-6B33-439B-8076-55AD509EBF6A}" name="Time" dataDxfId="46"/>
    <tableColumn id="3" xr3:uid="{156B4E53-4D51-489D-BFD0-3B4C68EAD054}" name="Sport" dataDxfId="45"/>
    <tableColumn id="4" xr3:uid="{06FE880A-BA5B-4BC2-9963-EF2CFF4A271C}" name="Match"/>
    <tableColumn id="7" xr3:uid="{0D74E1BD-8FD4-4679-970C-F86E4B5A6849}" name="Channel" dataDxfId="44"/>
    <tableColumn id="8" xr3:uid="{6C2DEA64-207C-4547-84A6-7EFBC33431D4}" name="[ DEVELOPMENT ] - Timestamp" dataDxfId="43">
      <calculatedColumnFormula>(INT(Table_Uzbekistan[[#This Row],[Date]]) - DATE(1970, 1, 1)) * 86400000</calculatedColumnFormula>
    </tableColumn>
    <tableColumn id="9" xr3:uid="{803F35F7-F06F-4A33-9D81-6A1DA38F5EEE}" name="[ DEVELOPMENT ] - GMT" dataDxfId="42">
      <calculatedColumnFormula>'GMT Glossary'!$B$6</calculatedColumnFormula>
    </tableColumn>
    <tableColumn id="10" xr3:uid="{7E29C436-7A03-4A4E-8085-9D0025CC845C}" name="[ DEVELOPMENT ] - GMT Date" dataDxfId="41">
      <calculatedColumnFormula>TEXT(IF(B2&lt;0, A2+1+((B2+(G2/24))-(INT(B2+(G2/24)))), A2+(B2+(G2/24))), "yyyy-mm-dd")</calculatedColumnFormula>
    </tableColumn>
    <tableColumn id="5" xr3:uid="{6E999F37-DA66-4E6A-BCE9-DF4DAB7C17AC}" name="[ DEVELOPMENT ] - GMT Time" dataDxfId="40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5A5559-2E4C-4DEC-8EE1-E51E9D1BC0E2}" name="Table_Turkmenistan" displayName="Table_Turkmenistan" ref="A1:I165" totalsRowShown="0">
  <autoFilter ref="A1:I165" xr:uid="{37C42372-747D-4C54-BBC6-68DC4CD52295}"/>
  <tableColumns count="9">
    <tableColumn id="1" xr3:uid="{A5E63966-5518-4BD9-A772-415C4CA796C0}" name="Date" dataDxfId="20" dataCellStyle="Normal 8"/>
    <tableColumn id="2" xr3:uid="{8FF84A44-F418-4DFA-9B08-E70AD68E12B1}" name="Time" dataDxfId="19" dataCellStyle="Normal 8"/>
    <tableColumn id="3" xr3:uid="{12C1446F-20C3-489B-8374-01CAB1503F99}" name="Sport" dataDxfId="18" dataCellStyle="Normal 8"/>
    <tableColumn id="4" xr3:uid="{5BEBA809-EA98-4108-BDAB-385628C9F876}" name="Match" dataDxfId="17" dataCellStyle="Normal 8"/>
    <tableColumn id="7" xr3:uid="{B5B64C69-DEB9-4C3F-B194-C72C85790178}" name="Channel" dataDxfId="16"/>
    <tableColumn id="8" xr3:uid="{1AC74257-9D92-4EEB-950A-FD60E05AADB8}" name="[ DEVELOPMENT ] - Timestamp" dataDxfId="15">
      <calculatedColumnFormula>(INT(Table_Kyrgyzstan[[#This Row],[Date]]) - DATE(1970, 1, 1)) * 86400000</calculatedColumnFormula>
    </tableColumn>
    <tableColumn id="9" xr3:uid="{69DF737F-DCB6-450B-AC1A-FABE1A844034}" name="[ DEVELOPMENT ] - GMT" dataDxfId="14">
      <calculatedColumnFormula>'GMT Glossary'!$B$2</calculatedColumnFormula>
    </tableColumn>
    <tableColumn id="10" xr3:uid="{3914E2DD-9435-47A7-8F44-DD1A9F346A02}" name="[ DEVELOPMENT ] - GMT Date" dataDxfId="13">
      <calculatedColumnFormula>TEXT(IF(B2&lt;0, A2+1+((B2+(G2/24))-(INT(B2+(G2/24)))), A2+(B2+(G2/24))), "yyyy-mm-dd")</calculatedColumnFormula>
    </tableColumn>
    <tableColumn id="5" xr3:uid="{D7DBAD38-BA74-45E2-A9B7-782381CEDFCF}" name="[ DEVELOPMENT ] - GMT Time" dataDxfId="12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40DC7BB-EC93-4D1F-89AE-EE494D8CB759}" name="Table_Tajikistan" displayName="Table_Tajikistan" ref="A1:I165" totalsRowShown="0">
  <autoFilter ref="A1:I165" xr:uid="{37C42372-747D-4C54-BBC6-68DC4CD52295}"/>
  <tableColumns count="9">
    <tableColumn id="1" xr3:uid="{112F5349-0716-4561-9745-9D9ADF2304CF}" name="Date" dataDxfId="11" dataCellStyle="Normal 8"/>
    <tableColumn id="2" xr3:uid="{9334BAEC-60CE-4DF9-9C3E-9EC5C0AB82A3}" name="Time" dataDxfId="10" dataCellStyle="Normal 8"/>
    <tableColumn id="3" xr3:uid="{B4183BD6-83C4-4228-83B6-0D77A639197D}" name="Sport" dataDxfId="9" dataCellStyle="Normal 8"/>
    <tableColumn id="4" xr3:uid="{021D2855-B19C-4CBC-9994-EAD1E5EC2750}" name="Match" dataDxfId="8" dataCellStyle="Normal 8"/>
    <tableColumn id="7" xr3:uid="{E8D1C1D0-9F11-4878-A111-BEB275AA6BB6}" name="Channel" dataDxfId="7"/>
    <tableColumn id="8" xr3:uid="{872BBC61-42AC-4BA0-B069-FF70088D384A}" name="[ DEVELOPMENT ] - Timestamp" dataDxfId="6">
      <calculatedColumnFormula>(INT(Table_Kyrgyzstan[[#This Row],[Date]]) - DATE(1970, 1, 1)) * 86400000</calculatedColumnFormula>
    </tableColumn>
    <tableColumn id="9" xr3:uid="{88F1B19B-A7E6-4B50-B81F-847F9D9852E2}" name="[ DEVELOPMENT ] - GMT" dataDxfId="5">
      <calculatedColumnFormula>'GMT Glossary'!$B$2</calculatedColumnFormula>
    </tableColumn>
    <tableColumn id="10" xr3:uid="{C06ABCB1-E873-4B20-9FBB-D9C336160BB9}" name="[ DEVELOPMENT ] - GMT Date" dataDxfId="4">
      <calculatedColumnFormula>TEXT(IF(B2&lt;0, A2+1+((B2+(G2/24))-(INT(B2+(G2/24)))), A2+(B2+(G2/24))), "yyyy-mm-dd")</calculatedColumnFormula>
    </tableColumn>
    <tableColumn id="5" xr3:uid="{FBC44811-1BB3-42D8-83D5-230D77C13058}" name="[ DEVELOPMENT ] - GMT Time" dataDxfId="3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B540F-A038-4E04-AF8A-72CC62EFD73C}">
  <dimension ref="A1:H2"/>
  <sheetViews>
    <sheetView topLeftCell="D1" workbookViewId="0">
      <selection sqref="A1:H2"/>
    </sheetView>
  </sheetViews>
  <sheetFormatPr defaultRowHeight="15" x14ac:dyDescent="0.25"/>
  <cols>
    <col min="1" max="1" width="25.85546875" customWidth="1"/>
    <col min="2" max="2" width="27.28515625" customWidth="1"/>
    <col min="3" max="3" width="17.7109375" customWidth="1"/>
    <col min="4" max="4" width="51.85546875" customWidth="1"/>
    <col min="5" max="5" width="24" customWidth="1"/>
    <col min="6" max="6" width="26.140625" style="8" customWidth="1"/>
    <col min="7" max="7" width="43.85546875" customWidth="1"/>
    <col min="8" max="8" width="45.7109375" customWidth="1"/>
  </cols>
  <sheetData>
    <row r="1" spans="1:8" x14ac:dyDescent="0.25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7</v>
      </c>
    </row>
    <row r="2" spans="1:8" x14ac:dyDescent="0.25">
      <c r="A2" s="6">
        <v>45193</v>
      </c>
      <c r="B2" s="7">
        <v>0.58333333333333337</v>
      </c>
      <c r="C2" s="3" t="s">
        <v>8</v>
      </c>
      <c r="D2" s="4" t="s">
        <v>9</v>
      </c>
      <c r="E2" t="s">
        <v>10</v>
      </c>
      <c r="F2" s="8">
        <f t="shared" ref="F2" si="0">(INT(H2) - DATE(1970, 1, 1)) * 86400</f>
        <v>1695513600</v>
      </c>
      <c r="G2">
        <f>'GMT Glossary'!$B$1</f>
        <v>4</v>
      </c>
      <c r="H2" s="2" t="str">
        <f t="shared" ref="H2" si="1">TEXT(IF(B2&lt;0, A2+1+((B2+($G$2/24))-(INT(B2+($G$2/24)))), A2+(B2+($G$2/24))), "yyyy-mm-dd HH:mm")</f>
        <v>2023-09-24 18:00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19325-B7C4-4968-BB6A-FC3A3F01DA24}">
  <dimension ref="A1:B9"/>
  <sheetViews>
    <sheetView workbookViewId="0">
      <selection activeCell="B38" sqref="B38"/>
    </sheetView>
  </sheetViews>
  <sheetFormatPr defaultRowHeight="15" x14ac:dyDescent="0.25"/>
  <cols>
    <col min="1" max="1" width="27.7109375" customWidth="1"/>
    <col min="2" max="2" width="27.42578125" customWidth="1"/>
  </cols>
  <sheetData>
    <row r="1" spans="1:2" x14ac:dyDescent="0.25">
      <c r="A1" t="s">
        <v>11</v>
      </c>
      <c r="B1">
        <v>4</v>
      </c>
    </row>
    <row r="2" spans="1:2" x14ac:dyDescent="0.25">
      <c r="A2" t="s">
        <v>13</v>
      </c>
      <c r="B2">
        <v>6</v>
      </c>
    </row>
    <row r="3" spans="1:2" x14ac:dyDescent="0.25">
      <c r="A3" t="s">
        <v>14</v>
      </c>
      <c r="B3">
        <v>3</v>
      </c>
    </row>
    <row r="4" spans="1:2" x14ac:dyDescent="0.25">
      <c r="A4" t="s">
        <v>15</v>
      </c>
      <c r="B4">
        <v>3</v>
      </c>
    </row>
    <row r="5" spans="1:2" x14ac:dyDescent="0.25">
      <c r="A5" t="s">
        <v>16</v>
      </c>
      <c r="B5">
        <v>3</v>
      </c>
    </row>
    <row r="6" spans="1:2" x14ac:dyDescent="0.25">
      <c r="A6" t="s">
        <v>17</v>
      </c>
      <c r="B6">
        <v>5</v>
      </c>
    </row>
    <row r="7" spans="1:2" x14ac:dyDescent="0.25">
      <c r="A7" t="s">
        <v>24</v>
      </c>
      <c r="B7">
        <v>5</v>
      </c>
    </row>
    <row r="8" spans="1:2" x14ac:dyDescent="0.25">
      <c r="A8" t="s">
        <v>25</v>
      </c>
      <c r="B8">
        <v>5</v>
      </c>
    </row>
    <row r="9" spans="1:2" x14ac:dyDescent="0.25">
      <c r="A9" t="s">
        <v>12</v>
      </c>
      <c r="B9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FB83B-8965-4D7D-8379-A3C8977CECE1}">
  <dimension ref="A1:I165"/>
  <sheetViews>
    <sheetView topLeftCell="A137" workbookViewId="0">
      <selection activeCell="F161" sqref="F161"/>
    </sheetView>
  </sheetViews>
  <sheetFormatPr defaultRowHeight="15" x14ac:dyDescent="0.25"/>
  <cols>
    <col min="3" max="3" width="10.140625" bestFit="1" customWidth="1"/>
    <col min="4" max="4" width="50.28515625" customWidth="1"/>
    <col min="5" max="5" width="39.85546875" customWidth="1"/>
    <col min="6" max="6" width="51" style="8" customWidth="1"/>
    <col min="8" max="8" width="54.85546875" customWidth="1"/>
    <col min="9" max="9" width="29.28515625" customWidth="1"/>
  </cols>
  <sheetData>
    <row r="1" spans="1:9" x14ac:dyDescent="0.25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19</v>
      </c>
      <c r="I1" t="s">
        <v>7</v>
      </c>
    </row>
    <row r="2" spans="1:9" x14ac:dyDescent="0.25">
      <c r="A2" s="26">
        <v>45552</v>
      </c>
      <c r="B2" s="27">
        <v>0.375</v>
      </c>
      <c r="C2" s="25" t="s">
        <v>26</v>
      </c>
      <c r="D2" s="28" t="s">
        <v>58</v>
      </c>
      <c r="E2" s="9" t="s">
        <v>20</v>
      </c>
      <c r="F2" s="8">
        <f>(INT(Table_Kyrgyzstan[[#This Row],[Date]]) - DATE(1970, 1, 1)) * 86400000</f>
        <v>1726531200000</v>
      </c>
      <c r="G2">
        <f>'GMT Glossary'!$B$2</f>
        <v>6</v>
      </c>
      <c r="H2" s="2" t="str">
        <f t="shared" ref="H2:H65" si="0">TEXT(IF(B2&lt;0, A2+1+((B2+(G2/24))-(INT(B2+(G2/24)))), A2+(B2+(G2/24))), "yyyy-mm-dd")</f>
        <v>2024-09-17</v>
      </c>
      <c r="I2" s="2" t="str">
        <f t="shared" ref="I2:I65" si="1">TEXT(IF(B2&lt;0, A2+1+((B2+(G2/24))-(INT(B2+(G2/24)))), A2+(B2+(G2/24))), "hh:mm")</f>
        <v>15:00</v>
      </c>
    </row>
    <row r="3" spans="1:9" x14ac:dyDescent="0.25">
      <c r="A3" s="26">
        <v>45552</v>
      </c>
      <c r="B3" s="27">
        <v>0.45833333333333331</v>
      </c>
      <c r="C3" s="25" t="s">
        <v>26</v>
      </c>
      <c r="D3" s="28" t="s">
        <v>59</v>
      </c>
      <c r="E3" s="9" t="s">
        <v>20</v>
      </c>
      <c r="F3" s="8">
        <f>(INT(Table_Kyrgyzstan[[#This Row],[Date]]) - DATE(1970, 1, 1)) * 86400000</f>
        <v>1726531200000</v>
      </c>
      <c r="G3">
        <f>'GMT Glossary'!$B$2</f>
        <v>6</v>
      </c>
      <c r="H3" s="2" t="str">
        <f t="shared" si="0"/>
        <v>2024-09-17</v>
      </c>
      <c r="I3" s="2" t="str">
        <f t="shared" si="1"/>
        <v>17:00</v>
      </c>
    </row>
    <row r="4" spans="1:9" x14ac:dyDescent="0.25">
      <c r="A4" s="26">
        <v>45552</v>
      </c>
      <c r="B4" s="27">
        <v>0.54166666666666663</v>
      </c>
      <c r="C4" s="25" t="s">
        <v>26</v>
      </c>
      <c r="D4" s="28" t="s">
        <v>60</v>
      </c>
      <c r="E4" s="9" t="s">
        <v>20</v>
      </c>
      <c r="F4" s="8">
        <f>(INT(Table_Kyrgyzstan[[#This Row],[Date]]) - DATE(1970, 1, 1)) * 86400000</f>
        <v>1726531200000</v>
      </c>
      <c r="G4">
        <f>'GMT Glossary'!$B$2</f>
        <v>6</v>
      </c>
      <c r="H4" s="2" t="str">
        <f t="shared" si="0"/>
        <v>2024-09-17</v>
      </c>
      <c r="I4" s="2" t="str">
        <f t="shared" si="1"/>
        <v>19:00</v>
      </c>
    </row>
    <row r="5" spans="1:9" x14ac:dyDescent="0.25">
      <c r="A5" s="26">
        <v>45552</v>
      </c>
      <c r="B5" s="27">
        <v>0.625</v>
      </c>
      <c r="C5" s="25" t="s">
        <v>26</v>
      </c>
      <c r="D5" s="28" t="s">
        <v>33</v>
      </c>
      <c r="E5" s="9" t="s">
        <v>20</v>
      </c>
      <c r="F5" s="8">
        <f>(INT(Table_Kyrgyzstan[[#This Row],[Date]]) - DATE(1970, 1, 1)) * 86400000</f>
        <v>1726531200000</v>
      </c>
      <c r="G5">
        <f>'GMT Glossary'!$B$2</f>
        <v>6</v>
      </c>
      <c r="H5" s="2" t="str">
        <f t="shared" si="0"/>
        <v>2024-09-17</v>
      </c>
      <c r="I5" s="2" t="str">
        <f t="shared" si="1"/>
        <v>21:00</v>
      </c>
    </row>
    <row r="6" spans="1:9" x14ac:dyDescent="0.25">
      <c r="A6" s="26">
        <v>45552</v>
      </c>
      <c r="B6" s="27">
        <v>0.70833333333333337</v>
      </c>
      <c r="C6" s="25" t="s">
        <v>26</v>
      </c>
      <c r="D6" s="28" t="s">
        <v>34</v>
      </c>
      <c r="E6" s="9" t="s">
        <v>20</v>
      </c>
      <c r="F6" s="8">
        <f>(INT(Table_Kyrgyzstan[[#This Row],[Date]]) - DATE(1970, 1, 1)) * 86400000</f>
        <v>1726531200000</v>
      </c>
      <c r="G6">
        <f>'GMT Glossary'!$B$2</f>
        <v>6</v>
      </c>
      <c r="H6" s="2" t="str">
        <f t="shared" si="0"/>
        <v>2024-09-17</v>
      </c>
      <c r="I6" s="2" t="str">
        <f t="shared" si="1"/>
        <v>23:00</v>
      </c>
    </row>
    <row r="7" spans="1:9" x14ac:dyDescent="0.25">
      <c r="A7" s="26">
        <v>45552</v>
      </c>
      <c r="B7" s="27">
        <v>0.79166666666666663</v>
      </c>
      <c r="C7" s="25" t="s">
        <v>26</v>
      </c>
      <c r="D7" s="29" t="s">
        <v>61</v>
      </c>
      <c r="E7" s="9" t="s">
        <v>20</v>
      </c>
      <c r="F7" s="8">
        <f>(INT(Table_Kyrgyzstan[[#This Row],[Date]]) - DATE(1970, 1, 1)) * 86400000</f>
        <v>1726531200000</v>
      </c>
      <c r="G7">
        <f>'GMT Glossary'!$B$2</f>
        <v>6</v>
      </c>
      <c r="H7" s="2" t="str">
        <f t="shared" si="0"/>
        <v>2024-09-18</v>
      </c>
      <c r="I7" s="2" t="str">
        <f t="shared" si="1"/>
        <v>01:00</v>
      </c>
    </row>
    <row r="8" spans="1:9" x14ac:dyDescent="0.25">
      <c r="A8" s="26">
        <v>45552</v>
      </c>
      <c r="B8" s="27">
        <v>0.875</v>
      </c>
      <c r="C8" s="25" t="s">
        <v>26</v>
      </c>
      <c r="D8" s="28" t="s">
        <v>62</v>
      </c>
      <c r="E8" s="9" t="s">
        <v>20</v>
      </c>
      <c r="F8" s="8">
        <f>(INT(Table_Kyrgyzstan[[#This Row],[Date]]) - DATE(1970, 1, 1)) * 86400000</f>
        <v>1726531200000</v>
      </c>
      <c r="G8">
        <f>'GMT Glossary'!$B$2</f>
        <v>6</v>
      </c>
      <c r="H8" s="2" t="str">
        <f t="shared" si="0"/>
        <v>2024-09-18</v>
      </c>
      <c r="I8" s="2" t="str">
        <f t="shared" si="1"/>
        <v>03:00</v>
      </c>
    </row>
    <row r="9" spans="1:9" x14ac:dyDescent="0.25">
      <c r="A9" s="26">
        <v>45552</v>
      </c>
      <c r="B9" s="27">
        <v>0.95833333333333337</v>
      </c>
      <c r="C9" s="25" t="s">
        <v>26</v>
      </c>
      <c r="D9" s="28" t="s">
        <v>56</v>
      </c>
      <c r="E9" s="9" t="s">
        <v>20</v>
      </c>
      <c r="F9" s="8">
        <f>(INT(Table_Kyrgyzstan[[#This Row],[Date]]) - DATE(1970, 1, 1)) * 86400000</f>
        <v>1726531200000</v>
      </c>
      <c r="G9">
        <f>'GMT Glossary'!$B$2</f>
        <v>6</v>
      </c>
      <c r="H9" s="2" t="str">
        <f t="shared" si="0"/>
        <v>2024-09-18</v>
      </c>
      <c r="I9" s="2" t="str">
        <f t="shared" si="1"/>
        <v>05:00</v>
      </c>
    </row>
    <row r="10" spans="1:9" x14ac:dyDescent="0.25">
      <c r="A10" s="26">
        <v>45553</v>
      </c>
      <c r="B10" s="27">
        <v>4.1666666666666664E-2</v>
      </c>
      <c r="C10" s="25" t="s">
        <v>26</v>
      </c>
      <c r="D10" s="28" t="s">
        <v>29</v>
      </c>
      <c r="E10" s="9" t="s">
        <v>20</v>
      </c>
      <c r="F10" s="8">
        <f>(INT(Table_Kyrgyzstan[[#This Row],[Date]]) - DATE(1970, 1, 1)) * 86400000</f>
        <v>1726617600000</v>
      </c>
      <c r="G10">
        <f>'GMT Glossary'!$B$2</f>
        <v>6</v>
      </c>
      <c r="H10" s="2" t="str">
        <f t="shared" si="0"/>
        <v>2024-09-18</v>
      </c>
      <c r="I10" s="2" t="str">
        <f t="shared" si="1"/>
        <v>07:00</v>
      </c>
    </row>
    <row r="11" spans="1:9" x14ac:dyDescent="0.25">
      <c r="A11" s="26">
        <v>45553</v>
      </c>
      <c r="B11" s="27">
        <v>0.125</v>
      </c>
      <c r="C11" s="25" t="s">
        <v>26</v>
      </c>
      <c r="D11" s="28" t="s">
        <v>32</v>
      </c>
      <c r="E11" s="9" t="s">
        <v>20</v>
      </c>
      <c r="F11" s="8">
        <f>(INT(Table_Kyrgyzstan[[#This Row],[Date]]) - DATE(1970, 1, 1)) * 86400000</f>
        <v>1726617600000</v>
      </c>
      <c r="G11">
        <f>'GMT Glossary'!$B$2</f>
        <v>6</v>
      </c>
      <c r="H11" s="2" t="str">
        <f t="shared" si="0"/>
        <v>2024-09-18</v>
      </c>
      <c r="I11" s="2" t="str">
        <f t="shared" si="1"/>
        <v>09:00</v>
      </c>
    </row>
    <row r="12" spans="1:9" x14ac:dyDescent="0.25">
      <c r="A12" s="26">
        <v>45553</v>
      </c>
      <c r="B12" s="27">
        <v>0.20833333333333334</v>
      </c>
      <c r="C12" s="25" t="s">
        <v>26</v>
      </c>
      <c r="D12" s="28" t="s">
        <v>35</v>
      </c>
      <c r="E12" s="9" t="s">
        <v>20</v>
      </c>
      <c r="F12" s="8">
        <f>(INT(Table_Kyrgyzstan[[#This Row],[Date]]) - DATE(1970, 1, 1)) * 86400000</f>
        <v>1726617600000</v>
      </c>
      <c r="G12">
        <f>'GMT Glossary'!$B$2</f>
        <v>6</v>
      </c>
      <c r="H12" s="2" t="str">
        <f t="shared" si="0"/>
        <v>2024-09-18</v>
      </c>
      <c r="I12" s="2" t="str">
        <f t="shared" si="1"/>
        <v>11:00</v>
      </c>
    </row>
    <row r="13" spans="1:9" x14ac:dyDescent="0.25">
      <c r="A13" s="26">
        <v>45553</v>
      </c>
      <c r="B13" s="27">
        <v>0.29166666666666669</v>
      </c>
      <c r="C13" s="25" t="s">
        <v>26</v>
      </c>
      <c r="D13" s="28" t="s">
        <v>63</v>
      </c>
      <c r="E13" s="9" t="s">
        <v>20</v>
      </c>
      <c r="F13" s="8">
        <f>(INT(Table_Kyrgyzstan[[#This Row],[Date]]) - DATE(1970, 1, 1)) * 86400000</f>
        <v>1726617600000</v>
      </c>
      <c r="G13">
        <f>'GMT Glossary'!$B$2</f>
        <v>6</v>
      </c>
      <c r="H13" s="2" t="str">
        <f t="shared" si="0"/>
        <v>2024-09-18</v>
      </c>
      <c r="I13" s="2" t="str">
        <f t="shared" si="1"/>
        <v>13:00</v>
      </c>
    </row>
    <row r="14" spans="1:9" x14ac:dyDescent="0.25">
      <c r="A14" s="26">
        <v>45553</v>
      </c>
      <c r="B14" s="27">
        <v>0.375</v>
      </c>
      <c r="C14" s="25" t="s">
        <v>26</v>
      </c>
      <c r="D14" s="28" t="s">
        <v>64</v>
      </c>
      <c r="E14" s="9" t="s">
        <v>20</v>
      </c>
      <c r="F14" s="8">
        <f>(INT(Table_Kyrgyzstan[[#This Row],[Date]]) - DATE(1970, 1, 1)) * 86400000</f>
        <v>1726617600000</v>
      </c>
      <c r="G14">
        <f>'GMT Glossary'!$B$2</f>
        <v>6</v>
      </c>
      <c r="H14" s="2" t="str">
        <f t="shared" si="0"/>
        <v>2024-09-18</v>
      </c>
      <c r="I14" s="2" t="str">
        <f t="shared" si="1"/>
        <v>15:00</v>
      </c>
    </row>
    <row r="15" spans="1:9" x14ac:dyDescent="0.25">
      <c r="A15" s="26">
        <v>45553</v>
      </c>
      <c r="B15" s="27">
        <v>0.41666666666666669</v>
      </c>
      <c r="C15" s="25" t="s">
        <v>26</v>
      </c>
      <c r="D15" s="28" t="s">
        <v>65</v>
      </c>
      <c r="E15" s="9" t="s">
        <v>20</v>
      </c>
      <c r="F15" s="8">
        <f>(INT(Table_Kyrgyzstan[[#This Row],[Date]]) - DATE(1970, 1, 1)) * 86400000</f>
        <v>1726617600000</v>
      </c>
      <c r="G15">
        <f>'GMT Glossary'!$B$2</f>
        <v>6</v>
      </c>
      <c r="H15" s="2" t="str">
        <f t="shared" si="0"/>
        <v>2024-09-18</v>
      </c>
      <c r="I15" s="2" t="str">
        <f t="shared" si="1"/>
        <v>16:00</v>
      </c>
    </row>
    <row r="16" spans="1:9" x14ac:dyDescent="0.25">
      <c r="A16" s="26">
        <v>45553</v>
      </c>
      <c r="B16" s="27">
        <v>0.45833333333333331</v>
      </c>
      <c r="C16" s="25" t="s">
        <v>26</v>
      </c>
      <c r="D16" s="28" t="s">
        <v>66</v>
      </c>
      <c r="E16" s="9" t="s">
        <v>20</v>
      </c>
      <c r="F16" s="8">
        <f>(INT(Table_Kyrgyzstan[[#This Row],[Date]]) - DATE(1970, 1, 1)) * 86400000</f>
        <v>1726617600000</v>
      </c>
      <c r="G16">
        <f>'GMT Glossary'!$B$2</f>
        <v>6</v>
      </c>
      <c r="H16" s="2" t="str">
        <f t="shared" si="0"/>
        <v>2024-09-18</v>
      </c>
      <c r="I16" s="2" t="str">
        <f t="shared" si="1"/>
        <v>17:00</v>
      </c>
    </row>
    <row r="17" spans="1:9" x14ac:dyDescent="0.25">
      <c r="A17" s="26">
        <v>45553</v>
      </c>
      <c r="B17" s="27">
        <v>0.5</v>
      </c>
      <c r="C17" s="25" t="s">
        <v>26</v>
      </c>
      <c r="D17" s="28" t="s">
        <v>67</v>
      </c>
      <c r="E17" s="9" t="s">
        <v>20</v>
      </c>
      <c r="F17" s="8">
        <f>(INT(Table_Kyrgyzstan[[#This Row],[Date]]) - DATE(1970, 1, 1)) * 86400000</f>
        <v>1726617600000</v>
      </c>
      <c r="G17">
        <f>'GMT Glossary'!$B$2</f>
        <v>6</v>
      </c>
      <c r="H17" s="2" t="str">
        <f t="shared" si="0"/>
        <v>2024-09-18</v>
      </c>
      <c r="I17" s="2" t="str">
        <f t="shared" si="1"/>
        <v>18:00</v>
      </c>
    </row>
    <row r="18" spans="1:9" x14ac:dyDescent="0.25">
      <c r="A18" s="26">
        <v>45553</v>
      </c>
      <c r="B18" s="27">
        <v>0.54166666666666663</v>
      </c>
      <c r="C18" s="25" t="s">
        <v>26</v>
      </c>
      <c r="D18" s="28" t="s">
        <v>68</v>
      </c>
      <c r="E18" s="9" t="s">
        <v>20</v>
      </c>
      <c r="F18" s="8">
        <f>(INT(Table_Kyrgyzstan[[#This Row],[Date]]) - DATE(1970, 1, 1)) * 86400000</f>
        <v>1726617600000</v>
      </c>
      <c r="G18">
        <f>'GMT Glossary'!$B$2</f>
        <v>6</v>
      </c>
      <c r="H18" s="2" t="str">
        <f t="shared" si="0"/>
        <v>2024-09-18</v>
      </c>
      <c r="I18" s="2" t="str">
        <f t="shared" si="1"/>
        <v>19:00</v>
      </c>
    </row>
    <row r="19" spans="1:9" x14ac:dyDescent="0.25">
      <c r="A19" s="26">
        <v>45553</v>
      </c>
      <c r="B19" s="27">
        <v>0.625</v>
      </c>
      <c r="C19" s="25" t="s">
        <v>26</v>
      </c>
      <c r="D19" s="28" t="s">
        <v>29</v>
      </c>
      <c r="E19" s="9" t="s">
        <v>20</v>
      </c>
      <c r="F19" s="8">
        <f>(INT(Table_Kyrgyzstan[[#This Row],[Date]]) - DATE(1970, 1, 1)) * 86400000</f>
        <v>1726617600000</v>
      </c>
      <c r="G19">
        <f>'GMT Glossary'!$B$2</f>
        <v>6</v>
      </c>
      <c r="H19" s="2" t="str">
        <f t="shared" si="0"/>
        <v>2024-09-18</v>
      </c>
      <c r="I19" s="2" t="str">
        <f t="shared" si="1"/>
        <v>21:00</v>
      </c>
    </row>
    <row r="20" spans="1:9" x14ac:dyDescent="0.25">
      <c r="A20" s="26">
        <v>45553</v>
      </c>
      <c r="B20" s="27">
        <v>0.70833333333333337</v>
      </c>
      <c r="C20" s="25" t="s">
        <v>26</v>
      </c>
      <c r="D20" s="28" t="s">
        <v>69</v>
      </c>
      <c r="E20" s="9" t="s">
        <v>20</v>
      </c>
      <c r="F20" s="8">
        <f>(INT(Table_Kyrgyzstan[[#This Row],[Date]]) - DATE(1970, 1, 1)) * 86400000</f>
        <v>1726617600000</v>
      </c>
      <c r="G20">
        <f>'GMT Glossary'!$B$2</f>
        <v>6</v>
      </c>
      <c r="H20" s="2" t="str">
        <f t="shared" si="0"/>
        <v>2024-09-18</v>
      </c>
      <c r="I20" s="2" t="str">
        <f t="shared" si="1"/>
        <v>23:00</v>
      </c>
    </row>
    <row r="21" spans="1:9" x14ac:dyDescent="0.25">
      <c r="A21" s="26">
        <v>45553</v>
      </c>
      <c r="B21" s="27">
        <v>0.79166666666666663</v>
      </c>
      <c r="C21" s="25" t="s">
        <v>26</v>
      </c>
      <c r="D21" s="29" t="s">
        <v>70</v>
      </c>
      <c r="E21" s="9" t="s">
        <v>20</v>
      </c>
      <c r="F21" s="8">
        <f>(INT(Table_Kyrgyzstan[[#This Row],[Date]]) - DATE(1970, 1, 1)) * 86400000</f>
        <v>1726617600000</v>
      </c>
      <c r="G21">
        <f>'GMT Glossary'!$B$2</f>
        <v>6</v>
      </c>
      <c r="H21" s="2" t="str">
        <f t="shared" si="0"/>
        <v>2024-09-19</v>
      </c>
      <c r="I21" s="2" t="str">
        <f t="shared" si="1"/>
        <v>01:00</v>
      </c>
    </row>
    <row r="22" spans="1:9" x14ac:dyDescent="0.25">
      <c r="A22" s="26">
        <v>45553</v>
      </c>
      <c r="B22" s="27">
        <v>0.875</v>
      </c>
      <c r="C22" s="25" t="s">
        <v>26</v>
      </c>
      <c r="D22" s="28" t="s">
        <v>71</v>
      </c>
      <c r="E22" s="9" t="s">
        <v>20</v>
      </c>
      <c r="F22" s="8">
        <f>(INT(Table_Kyrgyzstan[[#This Row],[Date]]) - DATE(1970, 1, 1)) * 86400000</f>
        <v>1726617600000</v>
      </c>
      <c r="G22">
        <f>'GMT Glossary'!$B$2</f>
        <v>6</v>
      </c>
      <c r="H22" s="2" t="str">
        <f t="shared" si="0"/>
        <v>2024-09-19</v>
      </c>
      <c r="I22" s="2" t="str">
        <f t="shared" si="1"/>
        <v>03:00</v>
      </c>
    </row>
    <row r="23" spans="1:9" x14ac:dyDescent="0.25">
      <c r="A23" s="26">
        <v>45553</v>
      </c>
      <c r="B23" s="27">
        <v>0.95833333333333337</v>
      </c>
      <c r="C23" s="25" t="s">
        <v>26</v>
      </c>
      <c r="D23" s="28" t="s">
        <v>28</v>
      </c>
      <c r="E23" s="9" t="s">
        <v>20</v>
      </c>
      <c r="F23" s="8">
        <f>(INT(Table_Kyrgyzstan[[#This Row],[Date]]) - DATE(1970, 1, 1)) * 86400000</f>
        <v>1726617600000</v>
      </c>
      <c r="G23">
        <f>'GMT Glossary'!$B$2</f>
        <v>6</v>
      </c>
      <c r="H23" s="2" t="str">
        <f t="shared" si="0"/>
        <v>2024-09-19</v>
      </c>
      <c r="I23" s="2" t="str">
        <f t="shared" si="1"/>
        <v>05:00</v>
      </c>
    </row>
    <row r="24" spans="1:9" x14ac:dyDescent="0.25">
      <c r="A24" s="26">
        <v>45553</v>
      </c>
      <c r="B24" s="27">
        <v>4.1666666666666664E-2</v>
      </c>
      <c r="C24" s="25" t="s">
        <v>26</v>
      </c>
      <c r="D24" s="28" t="s">
        <v>30</v>
      </c>
      <c r="E24" s="9" t="s">
        <v>20</v>
      </c>
      <c r="F24" s="8">
        <f>(INT(Table_Kyrgyzstan[[#This Row],[Date]]) - DATE(1970, 1, 1)) * 86400000</f>
        <v>1726617600000</v>
      </c>
      <c r="G24">
        <f>'GMT Glossary'!$B$2</f>
        <v>6</v>
      </c>
      <c r="H24" s="2" t="str">
        <f t="shared" si="0"/>
        <v>2024-09-18</v>
      </c>
      <c r="I24" s="2" t="str">
        <f t="shared" si="1"/>
        <v>07:00</v>
      </c>
    </row>
    <row r="25" spans="1:9" x14ac:dyDescent="0.25">
      <c r="A25" s="26">
        <v>45554</v>
      </c>
      <c r="B25" s="27">
        <v>0.125</v>
      </c>
      <c r="C25" s="25" t="s">
        <v>26</v>
      </c>
      <c r="D25" s="28" t="s">
        <v>58</v>
      </c>
      <c r="E25" s="9" t="s">
        <v>20</v>
      </c>
      <c r="F25" s="8">
        <f>(INT(Table_Kyrgyzstan[[#This Row],[Date]]) - DATE(1970, 1, 1)) * 86400000</f>
        <v>1726704000000</v>
      </c>
      <c r="G25">
        <f>'GMT Glossary'!$B$2</f>
        <v>6</v>
      </c>
      <c r="H25" s="2" t="str">
        <f t="shared" si="0"/>
        <v>2024-09-19</v>
      </c>
      <c r="I25" s="2" t="str">
        <f t="shared" si="1"/>
        <v>09:00</v>
      </c>
    </row>
    <row r="26" spans="1:9" x14ac:dyDescent="0.25">
      <c r="A26" s="26">
        <v>45554</v>
      </c>
      <c r="B26" s="27">
        <v>0.20833333333333334</v>
      </c>
      <c r="C26" s="25" t="s">
        <v>26</v>
      </c>
      <c r="D26" s="28" t="s">
        <v>59</v>
      </c>
      <c r="E26" s="9" t="s">
        <v>20</v>
      </c>
      <c r="F26" s="8">
        <f>(INT(Table_Kyrgyzstan[[#This Row],[Date]]) - DATE(1970, 1, 1)) * 86400000</f>
        <v>1726704000000</v>
      </c>
      <c r="G26">
        <f>'GMT Glossary'!$B$2</f>
        <v>6</v>
      </c>
      <c r="H26" s="2" t="str">
        <f t="shared" si="0"/>
        <v>2024-09-19</v>
      </c>
      <c r="I26" s="2" t="str">
        <f t="shared" si="1"/>
        <v>11:00</v>
      </c>
    </row>
    <row r="27" spans="1:9" x14ac:dyDescent="0.25">
      <c r="A27" s="26">
        <v>45554</v>
      </c>
      <c r="B27" s="27">
        <v>0.29166666666666669</v>
      </c>
      <c r="C27" s="25" t="s">
        <v>26</v>
      </c>
      <c r="D27" s="28" t="s">
        <v>33</v>
      </c>
      <c r="E27" s="9" t="s">
        <v>20</v>
      </c>
      <c r="F27" s="8">
        <f>(INT(Table_Kyrgyzstan[[#This Row],[Date]]) - DATE(1970, 1, 1)) * 86400000</f>
        <v>1726704000000</v>
      </c>
      <c r="G27">
        <f>'GMT Glossary'!$B$2</f>
        <v>6</v>
      </c>
      <c r="H27" s="2" t="str">
        <f t="shared" si="0"/>
        <v>2024-09-19</v>
      </c>
      <c r="I27" s="2" t="str">
        <f t="shared" si="1"/>
        <v>13:00</v>
      </c>
    </row>
    <row r="28" spans="1:9" x14ac:dyDescent="0.25">
      <c r="A28" s="26">
        <v>45554</v>
      </c>
      <c r="B28" s="27">
        <v>0.375</v>
      </c>
      <c r="C28" s="25" t="s">
        <v>26</v>
      </c>
      <c r="D28" s="28" t="s">
        <v>64</v>
      </c>
      <c r="E28" s="9" t="s">
        <v>20</v>
      </c>
      <c r="F28" s="8">
        <f>(INT(Table_Kyrgyzstan[[#This Row],[Date]]) - DATE(1970, 1, 1)) * 86400000</f>
        <v>1726704000000</v>
      </c>
      <c r="G28">
        <f>'GMT Glossary'!$B$2</f>
        <v>6</v>
      </c>
      <c r="H28" s="2" t="str">
        <f t="shared" si="0"/>
        <v>2024-09-19</v>
      </c>
      <c r="I28" s="2" t="str">
        <f t="shared" si="1"/>
        <v>15:00</v>
      </c>
    </row>
    <row r="29" spans="1:9" x14ac:dyDescent="0.25">
      <c r="A29" s="26">
        <v>45554</v>
      </c>
      <c r="B29" s="27">
        <v>0.41666666666666669</v>
      </c>
      <c r="C29" s="25" t="s">
        <v>26</v>
      </c>
      <c r="D29" s="28" t="s">
        <v>65</v>
      </c>
      <c r="E29" s="9" t="s">
        <v>20</v>
      </c>
      <c r="F29" s="8">
        <f>(INT(Table_Kyrgyzstan[[#This Row],[Date]]) - DATE(1970, 1, 1)) * 86400000</f>
        <v>1726704000000</v>
      </c>
      <c r="G29">
        <f>'GMT Glossary'!$B$2</f>
        <v>6</v>
      </c>
      <c r="H29" s="2" t="str">
        <f t="shared" si="0"/>
        <v>2024-09-19</v>
      </c>
      <c r="I29" s="2" t="str">
        <f t="shared" si="1"/>
        <v>16:00</v>
      </c>
    </row>
    <row r="30" spans="1:9" x14ac:dyDescent="0.25">
      <c r="A30" s="26">
        <v>45554</v>
      </c>
      <c r="B30" s="27">
        <v>0.45833333333333331</v>
      </c>
      <c r="C30" s="25" t="s">
        <v>26</v>
      </c>
      <c r="D30" s="28" t="s">
        <v>66</v>
      </c>
      <c r="E30" s="9" t="s">
        <v>20</v>
      </c>
      <c r="F30" s="8">
        <f>(INT(Table_Kyrgyzstan[[#This Row],[Date]]) - DATE(1970, 1, 1)) * 86400000</f>
        <v>1726704000000</v>
      </c>
      <c r="G30">
        <f>'GMT Glossary'!$B$2</f>
        <v>6</v>
      </c>
      <c r="H30" s="2" t="str">
        <f t="shared" si="0"/>
        <v>2024-09-19</v>
      </c>
      <c r="I30" s="2" t="str">
        <f t="shared" si="1"/>
        <v>17:00</v>
      </c>
    </row>
    <row r="31" spans="1:9" x14ac:dyDescent="0.25">
      <c r="A31" s="26">
        <v>45554</v>
      </c>
      <c r="B31" s="27">
        <v>0.5</v>
      </c>
      <c r="C31" s="25" t="s">
        <v>26</v>
      </c>
      <c r="D31" s="28" t="s">
        <v>67</v>
      </c>
      <c r="E31" s="9" t="s">
        <v>20</v>
      </c>
      <c r="F31" s="8">
        <f>(INT(Table_Kyrgyzstan[[#This Row],[Date]]) - DATE(1970, 1, 1)) * 86400000</f>
        <v>1726704000000</v>
      </c>
      <c r="G31">
        <f>'GMT Glossary'!$B$2</f>
        <v>6</v>
      </c>
      <c r="H31" s="2" t="str">
        <f t="shared" si="0"/>
        <v>2024-09-19</v>
      </c>
      <c r="I31" s="2" t="str">
        <f t="shared" si="1"/>
        <v>18:00</v>
      </c>
    </row>
    <row r="32" spans="1:9" x14ac:dyDescent="0.25">
      <c r="A32" s="26">
        <v>45554</v>
      </c>
      <c r="B32" s="27">
        <v>0.54166666666666663</v>
      </c>
      <c r="C32" s="25" t="s">
        <v>26</v>
      </c>
      <c r="D32" s="28" t="s">
        <v>72</v>
      </c>
      <c r="E32" s="9" t="s">
        <v>20</v>
      </c>
      <c r="F32" s="8">
        <f>(INT(Table_Kyrgyzstan[[#This Row],[Date]]) - DATE(1970, 1, 1)) * 86400000</f>
        <v>1726704000000</v>
      </c>
      <c r="G32">
        <f>'GMT Glossary'!$B$2</f>
        <v>6</v>
      </c>
      <c r="H32" s="2" t="str">
        <f t="shared" si="0"/>
        <v>2024-09-19</v>
      </c>
      <c r="I32" s="2" t="str">
        <f t="shared" si="1"/>
        <v>19:00</v>
      </c>
    </row>
    <row r="33" spans="1:9" x14ac:dyDescent="0.25">
      <c r="A33" s="26">
        <v>45554</v>
      </c>
      <c r="B33" s="27">
        <v>0.625</v>
      </c>
      <c r="C33" s="25" t="s">
        <v>26</v>
      </c>
      <c r="D33" s="28" t="s">
        <v>34</v>
      </c>
      <c r="E33" s="9" t="s">
        <v>20</v>
      </c>
      <c r="F33" s="8">
        <f>(INT(Table_Kyrgyzstan[[#This Row],[Date]]) - DATE(1970, 1, 1)) * 86400000</f>
        <v>1726704000000</v>
      </c>
      <c r="G33">
        <f>'GMT Glossary'!$B$2</f>
        <v>6</v>
      </c>
      <c r="H33" s="2" t="str">
        <f t="shared" si="0"/>
        <v>2024-09-19</v>
      </c>
      <c r="I33" s="2" t="str">
        <f t="shared" si="1"/>
        <v>21:00</v>
      </c>
    </row>
    <row r="34" spans="1:9" x14ac:dyDescent="0.25">
      <c r="A34" s="26">
        <v>45554</v>
      </c>
      <c r="B34" s="27">
        <v>0.70833333333333337</v>
      </c>
      <c r="C34" s="25" t="s">
        <v>26</v>
      </c>
      <c r="D34" s="29" t="s">
        <v>73</v>
      </c>
      <c r="E34" s="9" t="s">
        <v>20</v>
      </c>
      <c r="F34" s="8">
        <f>(INT(Table_Kyrgyzstan[[#This Row],[Date]]) - DATE(1970, 1, 1)) * 86400000</f>
        <v>1726704000000</v>
      </c>
      <c r="G34">
        <f>'GMT Glossary'!$B$2</f>
        <v>6</v>
      </c>
      <c r="H34" s="2" t="str">
        <f t="shared" si="0"/>
        <v>2024-09-19</v>
      </c>
      <c r="I34" s="2" t="str">
        <f t="shared" si="1"/>
        <v>23:00</v>
      </c>
    </row>
    <row r="35" spans="1:9" x14ac:dyDescent="0.25">
      <c r="A35" s="26">
        <v>45554</v>
      </c>
      <c r="B35" s="27">
        <v>0.79166666666666663</v>
      </c>
      <c r="C35" s="25" t="s">
        <v>26</v>
      </c>
      <c r="D35" s="28" t="s">
        <v>62</v>
      </c>
      <c r="E35" s="9" t="s">
        <v>20</v>
      </c>
      <c r="F35" s="8">
        <f>(INT(Table_Kyrgyzstan[[#This Row],[Date]]) - DATE(1970, 1, 1)) * 86400000</f>
        <v>1726704000000</v>
      </c>
      <c r="G35">
        <f>'GMT Glossary'!$B$2</f>
        <v>6</v>
      </c>
      <c r="H35" s="2" t="str">
        <f t="shared" si="0"/>
        <v>2024-09-20</v>
      </c>
      <c r="I35" s="2" t="str">
        <f t="shared" si="1"/>
        <v>01:00</v>
      </c>
    </row>
    <row r="36" spans="1:9" x14ac:dyDescent="0.25">
      <c r="A36" s="26">
        <v>45554</v>
      </c>
      <c r="B36" s="27">
        <v>0.875</v>
      </c>
      <c r="C36" s="25" t="s">
        <v>26</v>
      </c>
      <c r="D36" s="28" t="s">
        <v>32</v>
      </c>
      <c r="E36" s="9" t="s">
        <v>20</v>
      </c>
      <c r="F36" s="8">
        <f>(INT(Table_Kyrgyzstan[[#This Row],[Date]]) - DATE(1970, 1, 1)) * 86400000</f>
        <v>1726704000000</v>
      </c>
      <c r="G36">
        <f>'GMT Glossary'!$B$2</f>
        <v>6</v>
      </c>
      <c r="H36" s="2" t="str">
        <f t="shared" si="0"/>
        <v>2024-09-20</v>
      </c>
      <c r="I36" s="2" t="str">
        <f t="shared" si="1"/>
        <v>03:00</v>
      </c>
    </row>
    <row r="37" spans="1:9" x14ac:dyDescent="0.25">
      <c r="A37" s="26">
        <v>45554</v>
      </c>
      <c r="B37" s="27">
        <v>0.95833333333333337</v>
      </c>
      <c r="C37" s="25" t="s">
        <v>26</v>
      </c>
      <c r="D37" s="28" t="s">
        <v>31</v>
      </c>
      <c r="E37" s="9" t="s">
        <v>20</v>
      </c>
      <c r="F37" s="8">
        <f>(INT(Table_Kyrgyzstan[[#This Row],[Date]]) - DATE(1970, 1, 1)) * 86400000</f>
        <v>1726704000000</v>
      </c>
      <c r="G37">
        <f>'GMT Glossary'!$B$2</f>
        <v>6</v>
      </c>
      <c r="H37" s="2" t="str">
        <f t="shared" si="0"/>
        <v>2024-09-20</v>
      </c>
      <c r="I37" s="2" t="str">
        <f t="shared" si="1"/>
        <v>05:00</v>
      </c>
    </row>
    <row r="38" spans="1:9" x14ac:dyDescent="0.25">
      <c r="A38" s="26">
        <v>45555</v>
      </c>
      <c r="B38" s="27">
        <v>4.1666666666666664E-2</v>
      </c>
      <c r="C38" s="25" t="s">
        <v>26</v>
      </c>
      <c r="D38" s="28" t="s">
        <v>56</v>
      </c>
      <c r="E38" s="9" t="s">
        <v>20</v>
      </c>
      <c r="F38" s="8">
        <f>(INT(Table_Kyrgyzstan[[#This Row],[Date]]) - DATE(1970, 1, 1)) * 86400000</f>
        <v>1726790400000</v>
      </c>
      <c r="G38">
        <f>'GMT Glossary'!$B$2</f>
        <v>6</v>
      </c>
      <c r="H38" s="2" t="str">
        <f t="shared" si="0"/>
        <v>2024-09-20</v>
      </c>
      <c r="I38" s="2" t="str">
        <f t="shared" si="1"/>
        <v>07:00</v>
      </c>
    </row>
    <row r="39" spans="1:9" x14ac:dyDescent="0.25">
      <c r="A39" s="26">
        <v>45555</v>
      </c>
      <c r="B39" s="27">
        <v>0.125</v>
      </c>
      <c r="C39" s="25" t="s">
        <v>26</v>
      </c>
      <c r="D39" s="28" t="s">
        <v>29</v>
      </c>
      <c r="E39" s="9" t="s">
        <v>20</v>
      </c>
      <c r="F39" s="8">
        <f>(INT(Table_Kyrgyzstan[[#This Row],[Date]]) - DATE(1970, 1, 1)) * 86400000</f>
        <v>1726790400000</v>
      </c>
      <c r="G39">
        <f>'GMT Glossary'!$B$2</f>
        <v>6</v>
      </c>
      <c r="H39" s="2" t="str">
        <f t="shared" si="0"/>
        <v>2024-09-20</v>
      </c>
      <c r="I39" s="2" t="str">
        <f t="shared" si="1"/>
        <v>09:00</v>
      </c>
    </row>
    <row r="40" spans="1:9" x14ac:dyDescent="0.25">
      <c r="A40" s="26">
        <v>45555</v>
      </c>
      <c r="B40" s="27">
        <v>0.20833333333333334</v>
      </c>
      <c r="C40" s="25" t="s">
        <v>26</v>
      </c>
      <c r="D40" s="28" t="s">
        <v>35</v>
      </c>
      <c r="E40" s="9" t="s">
        <v>20</v>
      </c>
      <c r="F40" s="8">
        <f>(INT(Table_Kyrgyzstan[[#This Row],[Date]]) - DATE(1970, 1, 1)) * 86400000</f>
        <v>1726790400000</v>
      </c>
      <c r="G40">
        <f>'GMT Glossary'!$B$2</f>
        <v>6</v>
      </c>
      <c r="H40" s="2" t="str">
        <f t="shared" si="0"/>
        <v>2024-09-20</v>
      </c>
      <c r="I40" s="2" t="str">
        <f t="shared" si="1"/>
        <v>11:00</v>
      </c>
    </row>
    <row r="41" spans="1:9" x14ac:dyDescent="0.25">
      <c r="A41" s="26">
        <v>45555</v>
      </c>
      <c r="B41" s="27">
        <v>0.29166666666666669</v>
      </c>
      <c r="C41" s="25" t="s">
        <v>26</v>
      </c>
      <c r="D41" s="28" t="s">
        <v>71</v>
      </c>
      <c r="E41" s="9" t="s">
        <v>20</v>
      </c>
      <c r="F41" s="8">
        <f>(INT(Table_Kyrgyzstan[[#This Row],[Date]]) - DATE(1970, 1, 1)) * 86400000</f>
        <v>1726790400000</v>
      </c>
      <c r="G41">
        <f>'GMT Glossary'!$B$2</f>
        <v>6</v>
      </c>
      <c r="H41" s="2" t="str">
        <f t="shared" si="0"/>
        <v>2024-09-20</v>
      </c>
      <c r="I41" s="2" t="str">
        <f t="shared" si="1"/>
        <v>13:00</v>
      </c>
    </row>
    <row r="42" spans="1:9" x14ac:dyDescent="0.25">
      <c r="A42" s="26">
        <v>45555</v>
      </c>
      <c r="B42" s="27">
        <v>0.375</v>
      </c>
      <c r="C42" s="25" t="s">
        <v>26</v>
      </c>
      <c r="D42" s="28" t="s">
        <v>68</v>
      </c>
      <c r="E42" s="9" t="s">
        <v>20</v>
      </c>
      <c r="F42" s="8">
        <f>(INT(Table_Kyrgyzstan[[#This Row],[Date]]) - DATE(1970, 1, 1)) * 86400000</f>
        <v>1726790400000</v>
      </c>
      <c r="G42">
        <f>'GMT Glossary'!$B$2</f>
        <v>6</v>
      </c>
      <c r="H42" s="2" t="str">
        <f t="shared" si="0"/>
        <v>2024-09-20</v>
      </c>
      <c r="I42" s="2" t="str">
        <f t="shared" si="1"/>
        <v>15:00</v>
      </c>
    </row>
    <row r="43" spans="1:9" x14ac:dyDescent="0.25">
      <c r="A43" s="26">
        <v>45555</v>
      </c>
      <c r="B43" s="27">
        <v>0.45833333333333331</v>
      </c>
      <c r="C43" s="25" t="s">
        <v>26</v>
      </c>
      <c r="D43" s="28" t="s">
        <v>28</v>
      </c>
      <c r="E43" s="9" t="s">
        <v>20</v>
      </c>
      <c r="F43" s="8">
        <f>(INT(Table_Kyrgyzstan[[#This Row],[Date]]) - DATE(1970, 1, 1)) * 86400000</f>
        <v>1726790400000</v>
      </c>
      <c r="G43">
        <f>'GMT Glossary'!$B$2</f>
        <v>6</v>
      </c>
      <c r="H43" s="2" t="str">
        <f t="shared" si="0"/>
        <v>2024-09-20</v>
      </c>
      <c r="I43" s="2" t="str">
        <f t="shared" si="1"/>
        <v>17:00</v>
      </c>
    </row>
    <row r="44" spans="1:9" x14ac:dyDescent="0.25">
      <c r="A44" s="26">
        <v>45555</v>
      </c>
      <c r="B44" s="27">
        <v>0.54166666666666663</v>
      </c>
      <c r="C44" s="25" t="s">
        <v>26</v>
      </c>
      <c r="D44" s="28" t="s">
        <v>58</v>
      </c>
      <c r="E44" s="9" t="s">
        <v>20</v>
      </c>
      <c r="F44" s="8">
        <f>(INT(Table_Kyrgyzstan[[#This Row],[Date]]) - DATE(1970, 1, 1)) * 86400000</f>
        <v>1726790400000</v>
      </c>
      <c r="G44">
        <f>'GMT Glossary'!$B$2</f>
        <v>6</v>
      </c>
      <c r="H44" s="2" t="str">
        <f t="shared" si="0"/>
        <v>2024-09-20</v>
      </c>
      <c r="I44" s="2" t="str">
        <f t="shared" si="1"/>
        <v>19:00</v>
      </c>
    </row>
    <row r="45" spans="1:9" x14ac:dyDescent="0.25">
      <c r="A45" s="26">
        <v>45555</v>
      </c>
      <c r="B45" s="27">
        <v>0.625</v>
      </c>
      <c r="C45" s="25" t="s">
        <v>26</v>
      </c>
      <c r="D45" s="28" t="s">
        <v>27</v>
      </c>
      <c r="E45" s="9" t="s">
        <v>20</v>
      </c>
      <c r="F45" s="8">
        <f>(INT(Table_Kyrgyzstan[[#This Row],[Date]]) - DATE(1970, 1, 1)) * 86400000</f>
        <v>1726790400000</v>
      </c>
      <c r="G45">
        <f>'GMT Glossary'!$B$2</f>
        <v>6</v>
      </c>
      <c r="H45" s="2" t="str">
        <f t="shared" si="0"/>
        <v>2024-09-20</v>
      </c>
      <c r="I45" s="2" t="str">
        <f t="shared" si="1"/>
        <v>21:00</v>
      </c>
    </row>
    <row r="46" spans="1:9" x14ac:dyDescent="0.25">
      <c r="A46" s="26">
        <v>45555</v>
      </c>
      <c r="B46" s="27">
        <v>0.6875</v>
      </c>
      <c r="C46" s="25" t="s">
        <v>26</v>
      </c>
      <c r="D46" s="29" t="s">
        <v>74</v>
      </c>
      <c r="E46" s="9" t="s">
        <v>20</v>
      </c>
      <c r="F46" s="8">
        <f>(INT(Table_Kyrgyzstan[[#This Row],[Date]]) - DATE(1970, 1, 1)) * 86400000</f>
        <v>1726790400000</v>
      </c>
      <c r="G46">
        <f>'GMT Glossary'!$B$2</f>
        <v>6</v>
      </c>
      <c r="H46" s="2" t="str">
        <f t="shared" si="0"/>
        <v>2024-09-20</v>
      </c>
      <c r="I46" s="2" t="str">
        <f t="shared" si="1"/>
        <v>22:30</v>
      </c>
    </row>
    <row r="47" spans="1:9" x14ac:dyDescent="0.25">
      <c r="A47" s="26">
        <v>45555</v>
      </c>
      <c r="B47" s="27">
        <v>0.78125</v>
      </c>
      <c r="C47" s="25" t="s">
        <v>26</v>
      </c>
      <c r="D47" s="29" t="s">
        <v>75</v>
      </c>
      <c r="E47" s="9" t="s">
        <v>20</v>
      </c>
      <c r="F47" s="8">
        <f>(INT(Table_Kyrgyzstan[[#This Row],[Date]]) - DATE(1970, 1, 1)) * 86400000</f>
        <v>1726790400000</v>
      </c>
      <c r="G47">
        <f>'GMT Glossary'!$B$2</f>
        <v>6</v>
      </c>
      <c r="H47" s="2" t="str">
        <f t="shared" si="0"/>
        <v>2024-09-21</v>
      </c>
      <c r="I47" s="2" t="str">
        <f t="shared" si="1"/>
        <v>00:45</v>
      </c>
    </row>
    <row r="48" spans="1:9" x14ac:dyDescent="0.25">
      <c r="A48" s="26">
        <v>45555</v>
      </c>
      <c r="B48" s="27">
        <v>0.875</v>
      </c>
      <c r="C48" s="25" t="s">
        <v>26</v>
      </c>
      <c r="D48" s="28" t="s">
        <v>33</v>
      </c>
      <c r="E48" s="9" t="s">
        <v>20</v>
      </c>
      <c r="F48" s="8">
        <f>(INT(Table_Kyrgyzstan[[#This Row],[Date]]) - DATE(1970, 1, 1)) * 86400000</f>
        <v>1726790400000</v>
      </c>
      <c r="G48">
        <f>'GMT Glossary'!$B$2</f>
        <v>6</v>
      </c>
      <c r="H48" s="2" t="str">
        <f t="shared" si="0"/>
        <v>2024-09-21</v>
      </c>
      <c r="I48" s="2" t="str">
        <f t="shared" si="1"/>
        <v>03:00</v>
      </c>
    </row>
    <row r="49" spans="1:9" x14ac:dyDescent="0.25">
      <c r="A49" s="26">
        <v>45555</v>
      </c>
      <c r="B49" s="27">
        <v>0.95833333333333337</v>
      </c>
      <c r="C49" s="25" t="s">
        <v>26</v>
      </c>
      <c r="D49" s="28" t="s">
        <v>72</v>
      </c>
      <c r="E49" s="9" t="s">
        <v>20</v>
      </c>
      <c r="F49" s="8">
        <f>(INT(Table_Kyrgyzstan[[#This Row],[Date]]) - DATE(1970, 1, 1)) * 86400000</f>
        <v>1726790400000</v>
      </c>
      <c r="G49">
        <f>'GMT Glossary'!$B$2</f>
        <v>6</v>
      </c>
      <c r="H49" s="2" t="str">
        <f t="shared" si="0"/>
        <v>2024-09-21</v>
      </c>
      <c r="I49" s="2" t="str">
        <f t="shared" si="1"/>
        <v>05:00</v>
      </c>
    </row>
    <row r="50" spans="1:9" x14ac:dyDescent="0.25">
      <c r="A50" s="26">
        <v>45556</v>
      </c>
      <c r="B50" s="27">
        <v>4.1666666666666664E-2</v>
      </c>
      <c r="C50" s="25" t="s">
        <v>26</v>
      </c>
      <c r="D50" s="28" t="s">
        <v>63</v>
      </c>
      <c r="E50" s="9" t="s">
        <v>20</v>
      </c>
      <c r="F50" s="8">
        <f>(INT(Table_Kyrgyzstan[[#This Row],[Date]]) - DATE(1970, 1, 1)) * 86400000</f>
        <v>1726876800000</v>
      </c>
      <c r="G50">
        <f>'GMT Glossary'!$B$2</f>
        <v>6</v>
      </c>
      <c r="H50" s="2" t="str">
        <f t="shared" si="0"/>
        <v>2024-09-21</v>
      </c>
      <c r="I50" s="2" t="str">
        <f t="shared" si="1"/>
        <v>07:00</v>
      </c>
    </row>
    <row r="51" spans="1:9" x14ac:dyDescent="0.25">
      <c r="A51" s="26">
        <v>45556</v>
      </c>
      <c r="B51" s="27">
        <v>0.125</v>
      </c>
      <c r="C51" s="25" t="s">
        <v>26</v>
      </c>
      <c r="D51" s="28" t="s">
        <v>32</v>
      </c>
      <c r="E51" s="9" t="s">
        <v>20</v>
      </c>
      <c r="F51" s="8">
        <f>(INT(Table_Kyrgyzstan[[#This Row],[Date]]) - DATE(1970, 1, 1)) * 86400000</f>
        <v>1726876800000</v>
      </c>
      <c r="G51">
        <f>'GMT Glossary'!$B$2</f>
        <v>6</v>
      </c>
      <c r="H51" s="2" t="str">
        <f t="shared" si="0"/>
        <v>2024-09-21</v>
      </c>
      <c r="I51" s="2" t="str">
        <f t="shared" si="1"/>
        <v>09:00</v>
      </c>
    </row>
    <row r="52" spans="1:9" x14ac:dyDescent="0.25">
      <c r="A52" s="26">
        <v>45556</v>
      </c>
      <c r="B52" s="27">
        <v>0.20833333333333334</v>
      </c>
      <c r="C52" s="25" t="s">
        <v>26</v>
      </c>
      <c r="D52" s="28" t="s">
        <v>30</v>
      </c>
      <c r="E52" s="9" t="s">
        <v>20</v>
      </c>
      <c r="F52" s="8">
        <f>(INT(Table_Kyrgyzstan[[#This Row],[Date]]) - DATE(1970, 1, 1)) * 86400000</f>
        <v>1726876800000</v>
      </c>
      <c r="G52">
        <f>'GMT Glossary'!$B$2</f>
        <v>6</v>
      </c>
      <c r="H52" s="2" t="str">
        <f t="shared" si="0"/>
        <v>2024-09-21</v>
      </c>
      <c r="I52" s="2" t="str">
        <f t="shared" si="1"/>
        <v>11:00</v>
      </c>
    </row>
    <row r="53" spans="1:9" x14ac:dyDescent="0.25">
      <c r="A53" s="26">
        <v>45556</v>
      </c>
      <c r="B53" s="27">
        <v>0.29166666666666669</v>
      </c>
      <c r="C53" s="25" t="s">
        <v>26</v>
      </c>
      <c r="D53" s="28" t="s">
        <v>31</v>
      </c>
      <c r="E53" s="9" t="s">
        <v>20</v>
      </c>
      <c r="F53" s="8">
        <f>(INT(Table_Kyrgyzstan[[#This Row],[Date]]) - DATE(1970, 1, 1)) * 86400000</f>
        <v>1726876800000</v>
      </c>
      <c r="G53">
        <f>'GMT Glossary'!$B$2</f>
        <v>6</v>
      </c>
      <c r="H53" s="2" t="str">
        <f t="shared" si="0"/>
        <v>2024-09-21</v>
      </c>
      <c r="I53" s="2" t="str">
        <f t="shared" si="1"/>
        <v>13:00</v>
      </c>
    </row>
    <row r="54" spans="1:9" x14ac:dyDescent="0.25">
      <c r="A54" s="26">
        <v>45556</v>
      </c>
      <c r="B54" s="27">
        <v>0.375</v>
      </c>
      <c r="C54" s="25" t="s">
        <v>26</v>
      </c>
      <c r="D54" s="28" t="s">
        <v>29</v>
      </c>
      <c r="E54" s="9" t="s">
        <v>20</v>
      </c>
      <c r="F54" s="8">
        <f>(INT(Table_Kyrgyzstan[[#This Row],[Date]]) - DATE(1970, 1, 1)) * 86400000</f>
        <v>1726876800000</v>
      </c>
      <c r="G54">
        <f>'GMT Glossary'!$B$2</f>
        <v>6</v>
      </c>
      <c r="H54" s="2" t="str">
        <f t="shared" si="0"/>
        <v>2024-09-21</v>
      </c>
      <c r="I54" s="2" t="str">
        <f t="shared" si="1"/>
        <v>15:00</v>
      </c>
    </row>
    <row r="55" spans="1:9" x14ac:dyDescent="0.25">
      <c r="A55" s="26">
        <v>45556</v>
      </c>
      <c r="B55" s="27">
        <v>0.47916666666666669</v>
      </c>
      <c r="C55" s="25" t="s">
        <v>26</v>
      </c>
      <c r="D55" s="29" t="s">
        <v>76</v>
      </c>
      <c r="E55" s="9" t="s">
        <v>20</v>
      </c>
      <c r="F55" s="8">
        <f>(INT(Table_Kyrgyzstan[[#This Row],[Date]]) - DATE(1970, 1, 1)) * 86400000</f>
        <v>1726876800000</v>
      </c>
      <c r="G55">
        <f>'GMT Glossary'!$B$2</f>
        <v>6</v>
      </c>
      <c r="H55" s="2" t="str">
        <f t="shared" si="0"/>
        <v>2024-09-21</v>
      </c>
      <c r="I55" s="2" t="str">
        <f t="shared" si="1"/>
        <v>17:30</v>
      </c>
    </row>
    <row r="56" spans="1:9" x14ac:dyDescent="0.25">
      <c r="A56" s="26">
        <v>45556</v>
      </c>
      <c r="B56" s="27">
        <v>0.58333333333333337</v>
      </c>
      <c r="C56" s="25" t="s">
        <v>26</v>
      </c>
      <c r="D56" s="29" t="s">
        <v>77</v>
      </c>
      <c r="E56" s="9" t="s">
        <v>20</v>
      </c>
      <c r="F56" s="8">
        <f>(INT(Table_Kyrgyzstan[[#This Row],[Date]]) - DATE(1970, 1, 1)) * 86400000</f>
        <v>1726876800000</v>
      </c>
      <c r="G56">
        <f>'GMT Glossary'!$B$2</f>
        <v>6</v>
      </c>
      <c r="H56" s="2" t="str">
        <f t="shared" si="0"/>
        <v>2024-09-21</v>
      </c>
      <c r="I56" s="2" t="str">
        <f t="shared" si="1"/>
        <v>20:00</v>
      </c>
    </row>
    <row r="57" spans="1:9" x14ac:dyDescent="0.25">
      <c r="A57" s="26">
        <v>45556</v>
      </c>
      <c r="B57" s="27">
        <v>0.6875</v>
      </c>
      <c r="C57" s="25" t="s">
        <v>26</v>
      </c>
      <c r="D57" s="29" t="s">
        <v>78</v>
      </c>
      <c r="E57" s="9" t="s">
        <v>20</v>
      </c>
      <c r="F57" s="8">
        <f>(INT(Table_Kyrgyzstan[[#This Row],[Date]]) - DATE(1970, 1, 1)) * 86400000</f>
        <v>1726876800000</v>
      </c>
      <c r="G57">
        <f>'GMT Glossary'!$B$2</f>
        <v>6</v>
      </c>
      <c r="H57" s="2" t="str">
        <f t="shared" si="0"/>
        <v>2024-09-21</v>
      </c>
      <c r="I57" s="2" t="str">
        <f t="shared" si="1"/>
        <v>22:30</v>
      </c>
    </row>
    <row r="58" spans="1:9" x14ac:dyDescent="0.25">
      <c r="A58" s="26">
        <v>45556</v>
      </c>
      <c r="B58" s="27">
        <v>0.79166666666666663</v>
      </c>
      <c r="C58" s="25" t="s">
        <v>26</v>
      </c>
      <c r="D58" s="29" t="s">
        <v>79</v>
      </c>
      <c r="E58" s="9" t="s">
        <v>20</v>
      </c>
      <c r="F58" s="8">
        <f>(INT(Table_Kyrgyzstan[[#This Row],[Date]]) - DATE(1970, 1, 1)) * 86400000</f>
        <v>1726876800000</v>
      </c>
      <c r="G58">
        <f>'GMT Glossary'!$B$2</f>
        <v>6</v>
      </c>
      <c r="H58" s="2" t="str">
        <f t="shared" si="0"/>
        <v>2024-09-22</v>
      </c>
      <c r="I58" s="2" t="str">
        <f t="shared" si="1"/>
        <v>01:00</v>
      </c>
    </row>
    <row r="59" spans="1:9" x14ac:dyDescent="0.25">
      <c r="A59" s="26">
        <v>45556</v>
      </c>
      <c r="B59" s="27">
        <v>0.875</v>
      </c>
      <c r="C59" s="25" t="s">
        <v>26</v>
      </c>
      <c r="D59" s="28" t="s">
        <v>33</v>
      </c>
      <c r="E59" s="9" t="s">
        <v>20</v>
      </c>
      <c r="F59" s="8">
        <f>(INT(Table_Kyrgyzstan[[#This Row],[Date]]) - DATE(1970, 1, 1)) * 86400000</f>
        <v>1726876800000</v>
      </c>
      <c r="G59">
        <f>'GMT Glossary'!$B$2</f>
        <v>6</v>
      </c>
      <c r="H59" s="2" t="str">
        <f t="shared" si="0"/>
        <v>2024-09-22</v>
      </c>
      <c r="I59" s="2" t="str">
        <f t="shared" si="1"/>
        <v>03:00</v>
      </c>
    </row>
    <row r="60" spans="1:9" x14ac:dyDescent="0.25">
      <c r="A60" s="26">
        <v>45556</v>
      </c>
      <c r="B60" s="27">
        <v>0.95833333333333337</v>
      </c>
      <c r="C60" s="25" t="s">
        <v>26</v>
      </c>
      <c r="D60" s="28" t="s">
        <v>80</v>
      </c>
      <c r="E60" s="9" t="s">
        <v>20</v>
      </c>
      <c r="F60" s="8">
        <f>(INT(Table_Kyrgyzstan[[#This Row],[Date]]) - DATE(1970, 1, 1)) * 86400000</f>
        <v>1726876800000</v>
      </c>
      <c r="G60">
        <f>'GMT Glossary'!$B$2</f>
        <v>6</v>
      </c>
      <c r="H60" s="2" t="str">
        <f t="shared" si="0"/>
        <v>2024-09-22</v>
      </c>
      <c r="I60" s="2" t="str">
        <f t="shared" si="1"/>
        <v>05:00</v>
      </c>
    </row>
    <row r="61" spans="1:9" x14ac:dyDescent="0.25">
      <c r="A61" s="26">
        <v>45557</v>
      </c>
      <c r="B61" s="27">
        <v>4.1666666666666664E-2</v>
      </c>
      <c r="C61" s="25" t="s">
        <v>26</v>
      </c>
      <c r="D61" s="28" t="s">
        <v>32</v>
      </c>
      <c r="E61" s="9" t="s">
        <v>20</v>
      </c>
      <c r="F61" s="8">
        <f>(INT(Table_Kyrgyzstan[[#This Row],[Date]]) - DATE(1970, 1, 1)) * 86400000</f>
        <v>1726963200000</v>
      </c>
      <c r="G61">
        <f>'GMT Glossary'!$B$2</f>
        <v>6</v>
      </c>
      <c r="H61" s="2" t="str">
        <f t="shared" si="0"/>
        <v>2024-09-22</v>
      </c>
      <c r="I61" s="2" t="str">
        <f t="shared" si="1"/>
        <v>07:00</v>
      </c>
    </row>
    <row r="62" spans="1:9" x14ac:dyDescent="0.25">
      <c r="A62" s="26">
        <v>45557</v>
      </c>
      <c r="B62" s="27">
        <v>0.125</v>
      </c>
      <c r="C62" s="25" t="s">
        <v>26</v>
      </c>
      <c r="D62" s="28" t="s">
        <v>59</v>
      </c>
      <c r="E62" s="9" t="s">
        <v>20</v>
      </c>
      <c r="F62" s="8">
        <f>(INT(Table_Kyrgyzstan[[#This Row],[Date]]) - DATE(1970, 1, 1)) * 86400000</f>
        <v>1726963200000</v>
      </c>
      <c r="G62">
        <f>'GMT Glossary'!$B$2</f>
        <v>6</v>
      </c>
      <c r="H62" s="2" t="str">
        <f t="shared" si="0"/>
        <v>2024-09-22</v>
      </c>
      <c r="I62" s="2" t="str">
        <f t="shared" si="1"/>
        <v>09:00</v>
      </c>
    </row>
    <row r="63" spans="1:9" x14ac:dyDescent="0.25">
      <c r="A63" s="26">
        <v>45557</v>
      </c>
      <c r="B63" s="27">
        <v>0.20833333333333334</v>
      </c>
      <c r="C63" s="25" t="s">
        <v>26</v>
      </c>
      <c r="D63" s="28" t="s">
        <v>60</v>
      </c>
      <c r="E63" s="9" t="s">
        <v>20</v>
      </c>
      <c r="F63" s="8">
        <f>(INT(Table_Kyrgyzstan[[#This Row],[Date]]) - DATE(1970, 1, 1)) * 86400000</f>
        <v>1726963200000</v>
      </c>
      <c r="G63">
        <f>'GMT Glossary'!$B$2</f>
        <v>6</v>
      </c>
      <c r="H63" s="2" t="str">
        <f t="shared" si="0"/>
        <v>2024-09-22</v>
      </c>
      <c r="I63" s="2" t="str">
        <f t="shared" si="1"/>
        <v>11:00</v>
      </c>
    </row>
    <row r="64" spans="1:9" x14ac:dyDescent="0.25">
      <c r="A64" s="26">
        <v>45557</v>
      </c>
      <c r="B64" s="27">
        <v>0.29166666666666669</v>
      </c>
      <c r="C64" s="25" t="s">
        <v>26</v>
      </c>
      <c r="D64" s="28" t="s">
        <v>29</v>
      </c>
      <c r="E64" s="9" t="s">
        <v>20</v>
      </c>
      <c r="F64" s="8">
        <f>(INT(Table_Kyrgyzstan[[#This Row],[Date]]) - DATE(1970, 1, 1)) * 86400000</f>
        <v>1726963200000</v>
      </c>
      <c r="G64">
        <f>'GMT Glossary'!$B$2</f>
        <v>6</v>
      </c>
      <c r="H64" s="2" t="str">
        <f t="shared" si="0"/>
        <v>2024-09-22</v>
      </c>
      <c r="I64" s="2" t="str">
        <f t="shared" si="1"/>
        <v>13:00</v>
      </c>
    </row>
    <row r="65" spans="1:9" x14ac:dyDescent="0.25">
      <c r="A65" s="26">
        <v>45557</v>
      </c>
      <c r="B65" s="27">
        <v>0.375</v>
      </c>
      <c r="C65" s="25" t="s">
        <v>26</v>
      </c>
      <c r="D65" s="28" t="s">
        <v>27</v>
      </c>
      <c r="E65" s="9" t="s">
        <v>20</v>
      </c>
      <c r="F65" s="8">
        <f>(INT(Table_Kyrgyzstan[[#This Row],[Date]]) - DATE(1970, 1, 1)) * 86400000</f>
        <v>1726963200000</v>
      </c>
      <c r="G65">
        <f>'GMT Glossary'!$B$2</f>
        <v>6</v>
      </c>
      <c r="H65" s="2" t="str">
        <f t="shared" si="0"/>
        <v>2024-09-22</v>
      </c>
      <c r="I65" s="2" t="str">
        <f t="shared" si="1"/>
        <v>15:00</v>
      </c>
    </row>
    <row r="66" spans="1:9" x14ac:dyDescent="0.25">
      <c r="A66" s="26">
        <v>45557</v>
      </c>
      <c r="B66" s="27">
        <v>0.4375</v>
      </c>
      <c r="C66" s="25" t="s">
        <v>26</v>
      </c>
      <c r="D66" s="29" t="s">
        <v>81</v>
      </c>
      <c r="E66" s="9" t="s">
        <v>20</v>
      </c>
      <c r="F66" s="8">
        <f>(INT(Table_Kyrgyzstan[[#This Row],[Date]]) - DATE(1970, 1, 1)) * 86400000</f>
        <v>1726963200000</v>
      </c>
      <c r="G66">
        <f>'GMT Glossary'!$B$2</f>
        <v>6</v>
      </c>
      <c r="H66" s="2" t="str">
        <f t="shared" ref="H66:H87" si="2">TEXT(IF(B66&lt;0, A66+1+((B66+(G66/24))-(INT(B66+(G66/24)))), A66+(B66+(G66/24))), "yyyy-mm-dd")</f>
        <v>2024-09-22</v>
      </c>
      <c r="I66" s="2" t="str">
        <f t="shared" ref="I66:I87" si="3">TEXT(IF(B66&lt;0, A66+1+((B66+(G66/24))-(INT(B66+(G66/24)))), A66+(B66+(G66/24))), "hh:mm")</f>
        <v>16:30</v>
      </c>
    </row>
    <row r="67" spans="1:9" x14ac:dyDescent="0.25">
      <c r="A67" s="26">
        <v>45557</v>
      </c>
      <c r="B67" s="27">
        <v>0.54166666666666663</v>
      </c>
      <c r="C67" s="25" t="s">
        <v>26</v>
      </c>
      <c r="D67" s="29" t="s">
        <v>82</v>
      </c>
      <c r="E67" s="9" t="s">
        <v>20</v>
      </c>
      <c r="F67" s="8">
        <f>(INT(Table_Kyrgyzstan[[#This Row],[Date]]) - DATE(1970, 1, 1)) * 86400000</f>
        <v>1726963200000</v>
      </c>
      <c r="G67">
        <f>'GMT Glossary'!$B$2</f>
        <v>6</v>
      </c>
      <c r="H67" s="2" t="str">
        <f t="shared" si="2"/>
        <v>2024-09-22</v>
      </c>
      <c r="I67" s="2" t="str">
        <f t="shared" si="3"/>
        <v>19:00</v>
      </c>
    </row>
    <row r="68" spans="1:9" x14ac:dyDescent="0.25">
      <c r="A68" s="26">
        <v>45557</v>
      </c>
      <c r="B68" s="27">
        <v>0.64583333333333337</v>
      </c>
      <c r="C68" s="25" t="s">
        <v>26</v>
      </c>
      <c r="D68" s="29" t="s">
        <v>83</v>
      </c>
      <c r="E68" s="9" t="s">
        <v>20</v>
      </c>
      <c r="F68" s="8">
        <f>(INT(Table_Kyrgyzstan[[#This Row],[Date]]) - DATE(1970, 1, 1)) * 86400000</f>
        <v>1726963200000</v>
      </c>
      <c r="G68">
        <f>'GMT Glossary'!$B$2</f>
        <v>6</v>
      </c>
      <c r="H68" s="2" t="str">
        <f t="shared" si="2"/>
        <v>2024-09-22</v>
      </c>
      <c r="I68" s="2" t="str">
        <f t="shared" si="3"/>
        <v>21:30</v>
      </c>
    </row>
    <row r="69" spans="1:9" x14ac:dyDescent="0.25">
      <c r="A69" s="26">
        <v>45557</v>
      </c>
      <c r="B69" s="27">
        <v>0.78125</v>
      </c>
      <c r="C69" s="25" t="s">
        <v>26</v>
      </c>
      <c r="D69" s="29" t="s">
        <v>84</v>
      </c>
      <c r="E69" s="9" t="s">
        <v>20</v>
      </c>
      <c r="F69" s="8">
        <f>(INT(Table_Kyrgyzstan[[#This Row],[Date]]) - DATE(1970, 1, 1)) * 86400000</f>
        <v>1726963200000</v>
      </c>
      <c r="G69">
        <f>'GMT Glossary'!$B$2</f>
        <v>6</v>
      </c>
      <c r="H69" s="2" t="str">
        <f t="shared" si="2"/>
        <v>2024-09-23</v>
      </c>
      <c r="I69" s="2" t="str">
        <f t="shared" si="3"/>
        <v>00:45</v>
      </c>
    </row>
    <row r="70" spans="1:9" x14ac:dyDescent="0.25">
      <c r="A70" s="26">
        <v>45557</v>
      </c>
      <c r="B70" s="27">
        <v>0.875</v>
      </c>
      <c r="C70" s="25" t="s">
        <v>26</v>
      </c>
      <c r="D70" s="28" t="s">
        <v>85</v>
      </c>
      <c r="E70" s="9" t="s">
        <v>20</v>
      </c>
      <c r="F70" s="8">
        <f>(INT(Table_Kyrgyzstan[[#This Row],[Date]]) - DATE(1970, 1, 1)) * 86400000</f>
        <v>1726963200000</v>
      </c>
      <c r="G70">
        <f>'GMT Glossary'!$B$2</f>
        <v>6</v>
      </c>
      <c r="H70" s="2" t="str">
        <f t="shared" si="2"/>
        <v>2024-09-23</v>
      </c>
      <c r="I70" s="2" t="str">
        <f t="shared" si="3"/>
        <v>03:00</v>
      </c>
    </row>
    <row r="71" spans="1:9" x14ac:dyDescent="0.25">
      <c r="A71" s="26">
        <v>45557</v>
      </c>
      <c r="B71" s="27">
        <v>0.95833333333333337</v>
      </c>
      <c r="C71" s="25" t="s">
        <v>26</v>
      </c>
      <c r="D71" s="28" t="s">
        <v>86</v>
      </c>
      <c r="E71" s="9" t="s">
        <v>20</v>
      </c>
      <c r="F71" s="8">
        <f>(INT(Table_Kyrgyzstan[[#This Row],[Date]]) - DATE(1970, 1, 1)) * 86400000</f>
        <v>1726963200000</v>
      </c>
      <c r="G71">
        <f>'GMT Glossary'!$B$2</f>
        <v>6</v>
      </c>
      <c r="H71" s="2" t="str">
        <f t="shared" si="2"/>
        <v>2024-09-23</v>
      </c>
      <c r="I71" s="2" t="str">
        <f t="shared" si="3"/>
        <v>05:00</v>
      </c>
    </row>
    <row r="72" spans="1:9" x14ac:dyDescent="0.25">
      <c r="A72" s="26">
        <v>45558</v>
      </c>
      <c r="B72" s="27">
        <v>4.1666666666666664E-2</v>
      </c>
      <c r="C72" s="25" t="s">
        <v>26</v>
      </c>
      <c r="D72" s="28" t="s">
        <v>87</v>
      </c>
      <c r="E72" s="9" t="s">
        <v>20</v>
      </c>
      <c r="F72" s="8">
        <f>(INT(Table_Kyrgyzstan[[#This Row],[Date]]) - DATE(1970, 1, 1)) * 86400000</f>
        <v>1727049600000</v>
      </c>
      <c r="G72">
        <f>'GMT Glossary'!$B$2</f>
        <v>6</v>
      </c>
      <c r="H72" s="2" t="str">
        <f t="shared" si="2"/>
        <v>2024-09-23</v>
      </c>
      <c r="I72" s="2" t="str">
        <f t="shared" si="3"/>
        <v>07:00</v>
      </c>
    </row>
    <row r="73" spans="1:9" x14ac:dyDescent="0.25">
      <c r="A73" s="26">
        <v>45558</v>
      </c>
      <c r="B73" s="27">
        <v>0.125</v>
      </c>
      <c r="C73" s="25" t="s">
        <v>26</v>
      </c>
      <c r="D73" s="28" t="s">
        <v>88</v>
      </c>
      <c r="E73" s="9" t="s">
        <v>20</v>
      </c>
      <c r="F73" s="8">
        <f>(INT(Table_Kyrgyzstan[[#This Row],[Date]]) - DATE(1970, 1, 1)) * 86400000</f>
        <v>1727049600000</v>
      </c>
      <c r="G73">
        <f>'GMT Glossary'!$B$2</f>
        <v>6</v>
      </c>
      <c r="H73" s="2" t="str">
        <f t="shared" si="2"/>
        <v>2024-09-23</v>
      </c>
      <c r="I73" s="2" t="str">
        <f t="shared" si="3"/>
        <v>09:00</v>
      </c>
    </row>
    <row r="74" spans="1:9" x14ac:dyDescent="0.25">
      <c r="A74" s="26">
        <v>45558</v>
      </c>
      <c r="B74" s="27">
        <v>0.20833333333333334</v>
      </c>
      <c r="C74" s="25" t="s">
        <v>26</v>
      </c>
      <c r="D74" s="28" t="s">
        <v>89</v>
      </c>
      <c r="E74" s="9" t="s">
        <v>20</v>
      </c>
      <c r="F74" s="8">
        <f>(INT(Table_Kyrgyzstan[[#This Row],[Date]]) - DATE(1970, 1, 1)) * 86400000</f>
        <v>1727049600000</v>
      </c>
      <c r="G74">
        <f>'GMT Glossary'!$B$2</f>
        <v>6</v>
      </c>
      <c r="H74" s="2" t="str">
        <f t="shared" si="2"/>
        <v>2024-09-23</v>
      </c>
      <c r="I74" s="2" t="str">
        <f t="shared" si="3"/>
        <v>11:00</v>
      </c>
    </row>
    <row r="75" spans="1:9" x14ac:dyDescent="0.25">
      <c r="A75" s="26">
        <v>45558</v>
      </c>
      <c r="B75" s="27">
        <v>0.29166666666666669</v>
      </c>
      <c r="C75" s="25" t="s">
        <v>26</v>
      </c>
      <c r="D75" s="28" t="s">
        <v>85</v>
      </c>
      <c r="E75" s="9" t="s">
        <v>20</v>
      </c>
      <c r="F75" s="8">
        <f>(INT(Table_Kyrgyzstan[[#This Row],[Date]]) - DATE(1970, 1, 1)) * 86400000</f>
        <v>1727049600000</v>
      </c>
      <c r="G75">
        <f>'GMT Glossary'!$B$2</f>
        <v>6</v>
      </c>
      <c r="H75" s="2" t="str">
        <f t="shared" si="2"/>
        <v>2024-09-23</v>
      </c>
      <c r="I75" s="2" t="str">
        <f t="shared" si="3"/>
        <v>13:00</v>
      </c>
    </row>
    <row r="76" spans="1:9" x14ac:dyDescent="0.25">
      <c r="A76" s="26">
        <v>45558</v>
      </c>
      <c r="B76" s="27">
        <v>0.375</v>
      </c>
      <c r="C76" s="25" t="s">
        <v>26</v>
      </c>
      <c r="D76" s="28" t="s">
        <v>90</v>
      </c>
      <c r="E76" s="9" t="s">
        <v>20</v>
      </c>
      <c r="F76" s="8">
        <f>(INT(Table_Kyrgyzstan[[#This Row],[Date]]) - DATE(1970, 1, 1)) * 86400000</f>
        <v>1727049600000</v>
      </c>
      <c r="G76">
        <f>'GMT Glossary'!$B$2</f>
        <v>6</v>
      </c>
      <c r="H76" s="2" t="str">
        <f t="shared" si="2"/>
        <v>2024-09-23</v>
      </c>
      <c r="I76" s="2" t="str">
        <f t="shared" si="3"/>
        <v>15:00</v>
      </c>
    </row>
    <row r="77" spans="1:9" x14ac:dyDescent="0.25">
      <c r="A77" s="26">
        <v>45558</v>
      </c>
      <c r="B77" s="27">
        <v>0.45833333333333331</v>
      </c>
      <c r="C77" s="25" t="s">
        <v>26</v>
      </c>
      <c r="D77" s="28" t="s">
        <v>91</v>
      </c>
      <c r="E77" s="9" t="s">
        <v>20</v>
      </c>
      <c r="F77" s="8">
        <f>(INT(Table_Kyrgyzstan[[#This Row],[Date]]) - DATE(1970, 1, 1)) * 86400000</f>
        <v>1727049600000</v>
      </c>
      <c r="G77">
        <f>'GMT Glossary'!$B$2</f>
        <v>6</v>
      </c>
      <c r="H77" s="2" t="str">
        <f t="shared" si="2"/>
        <v>2024-09-23</v>
      </c>
      <c r="I77" s="2" t="str">
        <f t="shared" si="3"/>
        <v>17:00</v>
      </c>
    </row>
    <row r="78" spans="1:9" x14ac:dyDescent="0.25">
      <c r="A78" s="26">
        <v>45558</v>
      </c>
      <c r="B78" s="27">
        <v>0.54166666666666663</v>
      </c>
      <c r="C78" s="25" t="s">
        <v>26</v>
      </c>
      <c r="D78" s="28" t="s">
        <v>92</v>
      </c>
      <c r="E78" s="9" t="s">
        <v>20</v>
      </c>
      <c r="F78" s="8">
        <f>(INT(Table_Kyrgyzstan[[#This Row],[Date]]) - DATE(1970, 1, 1)) * 86400000</f>
        <v>1727049600000</v>
      </c>
      <c r="G78">
        <f>'GMT Glossary'!$B$2</f>
        <v>6</v>
      </c>
      <c r="H78" s="2" t="str">
        <f t="shared" si="2"/>
        <v>2024-09-23</v>
      </c>
      <c r="I78" s="2" t="str">
        <f t="shared" si="3"/>
        <v>19:00</v>
      </c>
    </row>
    <row r="79" spans="1:9" x14ac:dyDescent="0.25">
      <c r="A79" s="26">
        <v>45558</v>
      </c>
      <c r="B79" s="27">
        <v>0.625</v>
      </c>
      <c r="C79" s="25" t="s">
        <v>26</v>
      </c>
      <c r="D79" s="28" t="s">
        <v>89</v>
      </c>
      <c r="E79" s="9" t="s">
        <v>20</v>
      </c>
      <c r="F79" s="8">
        <f>(INT(Table_Kyrgyzstan[[#This Row],[Date]]) - DATE(1970, 1, 1)) * 86400000</f>
        <v>1727049600000</v>
      </c>
      <c r="G79">
        <f>'GMT Glossary'!$B$2</f>
        <v>6</v>
      </c>
      <c r="H79" s="2" t="str">
        <f t="shared" si="2"/>
        <v>2024-09-23</v>
      </c>
      <c r="I79" s="2" t="str">
        <f t="shared" si="3"/>
        <v>21:00</v>
      </c>
    </row>
    <row r="80" spans="1:9" x14ac:dyDescent="0.25">
      <c r="A80" s="26">
        <v>45558</v>
      </c>
      <c r="B80" s="27">
        <v>0.70833333333333337</v>
      </c>
      <c r="C80" s="25" t="s">
        <v>26</v>
      </c>
      <c r="D80" s="28" t="s">
        <v>87</v>
      </c>
      <c r="E80" s="9" t="s">
        <v>20</v>
      </c>
      <c r="F80" s="8">
        <f>(INT(Table_Kyrgyzstan[[#This Row],[Date]]) - DATE(1970, 1, 1)) * 86400000</f>
        <v>1727049600000</v>
      </c>
      <c r="G80">
        <f>'GMT Glossary'!$B$2</f>
        <v>6</v>
      </c>
      <c r="H80" s="2" t="str">
        <f t="shared" si="2"/>
        <v>2024-09-23</v>
      </c>
      <c r="I80" s="2" t="str">
        <f t="shared" si="3"/>
        <v>23:00</v>
      </c>
    </row>
    <row r="81" spans="1:9" x14ac:dyDescent="0.25">
      <c r="A81" s="26">
        <v>45558</v>
      </c>
      <c r="B81" s="27">
        <v>0.78125</v>
      </c>
      <c r="C81" s="25" t="s">
        <v>26</v>
      </c>
      <c r="D81" s="29" t="s">
        <v>93</v>
      </c>
      <c r="E81" s="9" t="s">
        <v>20</v>
      </c>
      <c r="F81" s="8">
        <f>(INT(Table_Kyrgyzstan[[#This Row],[Date]]) - DATE(1970, 1, 1)) * 86400000</f>
        <v>1727049600000</v>
      </c>
      <c r="G81">
        <f>'GMT Glossary'!$B$2</f>
        <v>6</v>
      </c>
      <c r="H81" s="2" t="str">
        <f t="shared" si="2"/>
        <v>2024-09-24</v>
      </c>
      <c r="I81" s="2" t="str">
        <f t="shared" si="3"/>
        <v>00:45</v>
      </c>
    </row>
    <row r="82" spans="1:9" x14ac:dyDescent="0.25">
      <c r="A82" s="26">
        <v>45558</v>
      </c>
      <c r="B82" s="27">
        <v>0.875</v>
      </c>
      <c r="C82" s="25" t="s">
        <v>26</v>
      </c>
      <c r="D82" s="28" t="s">
        <v>91</v>
      </c>
      <c r="E82" s="9" t="s">
        <v>20</v>
      </c>
      <c r="F82" s="8">
        <f>(INT(Table_Kyrgyzstan[[#This Row],[Date]]) - DATE(1970, 1, 1)) * 86400000</f>
        <v>1727049600000</v>
      </c>
      <c r="G82">
        <f>'GMT Glossary'!$B$2</f>
        <v>6</v>
      </c>
      <c r="H82" s="2" t="str">
        <f t="shared" si="2"/>
        <v>2024-09-24</v>
      </c>
      <c r="I82" s="2" t="str">
        <f t="shared" si="3"/>
        <v>03:00</v>
      </c>
    </row>
    <row r="83" spans="1:9" x14ac:dyDescent="0.25">
      <c r="A83" s="26">
        <v>45558</v>
      </c>
      <c r="B83" s="27">
        <v>0.95833333333333337</v>
      </c>
      <c r="C83" s="25" t="s">
        <v>26</v>
      </c>
      <c r="D83" s="28" t="s">
        <v>94</v>
      </c>
      <c r="E83" s="9" t="s">
        <v>20</v>
      </c>
      <c r="F83" s="8">
        <f>(INT(Table_Kyrgyzstan[[#This Row],[Date]]) - DATE(1970, 1, 1)) * 86400000</f>
        <v>1727049600000</v>
      </c>
      <c r="G83">
        <f>'GMT Glossary'!$B$2</f>
        <v>6</v>
      </c>
      <c r="H83" s="2" t="str">
        <f t="shared" si="2"/>
        <v>2024-09-24</v>
      </c>
      <c r="I83" s="2" t="str">
        <f t="shared" si="3"/>
        <v>05:00</v>
      </c>
    </row>
    <row r="84" spans="1:9" x14ac:dyDescent="0.25">
      <c r="A84" s="26">
        <v>45559</v>
      </c>
      <c r="B84" s="27">
        <v>4.1666666666666664E-2</v>
      </c>
      <c r="C84" s="25" t="s">
        <v>26</v>
      </c>
      <c r="D84" s="28" t="s">
        <v>90</v>
      </c>
      <c r="E84" s="9" t="s">
        <v>20</v>
      </c>
      <c r="F84" s="8">
        <f>(INT(Table_Kyrgyzstan[[#This Row],[Date]]) - DATE(1970, 1, 1)) * 86400000</f>
        <v>1727136000000</v>
      </c>
      <c r="G84">
        <f>'GMT Glossary'!$B$2</f>
        <v>6</v>
      </c>
      <c r="H84" s="2" t="str">
        <f t="shared" si="2"/>
        <v>2024-09-24</v>
      </c>
      <c r="I84" s="2" t="str">
        <f t="shared" si="3"/>
        <v>07:00</v>
      </c>
    </row>
    <row r="85" spans="1:9" x14ac:dyDescent="0.25">
      <c r="A85" s="26">
        <v>45559</v>
      </c>
      <c r="B85" s="27">
        <v>0.125</v>
      </c>
      <c r="C85" s="25" t="s">
        <v>26</v>
      </c>
      <c r="D85" s="28" t="s">
        <v>86</v>
      </c>
      <c r="E85" s="9" t="s">
        <v>20</v>
      </c>
      <c r="F85" s="8">
        <f>(INT(Table_Kyrgyzstan[[#This Row],[Date]]) - DATE(1970, 1, 1)) * 86400000</f>
        <v>1727136000000</v>
      </c>
      <c r="G85">
        <f>'GMT Glossary'!$B$2</f>
        <v>6</v>
      </c>
      <c r="H85" s="2" t="str">
        <f t="shared" si="2"/>
        <v>2024-09-24</v>
      </c>
      <c r="I85" s="2" t="str">
        <f t="shared" si="3"/>
        <v>09:00</v>
      </c>
    </row>
    <row r="86" spans="1:9" x14ac:dyDescent="0.25">
      <c r="A86" s="26">
        <v>45559</v>
      </c>
      <c r="B86" s="27">
        <v>0.20833333333333334</v>
      </c>
      <c r="C86" s="25" t="s">
        <v>26</v>
      </c>
      <c r="D86" s="28" t="s">
        <v>88</v>
      </c>
      <c r="E86" s="9" t="s">
        <v>20</v>
      </c>
      <c r="F86" s="8">
        <f>(INT(Table_Kyrgyzstan[[#This Row],[Date]]) - DATE(1970, 1, 1)) * 86400000</f>
        <v>1727136000000</v>
      </c>
      <c r="G86">
        <f>'GMT Glossary'!$B$2</f>
        <v>6</v>
      </c>
      <c r="H86" s="2" t="str">
        <f t="shared" si="2"/>
        <v>2024-09-24</v>
      </c>
      <c r="I86" s="2" t="str">
        <f t="shared" si="3"/>
        <v>11:00</v>
      </c>
    </row>
    <row r="87" spans="1:9" x14ac:dyDescent="0.25">
      <c r="A87" s="26">
        <v>45559</v>
      </c>
      <c r="B87" s="27">
        <v>0.29166666666666669</v>
      </c>
      <c r="C87" s="25" t="s">
        <v>26</v>
      </c>
      <c r="D87" s="28" t="s">
        <v>85</v>
      </c>
      <c r="E87" s="11" t="s">
        <v>20</v>
      </c>
      <c r="F87" s="8">
        <f>(INT(Table_Kyrgyzstan[[#This Row],[Date]]) - DATE(1970, 1, 1)) * 86400000</f>
        <v>1727136000000</v>
      </c>
      <c r="G87" s="10">
        <f>'GMT Glossary'!$B$2</f>
        <v>6</v>
      </c>
      <c r="H87" s="2" t="str">
        <f t="shared" si="2"/>
        <v>2024-09-24</v>
      </c>
      <c r="I87" s="2" t="str">
        <f t="shared" si="3"/>
        <v>13:00</v>
      </c>
    </row>
    <row r="88" spans="1:9" x14ac:dyDescent="0.25">
      <c r="A88" s="12">
        <v>45552</v>
      </c>
      <c r="B88" s="15">
        <v>0.375</v>
      </c>
      <c r="C88" s="14" t="s">
        <v>26</v>
      </c>
      <c r="D88" s="19" t="s">
        <v>57</v>
      </c>
      <c r="E88" s="11" t="s">
        <v>22</v>
      </c>
      <c r="F88" s="8">
        <f>(INT(Table_Kyrgyzstan[[#This Row],[Date]]) - DATE(1970, 1, 1)) * 86400000</f>
        <v>1726531200000</v>
      </c>
      <c r="G88" s="10">
        <f>'GMT Glossary'!$B$2</f>
        <v>6</v>
      </c>
      <c r="H88" s="2" t="str">
        <f t="shared" ref="H88:H119" si="4">TEXT(IF(B88&lt;0, A88+1+((B88+(G88/24))-(INT(B88+(G88/24)))), A88+(B88+(G88/24))), "yyyy-mm-dd")</f>
        <v>2024-09-17</v>
      </c>
      <c r="I88" s="2" t="str">
        <f t="shared" ref="I88:I119" si="5">TEXT(IF(B88&lt;0, A88+1+((B88+(G88/24))-(INT(B88+(G88/24)))), A88+(B88+(G88/24))), "hh:mm")</f>
        <v>15:00</v>
      </c>
    </row>
    <row r="89" spans="1:9" x14ac:dyDescent="0.25">
      <c r="A89" s="12">
        <v>45552</v>
      </c>
      <c r="B89" s="15">
        <v>0.45833333333333331</v>
      </c>
      <c r="C89" s="14" t="s">
        <v>26</v>
      </c>
      <c r="D89" s="19" t="s">
        <v>95</v>
      </c>
      <c r="E89" s="11" t="s">
        <v>22</v>
      </c>
      <c r="F89" s="8">
        <f>(INT(Table_Kyrgyzstan[[#This Row],[Date]]) - DATE(1970, 1, 1)) * 86400000</f>
        <v>1726531200000</v>
      </c>
      <c r="G89" s="10">
        <f>'GMT Glossary'!$B$2</f>
        <v>6</v>
      </c>
      <c r="H89" s="2" t="str">
        <f t="shared" si="4"/>
        <v>2024-09-17</v>
      </c>
      <c r="I89" s="2" t="str">
        <f t="shared" si="5"/>
        <v>17:00</v>
      </c>
    </row>
    <row r="90" spans="1:9" x14ac:dyDescent="0.25">
      <c r="A90" s="12">
        <v>45552</v>
      </c>
      <c r="B90" s="15">
        <v>0.54166666666666663</v>
      </c>
      <c r="C90" s="14" t="s">
        <v>26</v>
      </c>
      <c r="D90" s="19" t="s">
        <v>96</v>
      </c>
      <c r="E90" s="11" t="s">
        <v>22</v>
      </c>
      <c r="F90" s="8">
        <f>(INT(Table_Kyrgyzstan[[#This Row],[Date]]) - DATE(1970, 1, 1)) * 86400000</f>
        <v>1726531200000</v>
      </c>
      <c r="G90" s="10">
        <f>'GMT Glossary'!$B$2</f>
        <v>6</v>
      </c>
      <c r="H90" s="2" t="str">
        <f t="shared" si="4"/>
        <v>2024-09-17</v>
      </c>
      <c r="I90" s="2" t="str">
        <f t="shared" si="5"/>
        <v>19:00</v>
      </c>
    </row>
    <row r="91" spans="1:9" x14ac:dyDescent="0.25">
      <c r="A91" s="12">
        <v>45552</v>
      </c>
      <c r="B91" s="15">
        <v>0.625</v>
      </c>
      <c r="C91" s="14" t="s">
        <v>26</v>
      </c>
      <c r="D91" s="19" t="s">
        <v>43</v>
      </c>
      <c r="E91" s="11" t="s">
        <v>22</v>
      </c>
      <c r="F91" s="8">
        <f>(INT(Table_Kyrgyzstan[[#This Row],[Date]]) - DATE(1970, 1, 1)) * 86400000</f>
        <v>1726531200000</v>
      </c>
      <c r="G91" s="10">
        <f>'GMT Glossary'!$B$2</f>
        <v>6</v>
      </c>
      <c r="H91" s="2" t="str">
        <f t="shared" si="4"/>
        <v>2024-09-17</v>
      </c>
      <c r="I91" s="2" t="str">
        <f t="shared" si="5"/>
        <v>21:00</v>
      </c>
    </row>
    <row r="92" spans="1:9" x14ac:dyDescent="0.25">
      <c r="A92" s="12">
        <v>45552</v>
      </c>
      <c r="B92" s="15">
        <v>0.70833333333333337</v>
      </c>
      <c r="C92" s="14" t="s">
        <v>26</v>
      </c>
      <c r="D92" s="19" t="s">
        <v>48</v>
      </c>
      <c r="E92" s="11" t="s">
        <v>22</v>
      </c>
      <c r="F92" s="8">
        <f>(INT(Table_Kyrgyzstan[[#This Row],[Date]]) - DATE(1970, 1, 1)) * 86400000</f>
        <v>1726531200000</v>
      </c>
      <c r="G92" s="10">
        <f>'GMT Glossary'!$B$2</f>
        <v>6</v>
      </c>
      <c r="H92" s="2" t="str">
        <f t="shared" si="4"/>
        <v>2024-09-17</v>
      </c>
      <c r="I92" s="2" t="str">
        <f t="shared" si="5"/>
        <v>23:00</v>
      </c>
    </row>
    <row r="93" spans="1:9" x14ac:dyDescent="0.25">
      <c r="A93" s="12">
        <v>45552</v>
      </c>
      <c r="B93" s="15">
        <v>0.78125</v>
      </c>
      <c r="C93" s="14" t="s">
        <v>26</v>
      </c>
      <c r="D93" s="19" t="s">
        <v>97</v>
      </c>
      <c r="E93" s="11" t="s">
        <v>22</v>
      </c>
      <c r="F93" s="8">
        <f>(INT(Table_Kyrgyzstan[[#This Row],[Date]]) - DATE(1970, 1, 1)) * 86400000</f>
        <v>1726531200000</v>
      </c>
      <c r="G93" s="10">
        <f>'GMT Glossary'!$B$2</f>
        <v>6</v>
      </c>
      <c r="H93" s="2" t="str">
        <f t="shared" si="4"/>
        <v>2024-09-18</v>
      </c>
      <c r="I93" s="2" t="str">
        <f t="shared" si="5"/>
        <v>00:45</v>
      </c>
    </row>
    <row r="94" spans="1:9" x14ac:dyDescent="0.25">
      <c r="A94" s="12">
        <v>45552</v>
      </c>
      <c r="B94" s="15">
        <v>0.875</v>
      </c>
      <c r="C94" s="14" t="s">
        <v>26</v>
      </c>
      <c r="D94" s="19" t="s">
        <v>44</v>
      </c>
      <c r="E94" s="11" t="s">
        <v>22</v>
      </c>
      <c r="F94" s="8">
        <f>(INT(Table_Kyrgyzstan[[#This Row],[Date]]) - DATE(1970, 1, 1)) * 86400000</f>
        <v>1726531200000</v>
      </c>
      <c r="G94" s="10">
        <f>'GMT Glossary'!$B$2</f>
        <v>6</v>
      </c>
      <c r="H94" s="2" t="str">
        <f t="shared" si="4"/>
        <v>2024-09-18</v>
      </c>
      <c r="I94" s="2" t="str">
        <f t="shared" si="5"/>
        <v>03:00</v>
      </c>
    </row>
    <row r="95" spans="1:9" x14ac:dyDescent="0.25">
      <c r="A95" s="12">
        <v>45552</v>
      </c>
      <c r="B95" s="15">
        <v>0.95833333333333337</v>
      </c>
      <c r="C95" s="14" t="s">
        <v>26</v>
      </c>
      <c r="D95" s="19" t="s">
        <v>98</v>
      </c>
      <c r="E95" s="11" t="s">
        <v>22</v>
      </c>
      <c r="F95" s="8">
        <f>(INT(Table_Kyrgyzstan[[#This Row],[Date]]) - DATE(1970, 1, 1)) * 86400000</f>
        <v>1726531200000</v>
      </c>
      <c r="G95" s="10">
        <f>'GMT Glossary'!$B$2</f>
        <v>6</v>
      </c>
      <c r="H95" s="2" t="str">
        <f t="shared" si="4"/>
        <v>2024-09-18</v>
      </c>
      <c r="I95" s="2" t="str">
        <f t="shared" si="5"/>
        <v>05:00</v>
      </c>
    </row>
    <row r="96" spans="1:9" x14ac:dyDescent="0.25">
      <c r="A96" s="12">
        <v>45553</v>
      </c>
      <c r="B96" s="15">
        <v>4.1666666666666664E-2</v>
      </c>
      <c r="C96" s="14" t="s">
        <v>26</v>
      </c>
      <c r="D96" s="19" t="s">
        <v>52</v>
      </c>
      <c r="E96" s="11" t="s">
        <v>22</v>
      </c>
      <c r="F96" s="8">
        <f>(INT(Table_Kyrgyzstan[[#This Row],[Date]]) - DATE(1970, 1, 1)) * 86400000</f>
        <v>1726617600000</v>
      </c>
      <c r="G96" s="10">
        <f>'GMT Glossary'!$B$2</f>
        <v>6</v>
      </c>
      <c r="H96" s="2" t="str">
        <f t="shared" si="4"/>
        <v>2024-09-18</v>
      </c>
      <c r="I96" s="2" t="str">
        <f t="shared" si="5"/>
        <v>07:00</v>
      </c>
    </row>
    <row r="97" spans="1:9" x14ac:dyDescent="0.25">
      <c r="A97" s="12">
        <v>45553</v>
      </c>
      <c r="B97" s="15">
        <v>0.125</v>
      </c>
      <c r="C97" s="14" t="s">
        <v>18</v>
      </c>
      <c r="D97" s="19" t="s">
        <v>99</v>
      </c>
      <c r="E97" s="11" t="s">
        <v>22</v>
      </c>
      <c r="F97" s="8">
        <f>(INT(Table_Kyrgyzstan[[#This Row],[Date]]) - DATE(1970, 1, 1)) * 86400000</f>
        <v>1726617600000</v>
      </c>
      <c r="G97" s="10">
        <f>'GMT Glossary'!$B$2</f>
        <v>6</v>
      </c>
      <c r="H97" s="2" t="str">
        <f t="shared" si="4"/>
        <v>2024-09-18</v>
      </c>
      <c r="I97" s="2" t="str">
        <f t="shared" si="5"/>
        <v>09:00</v>
      </c>
    </row>
    <row r="98" spans="1:9" x14ac:dyDescent="0.25">
      <c r="A98" s="12">
        <v>45553</v>
      </c>
      <c r="B98" s="15">
        <v>0.25</v>
      </c>
      <c r="C98" s="14" t="s">
        <v>37</v>
      </c>
      <c r="D98" s="19" t="s">
        <v>38</v>
      </c>
      <c r="E98" s="11" t="s">
        <v>22</v>
      </c>
      <c r="F98" s="8">
        <f>(INT(Table_Kyrgyzstan[[#This Row],[Date]]) - DATE(1970, 1, 1)) * 86400000</f>
        <v>1726617600000</v>
      </c>
      <c r="G98" s="10">
        <f>'GMT Glossary'!$B$2</f>
        <v>6</v>
      </c>
      <c r="H98" s="2" t="str">
        <f t="shared" si="4"/>
        <v>2024-09-18</v>
      </c>
      <c r="I98" s="2" t="str">
        <f t="shared" si="5"/>
        <v>12:00</v>
      </c>
    </row>
    <row r="99" spans="1:9" x14ac:dyDescent="0.25">
      <c r="A99" s="12">
        <v>45553</v>
      </c>
      <c r="B99" s="15">
        <v>0.375</v>
      </c>
      <c r="C99" s="14" t="s">
        <v>26</v>
      </c>
      <c r="D99" s="19" t="s">
        <v>45</v>
      </c>
      <c r="E99" s="11" t="s">
        <v>22</v>
      </c>
      <c r="F99" s="8">
        <f>(INT(Table_Kyrgyzstan[[#This Row],[Date]]) - DATE(1970, 1, 1)) * 86400000</f>
        <v>1726617600000</v>
      </c>
      <c r="G99" s="10">
        <f>'GMT Glossary'!$B$2</f>
        <v>6</v>
      </c>
      <c r="H99" s="2" t="str">
        <f t="shared" si="4"/>
        <v>2024-09-18</v>
      </c>
      <c r="I99" s="2" t="str">
        <f t="shared" si="5"/>
        <v>15:00</v>
      </c>
    </row>
    <row r="100" spans="1:9" x14ac:dyDescent="0.25">
      <c r="A100" s="12">
        <v>45553</v>
      </c>
      <c r="B100" s="15">
        <v>0.45833333333333331</v>
      </c>
      <c r="C100" s="14" t="s">
        <v>26</v>
      </c>
      <c r="D100" s="19" t="s">
        <v>57</v>
      </c>
      <c r="E100" s="11" t="s">
        <v>22</v>
      </c>
      <c r="F100" s="8">
        <f>(INT(Table_Kyrgyzstan[[#This Row],[Date]]) - DATE(1970, 1, 1)) * 86400000</f>
        <v>1726617600000</v>
      </c>
      <c r="G100" s="10">
        <f>'GMT Glossary'!$B$2</f>
        <v>6</v>
      </c>
      <c r="H100" s="2" t="str">
        <f t="shared" si="4"/>
        <v>2024-09-18</v>
      </c>
      <c r="I100" s="2" t="str">
        <f t="shared" si="5"/>
        <v>17:00</v>
      </c>
    </row>
    <row r="101" spans="1:9" x14ac:dyDescent="0.25">
      <c r="A101" s="12">
        <v>45553</v>
      </c>
      <c r="B101" s="15">
        <v>0.54166666666666663</v>
      </c>
      <c r="C101" s="14" t="s">
        <v>26</v>
      </c>
      <c r="D101" s="19" t="s">
        <v>100</v>
      </c>
      <c r="E101" s="11" t="s">
        <v>22</v>
      </c>
      <c r="F101" s="8">
        <f>(INT(Table_Kyrgyzstan[[#This Row],[Date]]) - DATE(1970, 1, 1)) * 86400000</f>
        <v>1726617600000</v>
      </c>
      <c r="G101" s="10">
        <f>'GMT Glossary'!$B$2</f>
        <v>6</v>
      </c>
      <c r="H101" s="2" t="str">
        <f t="shared" si="4"/>
        <v>2024-09-18</v>
      </c>
      <c r="I101" s="2" t="str">
        <f t="shared" si="5"/>
        <v>19:00</v>
      </c>
    </row>
    <row r="102" spans="1:9" x14ac:dyDescent="0.25">
      <c r="A102" s="12">
        <v>45553</v>
      </c>
      <c r="B102" s="15">
        <v>0.625</v>
      </c>
      <c r="C102" s="14" t="s">
        <v>26</v>
      </c>
      <c r="D102" s="19" t="s">
        <v>42</v>
      </c>
      <c r="E102" s="11" t="s">
        <v>22</v>
      </c>
      <c r="F102" s="8">
        <f>(INT(Table_Kyrgyzstan[[#This Row],[Date]]) - DATE(1970, 1, 1)) * 86400000</f>
        <v>1726617600000</v>
      </c>
      <c r="G102" s="10">
        <f>'GMT Glossary'!$B$2</f>
        <v>6</v>
      </c>
      <c r="H102" s="2" t="str">
        <f t="shared" si="4"/>
        <v>2024-09-18</v>
      </c>
      <c r="I102" s="2" t="str">
        <f t="shared" si="5"/>
        <v>21:00</v>
      </c>
    </row>
    <row r="103" spans="1:9" x14ac:dyDescent="0.25">
      <c r="A103" s="12">
        <v>45553</v>
      </c>
      <c r="B103" s="15">
        <v>0.70833333333333337</v>
      </c>
      <c r="C103" s="14" t="s">
        <v>26</v>
      </c>
      <c r="D103" s="19" t="s">
        <v>101</v>
      </c>
      <c r="E103" s="11" t="s">
        <v>22</v>
      </c>
      <c r="F103" s="8">
        <f>(INT(Table_Kyrgyzstan[[#This Row],[Date]]) - DATE(1970, 1, 1)) * 86400000</f>
        <v>1726617600000</v>
      </c>
      <c r="G103" s="10">
        <f>'GMT Glossary'!$B$2</f>
        <v>6</v>
      </c>
      <c r="H103" s="2" t="str">
        <f t="shared" si="4"/>
        <v>2024-09-18</v>
      </c>
      <c r="I103" s="2" t="str">
        <f t="shared" si="5"/>
        <v>23:00</v>
      </c>
    </row>
    <row r="104" spans="1:9" x14ac:dyDescent="0.25">
      <c r="A104" s="12">
        <v>45553</v>
      </c>
      <c r="B104" s="15">
        <v>0.79166666666666663</v>
      </c>
      <c r="C104" s="14" t="s">
        <v>26</v>
      </c>
      <c r="D104" s="19" t="s">
        <v>49</v>
      </c>
      <c r="E104" s="11" t="s">
        <v>22</v>
      </c>
      <c r="F104" s="8">
        <f>(INT(Table_Kyrgyzstan[[#This Row],[Date]]) - DATE(1970, 1, 1)) * 86400000</f>
        <v>1726617600000</v>
      </c>
      <c r="G104" s="10">
        <f>'GMT Glossary'!$B$2</f>
        <v>6</v>
      </c>
      <c r="H104" s="2" t="str">
        <f t="shared" si="4"/>
        <v>2024-09-19</v>
      </c>
      <c r="I104" s="2" t="str">
        <f t="shared" si="5"/>
        <v>01:00</v>
      </c>
    </row>
    <row r="105" spans="1:9" x14ac:dyDescent="0.25">
      <c r="A105" s="12">
        <v>45553</v>
      </c>
      <c r="B105" s="15">
        <v>0.875</v>
      </c>
      <c r="C105" s="14" t="s">
        <v>26</v>
      </c>
      <c r="D105" s="19" t="s">
        <v>43</v>
      </c>
      <c r="E105" s="11" t="s">
        <v>22</v>
      </c>
      <c r="F105" s="8">
        <f>(INT(Table_Kyrgyzstan[[#This Row],[Date]]) - DATE(1970, 1, 1)) * 86400000</f>
        <v>1726617600000</v>
      </c>
      <c r="G105" s="10">
        <f>'GMT Glossary'!$B$2</f>
        <v>6</v>
      </c>
      <c r="H105" s="2" t="str">
        <f t="shared" si="4"/>
        <v>2024-09-19</v>
      </c>
      <c r="I105" s="2" t="str">
        <f t="shared" si="5"/>
        <v>03:00</v>
      </c>
    </row>
    <row r="106" spans="1:9" x14ac:dyDescent="0.25">
      <c r="A106" s="12">
        <v>45553</v>
      </c>
      <c r="B106" s="15">
        <v>0.95833333333333337</v>
      </c>
      <c r="C106" s="14" t="s">
        <v>26</v>
      </c>
      <c r="D106" s="19" t="s">
        <v>102</v>
      </c>
      <c r="E106" s="11" t="s">
        <v>22</v>
      </c>
      <c r="F106" s="8">
        <f>(INT(Table_Kyrgyzstan[[#This Row],[Date]]) - DATE(1970, 1, 1)) * 86400000</f>
        <v>1726617600000</v>
      </c>
      <c r="G106" s="10">
        <f>'GMT Glossary'!$B$2</f>
        <v>6</v>
      </c>
      <c r="H106" s="2" t="str">
        <f t="shared" si="4"/>
        <v>2024-09-19</v>
      </c>
      <c r="I106" s="2" t="str">
        <f t="shared" si="5"/>
        <v>05:00</v>
      </c>
    </row>
    <row r="107" spans="1:9" x14ac:dyDescent="0.25">
      <c r="A107" s="12">
        <v>45554</v>
      </c>
      <c r="B107" s="15">
        <v>4.1666666666666664E-2</v>
      </c>
      <c r="C107" s="14" t="s">
        <v>37</v>
      </c>
      <c r="D107" s="19" t="s">
        <v>46</v>
      </c>
      <c r="E107" s="11" t="s">
        <v>22</v>
      </c>
      <c r="F107" s="8">
        <f>(INT(Table_Kyrgyzstan[[#This Row],[Date]]) - DATE(1970, 1, 1)) * 86400000</f>
        <v>1726704000000</v>
      </c>
      <c r="G107" s="10">
        <f>'GMT Glossary'!$B$2</f>
        <v>6</v>
      </c>
      <c r="H107" s="2" t="str">
        <f t="shared" si="4"/>
        <v>2024-09-19</v>
      </c>
      <c r="I107" s="2" t="str">
        <f t="shared" si="5"/>
        <v>07:00</v>
      </c>
    </row>
    <row r="108" spans="1:9" x14ac:dyDescent="0.25">
      <c r="A108" s="12">
        <v>45554</v>
      </c>
      <c r="B108" s="15">
        <v>0.16666666666666666</v>
      </c>
      <c r="C108" s="14" t="s">
        <v>18</v>
      </c>
      <c r="D108" s="19" t="s">
        <v>99</v>
      </c>
      <c r="E108" s="11" t="s">
        <v>22</v>
      </c>
      <c r="F108" s="8">
        <f>(INT(Table_Kyrgyzstan[[#This Row],[Date]]) - DATE(1970, 1, 1)) * 86400000</f>
        <v>1726704000000</v>
      </c>
      <c r="G108" s="10">
        <f>'GMT Glossary'!$B$2</f>
        <v>6</v>
      </c>
      <c r="H108" s="2" t="str">
        <f t="shared" si="4"/>
        <v>2024-09-19</v>
      </c>
      <c r="I108" s="2" t="str">
        <f t="shared" si="5"/>
        <v>10:00</v>
      </c>
    </row>
    <row r="109" spans="1:9" x14ac:dyDescent="0.25">
      <c r="A109" s="12">
        <v>45554</v>
      </c>
      <c r="B109" s="15">
        <v>0.29166666666666669</v>
      </c>
      <c r="C109" s="14" t="s">
        <v>26</v>
      </c>
      <c r="D109" s="19" t="s">
        <v>103</v>
      </c>
      <c r="E109" s="11" t="s">
        <v>22</v>
      </c>
      <c r="F109" s="8">
        <f>(INT(Table_Kyrgyzstan[[#This Row],[Date]]) - DATE(1970, 1, 1)) * 86400000</f>
        <v>1726704000000</v>
      </c>
      <c r="G109" s="10">
        <f>'GMT Glossary'!$B$2</f>
        <v>6</v>
      </c>
      <c r="H109" s="2" t="str">
        <f t="shared" si="4"/>
        <v>2024-09-19</v>
      </c>
      <c r="I109" s="2" t="str">
        <f t="shared" si="5"/>
        <v>13:00</v>
      </c>
    </row>
    <row r="110" spans="1:9" x14ac:dyDescent="0.25">
      <c r="A110" s="12">
        <v>45554</v>
      </c>
      <c r="B110" s="15">
        <v>0.375</v>
      </c>
      <c r="C110" s="14" t="s">
        <v>26</v>
      </c>
      <c r="D110" s="19" t="s">
        <v>52</v>
      </c>
      <c r="E110" s="11" t="s">
        <v>22</v>
      </c>
      <c r="F110" s="8">
        <f>(INT(Table_Kyrgyzstan[[#This Row],[Date]]) - DATE(1970, 1, 1)) * 86400000</f>
        <v>1726704000000</v>
      </c>
      <c r="G110" s="10">
        <f>'GMT Glossary'!$B$2</f>
        <v>6</v>
      </c>
      <c r="H110" s="2" t="str">
        <f t="shared" si="4"/>
        <v>2024-09-19</v>
      </c>
      <c r="I110" s="2" t="str">
        <f t="shared" si="5"/>
        <v>15:00</v>
      </c>
    </row>
    <row r="111" spans="1:9" x14ac:dyDescent="0.25">
      <c r="A111" s="12">
        <v>45554</v>
      </c>
      <c r="B111" s="15">
        <v>0.45833333333333331</v>
      </c>
      <c r="C111" s="14" t="s">
        <v>26</v>
      </c>
      <c r="D111" s="19" t="s">
        <v>40</v>
      </c>
      <c r="E111" s="11" t="s">
        <v>22</v>
      </c>
      <c r="F111" s="8">
        <f>(INT(Table_Kyrgyzstan[[#This Row],[Date]]) - DATE(1970, 1, 1)) * 86400000</f>
        <v>1726704000000</v>
      </c>
      <c r="G111" s="10">
        <f>'GMT Glossary'!$B$2</f>
        <v>6</v>
      </c>
      <c r="H111" s="2" t="str">
        <f t="shared" si="4"/>
        <v>2024-09-19</v>
      </c>
      <c r="I111" s="2" t="str">
        <f t="shared" si="5"/>
        <v>17:00</v>
      </c>
    </row>
    <row r="112" spans="1:9" x14ac:dyDescent="0.25">
      <c r="A112" s="12">
        <v>45554</v>
      </c>
      <c r="B112" s="15">
        <v>0.54166666666666663</v>
      </c>
      <c r="C112" s="14" t="s">
        <v>26</v>
      </c>
      <c r="D112" s="19" t="s">
        <v>100</v>
      </c>
      <c r="E112" s="11" t="s">
        <v>22</v>
      </c>
      <c r="F112" s="8">
        <f>(INT(Table_Kyrgyzstan[[#This Row],[Date]]) - DATE(1970, 1, 1)) * 86400000</f>
        <v>1726704000000</v>
      </c>
      <c r="G112" s="10">
        <f>'GMT Glossary'!$B$2</f>
        <v>6</v>
      </c>
      <c r="H112" s="2" t="str">
        <f t="shared" si="4"/>
        <v>2024-09-19</v>
      </c>
      <c r="I112" s="2" t="str">
        <f t="shared" si="5"/>
        <v>19:00</v>
      </c>
    </row>
    <row r="113" spans="1:9" x14ac:dyDescent="0.25">
      <c r="A113" s="12">
        <v>45554</v>
      </c>
      <c r="B113" s="15">
        <v>0.625</v>
      </c>
      <c r="C113" s="14" t="s">
        <v>26</v>
      </c>
      <c r="D113" s="19" t="s">
        <v>104</v>
      </c>
      <c r="E113" s="11" t="s">
        <v>22</v>
      </c>
      <c r="F113" s="8">
        <f>(INT(Table_Kyrgyzstan[[#This Row],[Date]]) - DATE(1970, 1, 1)) * 86400000</f>
        <v>1726704000000</v>
      </c>
      <c r="G113" s="10">
        <f>'GMT Glossary'!$B$2</f>
        <v>6</v>
      </c>
      <c r="H113" s="2" t="str">
        <f t="shared" si="4"/>
        <v>2024-09-19</v>
      </c>
      <c r="I113" s="2" t="str">
        <f t="shared" si="5"/>
        <v>21:00</v>
      </c>
    </row>
    <row r="114" spans="1:9" x14ac:dyDescent="0.25">
      <c r="A114" s="12">
        <v>45554</v>
      </c>
      <c r="B114" s="15">
        <v>0.70833333333333337</v>
      </c>
      <c r="C114" s="14" t="s">
        <v>26</v>
      </c>
      <c r="D114" s="19" t="s">
        <v>44</v>
      </c>
      <c r="E114" s="11" t="s">
        <v>22</v>
      </c>
      <c r="F114" s="8">
        <f>(INT(Table_Kyrgyzstan[[#This Row],[Date]]) - DATE(1970, 1, 1)) * 86400000</f>
        <v>1726704000000</v>
      </c>
      <c r="G114" s="10">
        <f>'GMT Glossary'!$B$2</f>
        <v>6</v>
      </c>
      <c r="H114" s="2" t="str">
        <f t="shared" si="4"/>
        <v>2024-09-19</v>
      </c>
      <c r="I114" s="2" t="str">
        <f t="shared" si="5"/>
        <v>23:00</v>
      </c>
    </row>
    <row r="115" spans="1:9" x14ac:dyDescent="0.25">
      <c r="A115" s="12">
        <v>45554</v>
      </c>
      <c r="B115" s="15">
        <v>0.79166666666666663</v>
      </c>
      <c r="C115" s="14" t="s">
        <v>26</v>
      </c>
      <c r="D115" s="19" t="s">
        <v>54</v>
      </c>
      <c r="E115" s="11" t="s">
        <v>22</v>
      </c>
      <c r="F115" s="8">
        <f>(INT(Table_Kyrgyzstan[[#This Row],[Date]]) - DATE(1970, 1, 1)) * 86400000</f>
        <v>1726704000000</v>
      </c>
      <c r="G115" s="10">
        <f>'GMT Glossary'!$B$2</f>
        <v>6</v>
      </c>
      <c r="H115" s="2" t="str">
        <f t="shared" si="4"/>
        <v>2024-09-20</v>
      </c>
      <c r="I115" s="2" t="str">
        <f t="shared" si="5"/>
        <v>01:00</v>
      </c>
    </row>
    <row r="116" spans="1:9" x14ac:dyDescent="0.25">
      <c r="A116" s="12">
        <v>45554</v>
      </c>
      <c r="B116" s="15">
        <v>0.875</v>
      </c>
      <c r="C116" s="14" t="s">
        <v>26</v>
      </c>
      <c r="D116" s="19" t="s">
        <v>43</v>
      </c>
      <c r="E116" s="11" t="s">
        <v>22</v>
      </c>
      <c r="F116" s="8">
        <f>(INT(Table_Kyrgyzstan[[#This Row],[Date]]) - DATE(1970, 1, 1)) * 86400000</f>
        <v>1726704000000</v>
      </c>
      <c r="G116" s="10">
        <f>'GMT Glossary'!$B$2</f>
        <v>6</v>
      </c>
      <c r="H116" s="2" t="str">
        <f t="shared" si="4"/>
        <v>2024-09-20</v>
      </c>
      <c r="I116" s="2" t="str">
        <f t="shared" si="5"/>
        <v>03:00</v>
      </c>
    </row>
    <row r="117" spans="1:9" x14ac:dyDescent="0.25">
      <c r="A117" s="12">
        <v>45554</v>
      </c>
      <c r="B117" s="15">
        <v>0.95833333333333337</v>
      </c>
      <c r="C117" s="14" t="s">
        <v>26</v>
      </c>
      <c r="D117" s="19" t="s">
        <v>48</v>
      </c>
      <c r="E117" s="11" t="s">
        <v>22</v>
      </c>
      <c r="F117" s="8">
        <f>(INT(Table_Kyrgyzstan[[#This Row],[Date]]) - DATE(1970, 1, 1)) * 86400000</f>
        <v>1726704000000</v>
      </c>
      <c r="G117" s="10">
        <f>'GMT Glossary'!$B$2</f>
        <v>6</v>
      </c>
      <c r="H117" s="2" t="str">
        <f t="shared" si="4"/>
        <v>2024-09-20</v>
      </c>
      <c r="I117" s="2" t="str">
        <f t="shared" si="5"/>
        <v>05:00</v>
      </c>
    </row>
    <row r="118" spans="1:9" x14ac:dyDescent="0.25">
      <c r="A118" s="12">
        <v>45555</v>
      </c>
      <c r="B118" s="15">
        <v>4.1666666666666664E-2</v>
      </c>
      <c r="C118" s="14" t="s">
        <v>37</v>
      </c>
      <c r="D118" s="19" t="s">
        <v>39</v>
      </c>
      <c r="E118" s="11" t="s">
        <v>22</v>
      </c>
      <c r="F118" s="8">
        <f>(INT(Table_Kyrgyzstan[[#This Row],[Date]]) - DATE(1970, 1, 1)) * 86400000</f>
        <v>1726790400000</v>
      </c>
      <c r="G118" s="10">
        <f>'GMT Glossary'!$B$2</f>
        <v>6</v>
      </c>
      <c r="H118" s="2" t="str">
        <f t="shared" si="4"/>
        <v>2024-09-20</v>
      </c>
      <c r="I118" s="2" t="str">
        <f t="shared" si="5"/>
        <v>07:00</v>
      </c>
    </row>
    <row r="119" spans="1:9" x14ac:dyDescent="0.25">
      <c r="A119" s="12">
        <v>45555</v>
      </c>
      <c r="B119" s="15">
        <v>0.125</v>
      </c>
      <c r="C119" s="14" t="s">
        <v>26</v>
      </c>
      <c r="D119" s="19" t="s">
        <v>53</v>
      </c>
      <c r="E119" s="11" t="s">
        <v>22</v>
      </c>
      <c r="F119" s="8">
        <f>(INT(Table_Kyrgyzstan[[#This Row],[Date]]) - DATE(1970, 1, 1)) * 86400000</f>
        <v>1726790400000</v>
      </c>
      <c r="G119" s="10">
        <f>'GMT Glossary'!$B$2</f>
        <v>6</v>
      </c>
      <c r="H119" s="2" t="str">
        <f t="shared" si="4"/>
        <v>2024-09-20</v>
      </c>
      <c r="I119" s="2" t="str">
        <f t="shared" si="5"/>
        <v>09:00</v>
      </c>
    </row>
    <row r="120" spans="1:9" x14ac:dyDescent="0.25">
      <c r="A120" s="12">
        <v>45555</v>
      </c>
      <c r="B120" s="15">
        <v>0.20833333333333334</v>
      </c>
      <c r="C120" s="14" t="s">
        <v>36</v>
      </c>
      <c r="D120" s="19" t="s">
        <v>105</v>
      </c>
      <c r="E120" s="11" t="s">
        <v>22</v>
      </c>
      <c r="F120" s="8">
        <f>(INT(Table_Kyrgyzstan[[#This Row],[Date]]) - DATE(1970, 1, 1)) * 86400000</f>
        <v>1726790400000</v>
      </c>
      <c r="G120" s="10">
        <f>'GMT Glossary'!$B$2</f>
        <v>6</v>
      </c>
      <c r="H120" s="2" t="str">
        <f t="shared" ref="H120:H151" si="6">TEXT(IF(B120&lt;0, A120+1+((B120+(G120/24))-(INT(B120+(G120/24)))), A120+(B120+(G120/24))), "yyyy-mm-dd")</f>
        <v>2024-09-20</v>
      </c>
      <c r="I120" s="2" t="str">
        <f t="shared" ref="I120:I151" si="7">TEXT(IF(B120&lt;0, A120+1+((B120+(G120/24))-(INT(B120+(G120/24)))), A120+(B120+(G120/24))), "hh:mm")</f>
        <v>11:00</v>
      </c>
    </row>
    <row r="121" spans="1:9" x14ac:dyDescent="0.25">
      <c r="A121" s="12">
        <v>45555</v>
      </c>
      <c r="B121" s="15">
        <v>0.27083333333333331</v>
      </c>
      <c r="C121" s="14" t="s">
        <v>36</v>
      </c>
      <c r="D121" s="19" t="s">
        <v>106</v>
      </c>
      <c r="E121" s="11" t="s">
        <v>22</v>
      </c>
      <c r="F121" s="8">
        <f>(INT(Table_Kyrgyzstan[[#This Row],[Date]]) - DATE(1970, 1, 1)) * 86400000</f>
        <v>1726790400000</v>
      </c>
      <c r="G121" s="10">
        <f>'GMT Glossary'!$B$2</f>
        <v>6</v>
      </c>
      <c r="H121" s="2" t="str">
        <f t="shared" si="6"/>
        <v>2024-09-20</v>
      </c>
      <c r="I121" s="2" t="str">
        <f t="shared" si="7"/>
        <v>12:30</v>
      </c>
    </row>
    <row r="122" spans="1:9" x14ac:dyDescent="0.25">
      <c r="A122" s="12">
        <v>45555</v>
      </c>
      <c r="B122" s="15">
        <v>0.33333333333333331</v>
      </c>
      <c r="C122" s="14" t="s">
        <v>36</v>
      </c>
      <c r="D122" s="19" t="s">
        <v>107</v>
      </c>
      <c r="E122" s="11" t="s">
        <v>22</v>
      </c>
      <c r="F122" s="8">
        <f>(INT(Table_Kyrgyzstan[[#This Row],[Date]]) - DATE(1970, 1, 1)) * 86400000</f>
        <v>1726790400000</v>
      </c>
      <c r="G122" s="10">
        <f>'GMT Glossary'!$B$2</f>
        <v>6</v>
      </c>
      <c r="H122" s="2" t="str">
        <f t="shared" si="6"/>
        <v>2024-09-20</v>
      </c>
      <c r="I122" s="2" t="str">
        <f t="shared" si="7"/>
        <v>14:00</v>
      </c>
    </row>
    <row r="123" spans="1:9" x14ac:dyDescent="0.25">
      <c r="A123" s="12">
        <v>45555</v>
      </c>
      <c r="B123" s="15">
        <v>0.41666666666666669</v>
      </c>
      <c r="C123" s="14" t="s">
        <v>36</v>
      </c>
      <c r="D123" s="19" t="s">
        <v>108</v>
      </c>
      <c r="E123" s="11" t="s">
        <v>22</v>
      </c>
      <c r="F123" s="8">
        <f>(INT(Table_Kyrgyzstan[[#This Row],[Date]]) - DATE(1970, 1, 1)) * 86400000</f>
        <v>1726790400000</v>
      </c>
      <c r="G123" s="10">
        <f>'GMT Glossary'!$B$2</f>
        <v>6</v>
      </c>
      <c r="H123" s="2" t="str">
        <f t="shared" si="6"/>
        <v>2024-09-20</v>
      </c>
      <c r="I123" s="2" t="str">
        <f t="shared" si="7"/>
        <v>16:00</v>
      </c>
    </row>
    <row r="124" spans="1:9" x14ac:dyDescent="0.25">
      <c r="A124" s="12">
        <v>45555</v>
      </c>
      <c r="B124" s="15">
        <v>0.54166666666666663</v>
      </c>
      <c r="C124" s="14" t="s">
        <v>26</v>
      </c>
      <c r="D124" s="19" t="s">
        <v>98</v>
      </c>
      <c r="E124" s="11" t="s">
        <v>22</v>
      </c>
      <c r="F124" s="8">
        <f>(INT(Table_Kyrgyzstan[[#This Row],[Date]]) - DATE(1970, 1, 1)) * 86400000</f>
        <v>1726790400000</v>
      </c>
      <c r="G124" s="10">
        <f>'GMT Glossary'!$B$2</f>
        <v>6</v>
      </c>
      <c r="H124" s="2" t="str">
        <f t="shared" si="6"/>
        <v>2024-09-20</v>
      </c>
      <c r="I124" s="2" t="str">
        <f t="shared" si="7"/>
        <v>19:00</v>
      </c>
    </row>
    <row r="125" spans="1:9" x14ac:dyDescent="0.25">
      <c r="A125" s="12">
        <v>45555</v>
      </c>
      <c r="B125" s="15">
        <v>0.64583333333333337</v>
      </c>
      <c r="C125" s="14" t="s">
        <v>21</v>
      </c>
      <c r="D125" s="19" t="s">
        <v>109</v>
      </c>
      <c r="E125" s="11" t="s">
        <v>22</v>
      </c>
      <c r="F125" s="8">
        <f>(INT(Table_Kyrgyzstan[[#This Row],[Date]]) - DATE(1970, 1, 1)) * 86400000</f>
        <v>1726790400000</v>
      </c>
      <c r="G125" s="10">
        <f>'GMT Glossary'!$B$2</f>
        <v>6</v>
      </c>
      <c r="H125" s="2" t="str">
        <f t="shared" si="6"/>
        <v>2024-09-20</v>
      </c>
      <c r="I125" s="2" t="str">
        <f t="shared" si="7"/>
        <v>21:30</v>
      </c>
    </row>
    <row r="126" spans="1:9" x14ac:dyDescent="0.25">
      <c r="A126" s="12">
        <v>45555</v>
      </c>
      <c r="B126" s="15">
        <v>0.79166666666666663</v>
      </c>
      <c r="C126" s="14" t="s">
        <v>26</v>
      </c>
      <c r="D126" s="19" t="s">
        <v>45</v>
      </c>
      <c r="E126" s="11" t="s">
        <v>22</v>
      </c>
      <c r="F126" s="8">
        <f>(INT(Table_Kyrgyzstan[[#This Row],[Date]]) - DATE(1970, 1, 1)) * 86400000</f>
        <v>1726790400000</v>
      </c>
      <c r="G126" s="10">
        <f>'GMT Glossary'!$B$2</f>
        <v>6</v>
      </c>
      <c r="H126" s="2" t="str">
        <f t="shared" si="6"/>
        <v>2024-09-21</v>
      </c>
      <c r="I126" s="2" t="str">
        <f t="shared" si="7"/>
        <v>01:00</v>
      </c>
    </row>
    <row r="127" spans="1:9" x14ac:dyDescent="0.25">
      <c r="A127" s="12">
        <v>45555</v>
      </c>
      <c r="B127" s="15">
        <v>0.875</v>
      </c>
      <c r="C127" s="14" t="s">
        <v>26</v>
      </c>
      <c r="D127" s="19" t="s">
        <v>49</v>
      </c>
      <c r="E127" s="11" t="s">
        <v>22</v>
      </c>
      <c r="F127" s="8">
        <f>(INT(Table_Kyrgyzstan[[#This Row],[Date]]) - DATE(1970, 1, 1)) * 86400000</f>
        <v>1726790400000</v>
      </c>
      <c r="G127" s="10">
        <f>'GMT Glossary'!$B$2</f>
        <v>6</v>
      </c>
      <c r="H127" s="2" t="str">
        <f t="shared" si="6"/>
        <v>2024-09-21</v>
      </c>
      <c r="I127" s="2" t="str">
        <f t="shared" si="7"/>
        <v>03:00</v>
      </c>
    </row>
    <row r="128" spans="1:9" x14ac:dyDescent="0.25">
      <c r="A128" s="12">
        <v>45555</v>
      </c>
      <c r="B128" s="15">
        <v>0.95833333333333337</v>
      </c>
      <c r="C128" s="14" t="s">
        <v>26</v>
      </c>
      <c r="D128" s="19" t="s">
        <v>43</v>
      </c>
      <c r="E128" s="11" t="s">
        <v>22</v>
      </c>
      <c r="F128" s="8">
        <f>(INT(Table_Kyrgyzstan[[#This Row],[Date]]) - DATE(1970, 1, 1)) * 86400000</f>
        <v>1726790400000</v>
      </c>
      <c r="G128" s="10">
        <f>'GMT Glossary'!$B$2</f>
        <v>6</v>
      </c>
      <c r="H128" s="2" t="str">
        <f t="shared" si="6"/>
        <v>2024-09-21</v>
      </c>
      <c r="I128" s="2" t="str">
        <f t="shared" si="7"/>
        <v>05:00</v>
      </c>
    </row>
    <row r="129" spans="1:9" x14ac:dyDescent="0.25">
      <c r="A129" s="12">
        <v>45556</v>
      </c>
      <c r="B129" s="15">
        <v>4.1666666666666664E-2</v>
      </c>
      <c r="C129" s="14" t="s">
        <v>26</v>
      </c>
      <c r="D129" s="19" t="s">
        <v>42</v>
      </c>
      <c r="E129" s="11" t="s">
        <v>22</v>
      </c>
      <c r="F129" s="8">
        <f>(INT(Table_Kyrgyzstan[[#This Row],[Date]]) - DATE(1970, 1, 1)) * 86400000</f>
        <v>1726876800000</v>
      </c>
      <c r="G129" s="10">
        <f>'GMT Glossary'!$B$2</f>
        <v>6</v>
      </c>
      <c r="H129" s="2" t="str">
        <f t="shared" si="6"/>
        <v>2024-09-21</v>
      </c>
      <c r="I129" s="2" t="str">
        <f t="shared" si="7"/>
        <v>07:00</v>
      </c>
    </row>
    <row r="130" spans="1:9" x14ac:dyDescent="0.25">
      <c r="A130" s="12">
        <v>45556</v>
      </c>
      <c r="B130" s="15">
        <v>0.125</v>
      </c>
      <c r="C130" s="14" t="s">
        <v>26</v>
      </c>
      <c r="D130" s="19" t="s">
        <v>102</v>
      </c>
      <c r="E130" s="11" t="s">
        <v>22</v>
      </c>
      <c r="F130" s="8">
        <f>(INT(Table_Kyrgyzstan[[#This Row],[Date]]) - DATE(1970, 1, 1)) * 86400000</f>
        <v>1726876800000</v>
      </c>
      <c r="G130" s="10">
        <f>'GMT Glossary'!$B$2</f>
        <v>6</v>
      </c>
      <c r="H130" s="2" t="str">
        <f t="shared" si="6"/>
        <v>2024-09-21</v>
      </c>
      <c r="I130" s="2" t="str">
        <f t="shared" si="7"/>
        <v>09:00</v>
      </c>
    </row>
    <row r="131" spans="1:9" x14ac:dyDescent="0.25">
      <c r="A131" s="12">
        <v>45556</v>
      </c>
      <c r="B131" s="15">
        <v>0.20833333333333334</v>
      </c>
      <c r="C131" s="14" t="s">
        <v>37</v>
      </c>
      <c r="D131" s="19" t="s">
        <v>46</v>
      </c>
      <c r="E131" s="11" t="s">
        <v>22</v>
      </c>
      <c r="F131" s="8">
        <f>(INT(Table_Kyrgyzstan[[#This Row],[Date]]) - DATE(1970, 1, 1)) * 86400000</f>
        <v>1726876800000</v>
      </c>
      <c r="G131" s="10">
        <f>'GMT Glossary'!$B$2</f>
        <v>6</v>
      </c>
      <c r="H131" s="2" t="str">
        <f t="shared" si="6"/>
        <v>2024-09-21</v>
      </c>
      <c r="I131" s="2" t="str">
        <f t="shared" si="7"/>
        <v>11:00</v>
      </c>
    </row>
    <row r="132" spans="1:9" x14ac:dyDescent="0.25">
      <c r="A132" s="12">
        <v>45556</v>
      </c>
      <c r="B132" s="15">
        <v>0.29166666666666669</v>
      </c>
      <c r="C132" s="14" t="s">
        <v>36</v>
      </c>
      <c r="D132" s="19" t="s">
        <v>110</v>
      </c>
      <c r="E132" s="11" t="s">
        <v>22</v>
      </c>
      <c r="F132" s="8">
        <f>(INT(Table_Kyrgyzstan[[#This Row],[Date]]) - DATE(1970, 1, 1)) * 86400000</f>
        <v>1726876800000</v>
      </c>
      <c r="G132" s="10">
        <f>'GMT Glossary'!$B$2</f>
        <v>6</v>
      </c>
      <c r="H132" s="2" t="str">
        <f t="shared" si="6"/>
        <v>2024-09-21</v>
      </c>
      <c r="I132" s="2" t="str">
        <f t="shared" si="7"/>
        <v>13:00</v>
      </c>
    </row>
    <row r="133" spans="1:9" x14ac:dyDescent="0.25">
      <c r="A133" s="12">
        <v>45556</v>
      </c>
      <c r="B133" s="15">
        <v>0.35416666666666669</v>
      </c>
      <c r="C133" s="14" t="s">
        <v>36</v>
      </c>
      <c r="D133" s="19" t="s">
        <v>111</v>
      </c>
      <c r="E133" s="11" t="s">
        <v>22</v>
      </c>
      <c r="F133" s="8">
        <f>(INT(Table_Kyrgyzstan[[#This Row],[Date]]) - DATE(1970, 1, 1)) * 86400000</f>
        <v>1726876800000</v>
      </c>
      <c r="G133" s="10">
        <f>'GMT Glossary'!$B$2</f>
        <v>6</v>
      </c>
      <c r="H133" s="2" t="str">
        <f t="shared" si="6"/>
        <v>2024-09-21</v>
      </c>
      <c r="I133" s="2" t="str">
        <f t="shared" si="7"/>
        <v>14:30</v>
      </c>
    </row>
    <row r="134" spans="1:9" x14ac:dyDescent="0.25">
      <c r="A134" s="12">
        <v>45556</v>
      </c>
      <c r="B134" s="15">
        <v>0.45833333333333331</v>
      </c>
      <c r="C134" s="14" t="s">
        <v>26</v>
      </c>
      <c r="D134" s="19" t="s">
        <v>112</v>
      </c>
      <c r="E134" s="11" t="s">
        <v>22</v>
      </c>
      <c r="F134" s="8">
        <f>(INT(Table_Kyrgyzstan[[#This Row],[Date]]) - DATE(1970, 1, 1)) * 86400000</f>
        <v>1726876800000</v>
      </c>
      <c r="G134" s="10">
        <f>'GMT Glossary'!$B$2</f>
        <v>6</v>
      </c>
      <c r="H134" s="2" t="str">
        <f t="shared" si="6"/>
        <v>2024-09-21</v>
      </c>
      <c r="I134" s="2" t="str">
        <f t="shared" si="7"/>
        <v>17:00</v>
      </c>
    </row>
    <row r="135" spans="1:9" x14ac:dyDescent="0.25">
      <c r="A135" s="12">
        <v>45556</v>
      </c>
      <c r="B135" s="15">
        <v>0.54166666666666663</v>
      </c>
      <c r="C135" s="14" t="s">
        <v>37</v>
      </c>
      <c r="D135" s="19" t="s">
        <v>113</v>
      </c>
      <c r="E135" s="11" t="s">
        <v>22</v>
      </c>
      <c r="F135" s="8">
        <f>(INT(Table_Kyrgyzstan[[#This Row],[Date]]) - DATE(1970, 1, 1)) * 86400000</f>
        <v>1726876800000</v>
      </c>
      <c r="G135" s="10">
        <f>'GMT Glossary'!$B$2</f>
        <v>6</v>
      </c>
      <c r="H135" s="2" t="str">
        <f t="shared" si="6"/>
        <v>2024-09-21</v>
      </c>
      <c r="I135" s="2" t="str">
        <f t="shared" si="7"/>
        <v>19:00</v>
      </c>
    </row>
    <row r="136" spans="1:9" x14ac:dyDescent="0.25">
      <c r="A136" s="12">
        <v>45556</v>
      </c>
      <c r="B136" s="15">
        <v>0.58333333333333337</v>
      </c>
      <c r="C136" s="14" t="s">
        <v>26</v>
      </c>
      <c r="D136" s="19" t="s">
        <v>114</v>
      </c>
      <c r="E136" s="11" t="s">
        <v>22</v>
      </c>
      <c r="F136" s="8">
        <f>(INT(Table_Kyrgyzstan[[#This Row],[Date]]) - DATE(1970, 1, 1)) * 86400000</f>
        <v>1726876800000</v>
      </c>
      <c r="G136" s="10">
        <f>'GMT Glossary'!$B$2</f>
        <v>6</v>
      </c>
      <c r="H136" s="2" t="str">
        <f t="shared" si="6"/>
        <v>2024-09-21</v>
      </c>
      <c r="I136" s="2" t="str">
        <f t="shared" si="7"/>
        <v>20:00</v>
      </c>
    </row>
    <row r="137" spans="1:9" x14ac:dyDescent="0.25">
      <c r="A137" s="12">
        <v>45556</v>
      </c>
      <c r="B137" s="15">
        <v>0.66666666666666663</v>
      </c>
      <c r="C137" s="14" t="s">
        <v>26</v>
      </c>
      <c r="D137" s="19" t="s">
        <v>115</v>
      </c>
      <c r="E137" s="11" t="s">
        <v>22</v>
      </c>
      <c r="F137" s="8">
        <f>(INT(Table_Kyrgyzstan[[#This Row],[Date]]) - DATE(1970, 1, 1)) * 86400000</f>
        <v>1726876800000</v>
      </c>
      <c r="G137" s="10">
        <f>'GMT Glossary'!$B$2</f>
        <v>6</v>
      </c>
      <c r="H137" s="2" t="str">
        <f t="shared" si="6"/>
        <v>2024-09-21</v>
      </c>
      <c r="I137" s="2" t="str">
        <f t="shared" si="7"/>
        <v>22:00</v>
      </c>
    </row>
    <row r="138" spans="1:9" x14ac:dyDescent="0.25">
      <c r="A138" s="12">
        <v>45556</v>
      </c>
      <c r="B138" s="15">
        <v>0.79166666666666663</v>
      </c>
      <c r="C138" s="14" t="s">
        <v>26</v>
      </c>
      <c r="D138" s="19" t="s">
        <v>116</v>
      </c>
      <c r="E138" s="11" t="s">
        <v>22</v>
      </c>
      <c r="F138" s="8">
        <f>(INT(Table_Kyrgyzstan[[#This Row],[Date]]) - DATE(1970, 1, 1)) * 86400000</f>
        <v>1726876800000</v>
      </c>
      <c r="G138" s="10">
        <f>'GMT Glossary'!$B$2</f>
        <v>6</v>
      </c>
      <c r="H138" s="2" t="str">
        <f t="shared" si="6"/>
        <v>2024-09-22</v>
      </c>
      <c r="I138" s="2" t="str">
        <f t="shared" si="7"/>
        <v>01:00</v>
      </c>
    </row>
    <row r="139" spans="1:9" x14ac:dyDescent="0.25">
      <c r="A139" s="12">
        <v>45556</v>
      </c>
      <c r="B139" s="15">
        <v>0.875</v>
      </c>
      <c r="C139" s="14" t="s">
        <v>26</v>
      </c>
      <c r="D139" s="19" t="s">
        <v>117</v>
      </c>
      <c r="E139" s="11" t="s">
        <v>22</v>
      </c>
      <c r="F139" s="8">
        <f>(INT(Table_Kyrgyzstan[[#This Row],[Date]]) - DATE(1970, 1, 1)) * 86400000</f>
        <v>1726876800000</v>
      </c>
      <c r="G139" s="10">
        <f>'GMT Glossary'!$B$2</f>
        <v>6</v>
      </c>
      <c r="H139" s="2" t="str">
        <f t="shared" si="6"/>
        <v>2024-09-22</v>
      </c>
      <c r="I139" s="2" t="str">
        <f t="shared" si="7"/>
        <v>03:00</v>
      </c>
    </row>
    <row r="140" spans="1:9" x14ac:dyDescent="0.25">
      <c r="A140" s="12">
        <v>45556</v>
      </c>
      <c r="B140" s="15">
        <v>0.95833333333333337</v>
      </c>
      <c r="C140" s="14" t="s">
        <v>26</v>
      </c>
      <c r="D140" s="19" t="s">
        <v>49</v>
      </c>
      <c r="E140" s="11" t="s">
        <v>22</v>
      </c>
      <c r="F140" s="8">
        <f>(INT(Table_Kyrgyzstan[[#This Row],[Date]]) - DATE(1970, 1, 1)) * 86400000</f>
        <v>1726876800000</v>
      </c>
      <c r="G140" s="10">
        <f>'GMT Glossary'!$B$2</f>
        <v>6</v>
      </c>
      <c r="H140" s="2" t="str">
        <f t="shared" si="6"/>
        <v>2024-09-22</v>
      </c>
      <c r="I140" s="2" t="str">
        <f t="shared" si="7"/>
        <v>05:00</v>
      </c>
    </row>
    <row r="141" spans="1:9" x14ac:dyDescent="0.25">
      <c r="A141" s="12">
        <v>45557</v>
      </c>
      <c r="B141" s="15">
        <v>4.1666666666666664E-2</v>
      </c>
      <c r="C141" s="14" t="s">
        <v>26</v>
      </c>
      <c r="D141" s="19" t="s">
        <v>112</v>
      </c>
      <c r="E141" s="11" t="s">
        <v>22</v>
      </c>
      <c r="F141" s="8">
        <f>(INT(Table_Kyrgyzstan[[#This Row],[Date]]) - DATE(1970, 1, 1)) * 86400000</f>
        <v>1726963200000</v>
      </c>
      <c r="G141" s="10">
        <f>'GMT Glossary'!$B$2</f>
        <v>6</v>
      </c>
      <c r="H141" s="2" t="str">
        <f t="shared" si="6"/>
        <v>2024-09-22</v>
      </c>
      <c r="I141" s="2" t="str">
        <f t="shared" si="7"/>
        <v>07:00</v>
      </c>
    </row>
    <row r="142" spans="1:9" x14ac:dyDescent="0.25">
      <c r="A142" s="12">
        <v>45557</v>
      </c>
      <c r="B142" s="15">
        <v>0.125</v>
      </c>
      <c r="C142" s="14" t="s">
        <v>26</v>
      </c>
      <c r="D142" s="19" t="s">
        <v>117</v>
      </c>
      <c r="E142" s="11" t="s">
        <v>22</v>
      </c>
      <c r="F142" s="8">
        <f>(INT(Table_Kyrgyzstan[[#This Row],[Date]]) - DATE(1970, 1, 1)) * 86400000</f>
        <v>1726963200000</v>
      </c>
      <c r="G142" s="10">
        <f>'GMT Glossary'!$B$2</f>
        <v>6</v>
      </c>
      <c r="H142" s="2" t="str">
        <f t="shared" si="6"/>
        <v>2024-09-22</v>
      </c>
      <c r="I142" s="2" t="str">
        <f t="shared" si="7"/>
        <v>09:00</v>
      </c>
    </row>
    <row r="143" spans="1:9" x14ac:dyDescent="0.25">
      <c r="A143" s="12">
        <v>45557</v>
      </c>
      <c r="B143" s="15">
        <v>0.20833333333333334</v>
      </c>
      <c r="C143" s="14" t="s">
        <v>37</v>
      </c>
      <c r="D143" s="19" t="s">
        <v>41</v>
      </c>
      <c r="E143" s="11" t="s">
        <v>22</v>
      </c>
      <c r="F143" s="8">
        <f>(INT(Table_Kyrgyzstan[[#This Row],[Date]]) - DATE(1970, 1, 1)) * 86400000</f>
        <v>1726963200000</v>
      </c>
      <c r="G143" s="10">
        <f>'GMT Glossary'!$B$2</f>
        <v>6</v>
      </c>
      <c r="H143" s="2" t="str">
        <f t="shared" si="6"/>
        <v>2024-09-22</v>
      </c>
      <c r="I143" s="2" t="str">
        <f t="shared" si="7"/>
        <v>11:00</v>
      </c>
    </row>
    <row r="144" spans="1:9" x14ac:dyDescent="0.25">
      <c r="A144" s="12">
        <v>45557</v>
      </c>
      <c r="B144" s="15">
        <v>0.29166666666666669</v>
      </c>
      <c r="C144" s="14" t="s">
        <v>36</v>
      </c>
      <c r="D144" s="19" t="s">
        <v>118</v>
      </c>
      <c r="E144" s="11" t="s">
        <v>22</v>
      </c>
      <c r="F144" s="8">
        <f>(INT(Table_Kyrgyzstan[[#This Row],[Date]]) - DATE(1970, 1, 1)) * 86400000</f>
        <v>1726963200000</v>
      </c>
      <c r="G144" s="10">
        <f>'GMT Glossary'!$B$2</f>
        <v>6</v>
      </c>
      <c r="H144" s="2" t="str">
        <f t="shared" si="6"/>
        <v>2024-09-22</v>
      </c>
      <c r="I144" s="2" t="str">
        <f t="shared" si="7"/>
        <v>13:00</v>
      </c>
    </row>
    <row r="145" spans="1:9" x14ac:dyDescent="0.25">
      <c r="A145" s="12">
        <v>45557</v>
      </c>
      <c r="B145" s="15">
        <v>0.375</v>
      </c>
      <c r="C145" s="14" t="s">
        <v>26</v>
      </c>
      <c r="D145" s="19" t="s">
        <v>119</v>
      </c>
      <c r="E145" s="11" t="s">
        <v>22</v>
      </c>
      <c r="F145" s="8">
        <f>(INT(Table_Kyrgyzstan[[#This Row],[Date]]) - DATE(1970, 1, 1)) * 86400000</f>
        <v>1726963200000</v>
      </c>
      <c r="G145" s="10">
        <f>'GMT Glossary'!$B$2</f>
        <v>6</v>
      </c>
      <c r="H145" s="2" t="str">
        <f t="shared" si="6"/>
        <v>2024-09-22</v>
      </c>
      <c r="I145" s="2" t="str">
        <f t="shared" si="7"/>
        <v>15:00</v>
      </c>
    </row>
    <row r="146" spans="1:9" x14ac:dyDescent="0.25">
      <c r="A146" s="12">
        <v>45557</v>
      </c>
      <c r="B146" s="15">
        <v>0.5</v>
      </c>
      <c r="C146" s="14" t="s">
        <v>37</v>
      </c>
      <c r="D146" s="19" t="s">
        <v>120</v>
      </c>
      <c r="E146" s="11" t="s">
        <v>22</v>
      </c>
      <c r="F146" s="8">
        <f>(INT(Table_Kyrgyzstan[[#This Row],[Date]]) - DATE(1970, 1, 1)) * 86400000</f>
        <v>1726963200000</v>
      </c>
      <c r="G146" s="10">
        <f>'GMT Glossary'!$B$2</f>
        <v>6</v>
      </c>
      <c r="H146" s="2" t="str">
        <f t="shared" si="6"/>
        <v>2024-09-22</v>
      </c>
      <c r="I146" s="2" t="str">
        <f t="shared" si="7"/>
        <v>18:00</v>
      </c>
    </row>
    <row r="147" spans="1:9" x14ac:dyDescent="0.25">
      <c r="A147" s="12">
        <v>45557</v>
      </c>
      <c r="B147" s="15">
        <v>0.59375</v>
      </c>
      <c r="C147" s="14" t="s">
        <v>26</v>
      </c>
      <c r="D147" s="19" t="s">
        <v>121</v>
      </c>
      <c r="E147" s="11" t="s">
        <v>22</v>
      </c>
      <c r="F147" s="8">
        <f>(INT(Table_Kyrgyzstan[[#This Row],[Date]]) - DATE(1970, 1, 1)) * 86400000</f>
        <v>1726963200000</v>
      </c>
      <c r="G147" s="10">
        <f>'GMT Glossary'!$B$2</f>
        <v>6</v>
      </c>
      <c r="H147" s="2" t="str">
        <f t="shared" si="6"/>
        <v>2024-09-22</v>
      </c>
      <c r="I147" s="2" t="str">
        <f t="shared" si="7"/>
        <v>20:15</v>
      </c>
    </row>
    <row r="148" spans="1:9" x14ac:dyDescent="0.25">
      <c r="A148" s="12">
        <v>45557</v>
      </c>
      <c r="B148" s="15">
        <v>0.6875</v>
      </c>
      <c r="C148" s="14" t="s">
        <v>26</v>
      </c>
      <c r="D148" s="19" t="s">
        <v>122</v>
      </c>
      <c r="E148" s="11" t="s">
        <v>22</v>
      </c>
      <c r="F148" s="8">
        <f>(INT(Table_Kyrgyzstan[[#This Row],[Date]]) - DATE(1970, 1, 1)) * 86400000</f>
        <v>1726963200000</v>
      </c>
      <c r="G148" s="10">
        <f>'GMT Glossary'!$B$2</f>
        <v>6</v>
      </c>
      <c r="H148" s="2" t="str">
        <f t="shared" si="6"/>
        <v>2024-09-22</v>
      </c>
      <c r="I148" s="2" t="str">
        <f t="shared" si="7"/>
        <v>22:30</v>
      </c>
    </row>
    <row r="149" spans="1:9" x14ac:dyDescent="0.25">
      <c r="A149" s="12">
        <v>45557</v>
      </c>
      <c r="B149" s="15">
        <v>0.78125</v>
      </c>
      <c r="C149" s="14" t="s">
        <v>26</v>
      </c>
      <c r="D149" s="19" t="s">
        <v>123</v>
      </c>
      <c r="E149" s="11" t="s">
        <v>22</v>
      </c>
      <c r="F149" s="8">
        <f>(INT(Table_Kyrgyzstan[[#This Row],[Date]]) - DATE(1970, 1, 1)) * 86400000</f>
        <v>1726963200000</v>
      </c>
      <c r="G149" s="10">
        <f>'GMT Glossary'!$B$2</f>
        <v>6</v>
      </c>
      <c r="H149" s="2" t="str">
        <f t="shared" si="6"/>
        <v>2024-09-23</v>
      </c>
      <c r="I149" s="2" t="str">
        <f t="shared" si="7"/>
        <v>00:45</v>
      </c>
    </row>
    <row r="150" spans="1:9" x14ac:dyDescent="0.25">
      <c r="A150" s="12">
        <v>45557</v>
      </c>
      <c r="B150" s="15">
        <v>0.875</v>
      </c>
      <c r="C150" s="14" t="s">
        <v>26</v>
      </c>
      <c r="D150" s="19" t="s">
        <v>119</v>
      </c>
      <c r="E150" s="11" t="s">
        <v>22</v>
      </c>
      <c r="F150" s="8">
        <f>(INT(Table_Kyrgyzstan[[#This Row],[Date]]) - DATE(1970, 1, 1)) * 86400000</f>
        <v>1726963200000</v>
      </c>
      <c r="G150" s="10">
        <f>'GMT Glossary'!$B$2</f>
        <v>6</v>
      </c>
      <c r="H150" s="2" t="str">
        <f t="shared" si="6"/>
        <v>2024-09-23</v>
      </c>
      <c r="I150" s="2" t="str">
        <f t="shared" si="7"/>
        <v>03:00</v>
      </c>
    </row>
    <row r="151" spans="1:9" x14ac:dyDescent="0.25">
      <c r="A151" s="12">
        <v>45557</v>
      </c>
      <c r="B151" s="15">
        <v>0.97916666666666663</v>
      </c>
      <c r="C151" s="14" t="s">
        <v>36</v>
      </c>
      <c r="D151" s="19" t="s">
        <v>47</v>
      </c>
      <c r="E151" s="11" t="s">
        <v>22</v>
      </c>
      <c r="F151" s="8">
        <f>(INT(Table_Kyrgyzstan[[#This Row],[Date]]) - DATE(1970, 1, 1)) * 86400000</f>
        <v>1726963200000</v>
      </c>
      <c r="G151" s="10">
        <f>'GMT Glossary'!$B$2</f>
        <v>6</v>
      </c>
      <c r="H151" s="2" t="str">
        <f t="shared" si="6"/>
        <v>2024-09-23</v>
      </c>
      <c r="I151" s="2" t="str">
        <f t="shared" si="7"/>
        <v>05:30</v>
      </c>
    </row>
    <row r="152" spans="1:9" x14ac:dyDescent="0.25">
      <c r="A152" s="12">
        <v>45558</v>
      </c>
      <c r="B152" s="15">
        <v>8.3333333333333329E-2</v>
      </c>
      <c r="C152" s="14" t="s">
        <v>18</v>
      </c>
      <c r="D152" s="19" t="s">
        <v>124</v>
      </c>
      <c r="E152" s="11" t="s">
        <v>22</v>
      </c>
      <c r="F152" s="8">
        <f>(INT(Table_Kyrgyzstan[[#This Row],[Date]]) - DATE(1970, 1, 1)) * 86400000</f>
        <v>1727049600000</v>
      </c>
      <c r="G152" s="10">
        <f>'GMT Glossary'!$B$2</f>
        <v>6</v>
      </c>
      <c r="H152" s="2" t="str">
        <f t="shared" ref="H152:H183" si="8">TEXT(IF(B152&lt;0, A152+1+((B152+(G152/24))-(INT(B152+(G152/24)))), A152+(B152+(G152/24))), "yyyy-mm-dd")</f>
        <v>2024-09-23</v>
      </c>
      <c r="I152" s="2" t="str">
        <f t="shared" ref="I152:I165" si="9">TEXT(IF(B152&lt;0, A152+1+((B152+(G152/24))-(INT(B152+(G152/24)))), A152+(B152+(G152/24))), "hh:mm")</f>
        <v>08:00</v>
      </c>
    </row>
    <row r="153" spans="1:9" x14ac:dyDescent="0.25">
      <c r="A153" s="12">
        <v>45558</v>
      </c>
      <c r="B153" s="15">
        <v>0.20833333333333334</v>
      </c>
      <c r="C153" s="14" t="s">
        <v>26</v>
      </c>
      <c r="D153" s="19" t="s">
        <v>125</v>
      </c>
      <c r="E153" s="11" t="s">
        <v>22</v>
      </c>
      <c r="F153" s="8">
        <f>(INT(Table_Kyrgyzstan[[#This Row],[Date]]) - DATE(1970, 1, 1)) * 86400000</f>
        <v>1727049600000</v>
      </c>
      <c r="G153" s="10">
        <f>'GMT Glossary'!$B$2</f>
        <v>6</v>
      </c>
      <c r="H153" s="2" t="str">
        <f t="shared" si="8"/>
        <v>2024-09-23</v>
      </c>
      <c r="I153" s="2" t="str">
        <f t="shared" si="9"/>
        <v>11:00</v>
      </c>
    </row>
    <row r="154" spans="1:9" x14ac:dyDescent="0.25">
      <c r="A154" s="12">
        <v>45558</v>
      </c>
      <c r="B154" s="15">
        <v>0.29166666666666669</v>
      </c>
      <c r="C154" s="14" t="s">
        <v>26</v>
      </c>
      <c r="D154" s="19" t="s">
        <v>126</v>
      </c>
      <c r="E154" s="11" t="s">
        <v>22</v>
      </c>
      <c r="F154" s="8">
        <f>(INT(Table_Kyrgyzstan[[#This Row],[Date]]) - DATE(1970, 1, 1)) * 86400000</f>
        <v>1727049600000</v>
      </c>
      <c r="G154" s="10">
        <f>'GMT Glossary'!$B$2</f>
        <v>6</v>
      </c>
      <c r="H154" s="2" t="str">
        <f t="shared" si="8"/>
        <v>2024-09-23</v>
      </c>
      <c r="I154" s="2" t="str">
        <f t="shared" si="9"/>
        <v>13:00</v>
      </c>
    </row>
    <row r="155" spans="1:9" x14ac:dyDescent="0.25">
      <c r="A155" s="12">
        <v>45558</v>
      </c>
      <c r="B155" s="15">
        <v>0.375</v>
      </c>
      <c r="C155" s="14" t="s">
        <v>26</v>
      </c>
      <c r="D155" s="19" t="s">
        <v>127</v>
      </c>
      <c r="E155" s="11" t="s">
        <v>22</v>
      </c>
      <c r="F155" s="8">
        <f>(INT(Table_Kyrgyzstan[[#This Row],[Date]]) - DATE(1970, 1, 1)) * 86400000</f>
        <v>1727049600000</v>
      </c>
      <c r="G155" s="10">
        <f>'GMT Glossary'!$B$2</f>
        <v>6</v>
      </c>
      <c r="H155" s="2" t="str">
        <f t="shared" si="8"/>
        <v>2024-09-23</v>
      </c>
      <c r="I155" s="2" t="str">
        <f t="shared" si="9"/>
        <v>15:00</v>
      </c>
    </row>
    <row r="156" spans="1:9" x14ac:dyDescent="0.25">
      <c r="A156" s="12">
        <v>45558</v>
      </c>
      <c r="B156" s="15">
        <v>0.45833333333333331</v>
      </c>
      <c r="C156" s="14" t="s">
        <v>37</v>
      </c>
      <c r="D156" s="19" t="s">
        <v>46</v>
      </c>
      <c r="E156" s="11" t="s">
        <v>22</v>
      </c>
      <c r="F156" s="8">
        <f>(INT(Table_Kyrgyzstan[[#This Row],[Date]]) - DATE(1970, 1, 1)) * 86400000</f>
        <v>1727049600000</v>
      </c>
      <c r="G156" s="10">
        <f>'GMT Glossary'!$B$2</f>
        <v>6</v>
      </c>
      <c r="H156" s="2" t="str">
        <f t="shared" si="8"/>
        <v>2024-09-23</v>
      </c>
      <c r="I156" s="2" t="str">
        <f t="shared" si="9"/>
        <v>17:00</v>
      </c>
    </row>
    <row r="157" spans="1:9" x14ac:dyDescent="0.25">
      <c r="A157" s="12">
        <v>45558</v>
      </c>
      <c r="B157" s="15">
        <v>0.54166666666666663</v>
      </c>
      <c r="C157" s="14" t="s">
        <v>36</v>
      </c>
      <c r="D157" s="19" t="s">
        <v>47</v>
      </c>
      <c r="E157" s="11" t="s">
        <v>22</v>
      </c>
      <c r="F157" s="8">
        <f>(INT(Table_Kyrgyzstan[[#This Row],[Date]]) - DATE(1970, 1, 1)) * 86400000</f>
        <v>1727049600000</v>
      </c>
      <c r="G157" s="10">
        <f>'GMT Glossary'!$B$2</f>
        <v>6</v>
      </c>
      <c r="H157" s="2" t="str">
        <f t="shared" si="8"/>
        <v>2024-09-23</v>
      </c>
      <c r="I157" s="2" t="str">
        <f t="shared" si="9"/>
        <v>19:00</v>
      </c>
    </row>
    <row r="158" spans="1:9" x14ac:dyDescent="0.25">
      <c r="A158" s="12">
        <v>45558</v>
      </c>
      <c r="B158" s="15">
        <v>0.625</v>
      </c>
      <c r="C158" s="14" t="s">
        <v>26</v>
      </c>
      <c r="D158" s="19" t="s">
        <v>128</v>
      </c>
      <c r="E158" s="11" t="s">
        <v>22</v>
      </c>
      <c r="F158" s="8">
        <f>(INT(Table_Kyrgyzstan[[#This Row],[Date]]) - DATE(1970, 1, 1)) * 86400000</f>
        <v>1727049600000</v>
      </c>
      <c r="G158" s="10">
        <f>'GMT Glossary'!$B$2</f>
        <v>6</v>
      </c>
      <c r="H158" s="2" t="str">
        <f t="shared" si="8"/>
        <v>2024-09-23</v>
      </c>
      <c r="I158" s="2" t="str">
        <f t="shared" si="9"/>
        <v>21:00</v>
      </c>
    </row>
    <row r="159" spans="1:9" x14ac:dyDescent="0.25">
      <c r="A159" s="12">
        <v>45558</v>
      </c>
      <c r="B159" s="15">
        <v>0.70833333333333337</v>
      </c>
      <c r="C159" s="14" t="s">
        <v>26</v>
      </c>
      <c r="D159" s="19" t="s">
        <v>129</v>
      </c>
      <c r="E159" s="11" t="s">
        <v>22</v>
      </c>
      <c r="F159" s="8">
        <f>(INT(Table_Kyrgyzstan[[#This Row],[Date]]) - DATE(1970, 1, 1)) * 86400000</f>
        <v>1727049600000</v>
      </c>
      <c r="G159" s="10">
        <f>'GMT Glossary'!$B$2</f>
        <v>6</v>
      </c>
      <c r="H159" s="2" t="str">
        <f t="shared" si="8"/>
        <v>2024-09-23</v>
      </c>
      <c r="I159" s="2" t="str">
        <f t="shared" si="9"/>
        <v>23:00</v>
      </c>
    </row>
    <row r="160" spans="1:9" x14ac:dyDescent="0.25">
      <c r="A160" s="12">
        <v>45558</v>
      </c>
      <c r="B160" s="15">
        <v>0.79166666666666663</v>
      </c>
      <c r="C160" s="14" t="s">
        <v>26</v>
      </c>
      <c r="D160" s="19" t="s">
        <v>119</v>
      </c>
      <c r="E160" s="11" t="s">
        <v>22</v>
      </c>
      <c r="F160" s="8">
        <f>(INT(Table_Kyrgyzstan[[#This Row],[Date]]) - DATE(1970, 1, 1)) * 86400000</f>
        <v>1727049600000</v>
      </c>
      <c r="G160" s="10">
        <f>'GMT Glossary'!$B$2</f>
        <v>6</v>
      </c>
      <c r="H160" s="2" t="str">
        <f t="shared" si="8"/>
        <v>2024-09-24</v>
      </c>
      <c r="I160" s="2" t="str">
        <f t="shared" si="9"/>
        <v>01:00</v>
      </c>
    </row>
    <row r="161" spans="1:9" x14ac:dyDescent="0.25">
      <c r="A161" s="12">
        <v>45558</v>
      </c>
      <c r="B161" s="15">
        <v>0.875</v>
      </c>
      <c r="C161" s="14" t="s">
        <v>26</v>
      </c>
      <c r="D161" s="19" t="s">
        <v>112</v>
      </c>
      <c r="E161" s="11" t="s">
        <v>22</v>
      </c>
      <c r="F161" s="8">
        <f>(INT(Table_Kyrgyzstan[[#This Row],[Date]]) - DATE(1970, 1, 1)) * 86400000</f>
        <v>1727049600000</v>
      </c>
      <c r="G161" s="10">
        <f>'GMT Glossary'!$B$2</f>
        <v>6</v>
      </c>
      <c r="H161" s="2" t="str">
        <f t="shared" si="8"/>
        <v>2024-09-24</v>
      </c>
      <c r="I161" s="2" t="str">
        <f t="shared" si="9"/>
        <v>03:00</v>
      </c>
    </row>
    <row r="162" spans="1:9" x14ac:dyDescent="0.25">
      <c r="A162" s="12">
        <v>45558</v>
      </c>
      <c r="B162" s="15">
        <v>0.95833333333333337</v>
      </c>
      <c r="C162" s="14" t="s">
        <v>18</v>
      </c>
      <c r="D162" s="19" t="s">
        <v>124</v>
      </c>
      <c r="E162" s="11" t="s">
        <v>22</v>
      </c>
      <c r="F162" s="8">
        <f>(INT(Table_Kyrgyzstan[[#This Row],[Date]]) - DATE(1970, 1, 1)) * 86400000</f>
        <v>1727049600000</v>
      </c>
      <c r="G162" s="10">
        <f>'GMT Glossary'!$B$2</f>
        <v>6</v>
      </c>
      <c r="H162" s="2" t="str">
        <f t="shared" si="8"/>
        <v>2024-09-24</v>
      </c>
      <c r="I162" s="2" t="str">
        <f t="shared" si="9"/>
        <v>05:00</v>
      </c>
    </row>
    <row r="163" spans="1:9" x14ac:dyDescent="0.25">
      <c r="A163" s="12">
        <v>45559</v>
      </c>
      <c r="B163" s="15">
        <v>8.3333333333333329E-2</v>
      </c>
      <c r="C163" s="14" t="s">
        <v>37</v>
      </c>
      <c r="D163" s="19" t="s">
        <v>46</v>
      </c>
      <c r="E163" s="11" t="s">
        <v>22</v>
      </c>
      <c r="F163" s="8">
        <f>(INT(Table_Kyrgyzstan[[#This Row],[Date]]) - DATE(1970, 1, 1)) * 86400000</f>
        <v>1727136000000</v>
      </c>
      <c r="G163" s="10">
        <f>'GMT Glossary'!$B$2</f>
        <v>6</v>
      </c>
      <c r="H163" s="2" t="str">
        <f t="shared" si="8"/>
        <v>2024-09-24</v>
      </c>
      <c r="I163" s="2" t="str">
        <f t="shared" si="9"/>
        <v>08:00</v>
      </c>
    </row>
    <row r="164" spans="1:9" x14ac:dyDescent="0.25">
      <c r="A164" s="12">
        <v>45559</v>
      </c>
      <c r="B164" s="15">
        <v>0.20833333333333334</v>
      </c>
      <c r="C164" s="14" t="s">
        <v>36</v>
      </c>
      <c r="D164" s="19" t="s">
        <v>47</v>
      </c>
      <c r="E164" s="11" t="s">
        <v>22</v>
      </c>
      <c r="F164" s="8">
        <f>(INT(Table_Kyrgyzstan[[#This Row],[Date]]) - DATE(1970, 1, 1)) * 86400000</f>
        <v>1727136000000</v>
      </c>
      <c r="G164" s="10">
        <f>'GMT Glossary'!$B$2</f>
        <v>6</v>
      </c>
      <c r="H164" s="2" t="str">
        <f t="shared" si="8"/>
        <v>2024-09-24</v>
      </c>
      <c r="I164" s="2" t="str">
        <f t="shared" si="9"/>
        <v>11:00</v>
      </c>
    </row>
    <row r="165" spans="1:9" x14ac:dyDescent="0.25">
      <c r="A165" s="12">
        <v>45559</v>
      </c>
      <c r="B165" s="15">
        <v>0.29166666666666669</v>
      </c>
      <c r="C165" s="14" t="s">
        <v>26</v>
      </c>
      <c r="D165" s="19" t="s">
        <v>127</v>
      </c>
      <c r="E165" s="11" t="s">
        <v>22</v>
      </c>
      <c r="F165" s="8">
        <f>(INT(Table_Kyrgyzstan[[#This Row],[Date]]) - DATE(1970, 1, 1)) * 86400000</f>
        <v>1727136000000</v>
      </c>
      <c r="G165" s="10">
        <f>'GMT Glossary'!$B$2</f>
        <v>6</v>
      </c>
      <c r="H165" s="2" t="str">
        <f t="shared" si="8"/>
        <v>2024-09-24</v>
      </c>
      <c r="I165" s="2" t="str">
        <f t="shared" si="9"/>
        <v>13:00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137A0-99E3-47C4-9239-F6CD3B26EE76}">
  <dimension ref="A1:I165"/>
  <sheetViews>
    <sheetView topLeftCell="A137" workbookViewId="0">
      <selection activeCell="F158" sqref="F158"/>
    </sheetView>
  </sheetViews>
  <sheetFormatPr defaultRowHeight="15" x14ac:dyDescent="0.25"/>
  <cols>
    <col min="1" max="1" width="25.85546875" customWidth="1"/>
    <col min="2" max="2" width="27.28515625" customWidth="1"/>
    <col min="3" max="3" width="17.7109375" customWidth="1"/>
    <col min="4" max="4" width="51.85546875" customWidth="1"/>
    <col min="5" max="5" width="47.5703125" bestFit="1" customWidth="1"/>
    <col min="6" max="6" width="30.85546875" style="8" bestFit="1" customWidth="1"/>
    <col min="7" max="7" width="43.85546875" customWidth="1"/>
    <col min="8" max="8" width="45.7109375" customWidth="1"/>
    <col min="9" max="9" width="30.85546875" customWidth="1"/>
  </cols>
  <sheetData>
    <row r="1" spans="1:9" x14ac:dyDescent="0.25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19</v>
      </c>
      <c r="I1" t="s">
        <v>7</v>
      </c>
    </row>
    <row r="2" spans="1:9" x14ac:dyDescent="0.25">
      <c r="A2" s="23">
        <v>45552</v>
      </c>
      <c r="B2" s="20">
        <v>0.375</v>
      </c>
      <c r="C2" s="24" t="s">
        <v>26</v>
      </c>
      <c r="D2" s="22" t="s">
        <v>58</v>
      </c>
      <c r="E2" s="9" t="s">
        <v>20</v>
      </c>
      <c r="F2" s="8">
        <f>(INT(Table_Azerbaijan[[#This Row],[Date]]) - DATE(1970, 1, 1)) * 86400000</f>
        <v>1726531200000</v>
      </c>
      <c r="G2">
        <f>'GMT Glossary'!$B$2</f>
        <v>6</v>
      </c>
      <c r="H2" s="2" t="str">
        <f t="shared" ref="H2:H65" si="0">TEXT(IF(B2&lt;0, A2+1+((B2+(G2/24))-(INT(B2+(G2/24)))), A2+(B2+(G2/24))), "yyyy-mm-dd")</f>
        <v>2024-09-17</v>
      </c>
      <c r="I2" s="2" t="str">
        <f t="shared" ref="I2:I65" si="1">TEXT(IF(B2&lt;0, A2+1+((B2+(G2/24))-(INT(B2+(G2/24)))), A2+(B2+(G2/24))), "hh:mm")</f>
        <v>15:00</v>
      </c>
    </row>
    <row r="3" spans="1:9" x14ac:dyDescent="0.25">
      <c r="A3" s="23">
        <v>45552</v>
      </c>
      <c r="B3" s="20">
        <v>0.45833333333333331</v>
      </c>
      <c r="C3" s="24" t="s">
        <v>26</v>
      </c>
      <c r="D3" s="22" t="s">
        <v>59</v>
      </c>
      <c r="E3" s="9" t="s">
        <v>20</v>
      </c>
      <c r="F3" s="8">
        <f>(INT(Table_Azerbaijan[[#This Row],[Date]]) - DATE(1970, 1, 1)) * 86400000</f>
        <v>1726531200000</v>
      </c>
      <c r="G3">
        <f>'GMT Glossary'!$B$2</f>
        <v>6</v>
      </c>
      <c r="H3" s="2" t="str">
        <f t="shared" si="0"/>
        <v>2024-09-17</v>
      </c>
      <c r="I3" s="2" t="str">
        <f t="shared" si="1"/>
        <v>17:00</v>
      </c>
    </row>
    <row r="4" spans="1:9" x14ac:dyDescent="0.25">
      <c r="A4" s="23">
        <v>45552</v>
      </c>
      <c r="B4" s="20">
        <v>0.54166666666666663</v>
      </c>
      <c r="C4" s="24" t="s">
        <v>26</v>
      </c>
      <c r="D4" s="22" t="s">
        <v>60</v>
      </c>
      <c r="E4" s="9" t="s">
        <v>20</v>
      </c>
      <c r="F4" s="8">
        <f>(INT(Table_Azerbaijan[[#This Row],[Date]]) - DATE(1970, 1, 1)) * 86400000</f>
        <v>1726531200000</v>
      </c>
      <c r="G4">
        <f>'GMT Glossary'!$B$2</f>
        <v>6</v>
      </c>
      <c r="H4" s="2" t="str">
        <f t="shared" si="0"/>
        <v>2024-09-17</v>
      </c>
      <c r="I4" s="2" t="str">
        <f t="shared" si="1"/>
        <v>19:00</v>
      </c>
    </row>
    <row r="5" spans="1:9" x14ac:dyDescent="0.25">
      <c r="A5" s="23">
        <v>45552</v>
      </c>
      <c r="B5" s="20">
        <v>0.625</v>
      </c>
      <c r="C5" s="24" t="s">
        <v>26</v>
      </c>
      <c r="D5" s="22" t="s">
        <v>33</v>
      </c>
      <c r="E5" s="9" t="s">
        <v>20</v>
      </c>
      <c r="F5" s="8">
        <f>(INT(Table_Azerbaijan[[#This Row],[Date]]) - DATE(1970, 1, 1)) * 86400000</f>
        <v>1726531200000</v>
      </c>
      <c r="G5">
        <f>'GMT Glossary'!$B$2</f>
        <v>6</v>
      </c>
      <c r="H5" s="2" t="str">
        <f t="shared" si="0"/>
        <v>2024-09-17</v>
      </c>
      <c r="I5" s="2" t="str">
        <f t="shared" si="1"/>
        <v>21:00</v>
      </c>
    </row>
    <row r="6" spans="1:9" x14ac:dyDescent="0.25">
      <c r="A6" s="23">
        <v>45552</v>
      </c>
      <c r="B6" s="20">
        <v>0.70833333333333337</v>
      </c>
      <c r="C6" s="24" t="s">
        <v>26</v>
      </c>
      <c r="D6" s="22" t="s">
        <v>34</v>
      </c>
      <c r="E6" s="9" t="s">
        <v>20</v>
      </c>
      <c r="F6" s="8">
        <f>(INT(Table_Azerbaijan[[#This Row],[Date]]) - DATE(1970, 1, 1)) * 86400000</f>
        <v>1726531200000</v>
      </c>
      <c r="G6">
        <f>'GMT Glossary'!$B$2</f>
        <v>6</v>
      </c>
      <c r="H6" s="2" t="str">
        <f t="shared" si="0"/>
        <v>2024-09-17</v>
      </c>
      <c r="I6" s="2" t="str">
        <f t="shared" si="1"/>
        <v>23:00</v>
      </c>
    </row>
    <row r="7" spans="1:9" x14ac:dyDescent="0.25">
      <c r="A7" s="23">
        <v>45552</v>
      </c>
      <c r="B7" s="20">
        <v>0.79166666666666663</v>
      </c>
      <c r="C7" s="24" t="s">
        <v>26</v>
      </c>
      <c r="D7" s="21" t="s">
        <v>61</v>
      </c>
      <c r="E7" s="9" t="s">
        <v>20</v>
      </c>
      <c r="F7" s="8">
        <f>(INT(Table_Azerbaijan[[#This Row],[Date]]) - DATE(1970, 1, 1)) * 86400000</f>
        <v>1726531200000</v>
      </c>
      <c r="G7">
        <f>'GMT Glossary'!$B$2</f>
        <v>6</v>
      </c>
      <c r="H7" s="2" t="str">
        <f t="shared" si="0"/>
        <v>2024-09-18</v>
      </c>
      <c r="I7" s="2" t="str">
        <f t="shared" si="1"/>
        <v>01:00</v>
      </c>
    </row>
    <row r="8" spans="1:9" x14ac:dyDescent="0.25">
      <c r="A8" s="23">
        <v>45552</v>
      </c>
      <c r="B8" s="20">
        <v>0.875</v>
      </c>
      <c r="C8" s="24" t="s">
        <v>26</v>
      </c>
      <c r="D8" s="22" t="s">
        <v>62</v>
      </c>
      <c r="E8" s="9" t="s">
        <v>20</v>
      </c>
      <c r="F8" s="8">
        <f>(INT(Table_Azerbaijan[[#This Row],[Date]]) - DATE(1970, 1, 1)) * 86400000</f>
        <v>1726531200000</v>
      </c>
      <c r="G8">
        <f>'GMT Glossary'!$B$2</f>
        <v>6</v>
      </c>
      <c r="H8" s="2" t="str">
        <f t="shared" si="0"/>
        <v>2024-09-18</v>
      </c>
      <c r="I8" s="2" t="str">
        <f t="shared" si="1"/>
        <v>03:00</v>
      </c>
    </row>
    <row r="9" spans="1:9" x14ac:dyDescent="0.25">
      <c r="A9" s="23">
        <v>45552</v>
      </c>
      <c r="B9" s="20">
        <v>0.95833333333333337</v>
      </c>
      <c r="C9" s="24" t="s">
        <v>26</v>
      </c>
      <c r="D9" s="22" t="s">
        <v>56</v>
      </c>
      <c r="E9" s="9" t="s">
        <v>20</v>
      </c>
      <c r="F9" s="8">
        <f>(INT(Table_Azerbaijan[[#This Row],[Date]]) - DATE(1970, 1, 1)) * 86400000</f>
        <v>1726531200000</v>
      </c>
      <c r="G9">
        <f>'GMT Glossary'!$B$2</f>
        <v>6</v>
      </c>
      <c r="H9" s="2" t="str">
        <f t="shared" si="0"/>
        <v>2024-09-18</v>
      </c>
      <c r="I9" s="2" t="str">
        <f t="shared" si="1"/>
        <v>05:00</v>
      </c>
    </row>
    <row r="10" spans="1:9" x14ac:dyDescent="0.25">
      <c r="A10" s="23">
        <v>45553</v>
      </c>
      <c r="B10" s="20">
        <v>4.1666666666666664E-2</v>
      </c>
      <c r="C10" s="24" t="s">
        <v>26</v>
      </c>
      <c r="D10" s="22" t="s">
        <v>29</v>
      </c>
      <c r="E10" s="9" t="s">
        <v>20</v>
      </c>
      <c r="F10" s="8">
        <f>(INT(Table_Azerbaijan[[#This Row],[Date]]) - DATE(1970, 1, 1)) * 86400000</f>
        <v>1726617600000</v>
      </c>
      <c r="G10">
        <f>'GMT Glossary'!$B$2</f>
        <v>6</v>
      </c>
      <c r="H10" s="2" t="str">
        <f t="shared" si="0"/>
        <v>2024-09-18</v>
      </c>
      <c r="I10" s="2" t="str">
        <f t="shared" si="1"/>
        <v>07:00</v>
      </c>
    </row>
    <row r="11" spans="1:9" x14ac:dyDescent="0.25">
      <c r="A11" s="23">
        <v>45553</v>
      </c>
      <c r="B11" s="20">
        <v>0.125</v>
      </c>
      <c r="C11" s="24" t="s">
        <v>26</v>
      </c>
      <c r="D11" s="22" t="s">
        <v>32</v>
      </c>
      <c r="E11" s="9" t="s">
        <v>20</v>
      </c>
      <c r="F11" s="8">
        <f>(INT(Table_Azerbaijan[[#This Row],[Date]]) - DATE(1970, 1, 1)) * 86400000</f>
        <v>1726617600000</v>
      </c>
      <c r="G11">
        <f>'GMT Glossary'!$B$2</f>
        <v>6</v>
      </c>
      <c r="H11" s="2" t="str">
        <f t="shared" si="0"/>
        <v>2024-09-18</v>
      </c>
      <c r="I11" s="2" t="str">
        <f t="shared" si="1"/>
        <v>09:00</v>
      </c>
    </row>
    <row r="12" spans="1:9" x14ac:dyDescent="0.25">
      <c r="A12" s="23">
        <v>45553</v>
      </c>
      <c r="B12" s="20">
        <v>0.20833333333333334</v>
      </c>
      <c r="C12" s="24" t="s">
        <v>26</v>
      </c>
      <c r="D12" s="22" t="s">
        <v>35</v>
      </c>
      <c r="E12" s="9" t="s">
        <v>20</v>
      </c>
      <c r="F12" s="8">
        <f>(INT(Table_Azerbaijan[[#This Row],[Date]]) - DATE(1970, 1, 1)) * 86400000</f>
        <v>1726617600000</v>
      </c>
      <c r="G12">
        <f>'GMT Glossary'!$B$2</f>
        <v>6</v>
      </c>
      <c r="H12" s="2" t="str">
        <f t="shared" si="0"/>
        <v>2024-09-18</v>
      </c>
      <c r="I12" s="2" t="str">
        <f t="shared" si="1"/>
        <v>11:00</v>
      </c>
    </row>
    <row r="13" spans="1:9" x14ac:dyDescent="0.25">
      <c r="A13" s="23">
        <v>45553</v>
      </c>
      <c r="B13" s="20">
        <v>0.29166666666666669</v>
      </c>
      <c r="C13" s="24" t="s">
        <v>26</v>
      </c>
      <c r="D13" s="22" t="s">
        <v>63</v>
      </c>
      <c r="E13" s="9" t="s">
        <v>20</v>
      </c>
      <c r="F13" s="8">
        <f>(INT(Table_Azerbaijan[[#This Row],[Date]]) - DATE(1970, 1, 1)) * 86400000</f>
        <v>1726617600000</v>
      </c>
      <c r="G13">
        <f>'GMT Glossary'!$B$2</f>
        <v>6</v>
      </c>
      <c r="H13" s="2" t="str">
        <f t="shared" si="0"/>
        <v>2024-09-18</v>
      </c>
      <c r="I13" s="2" t="str">
        <f t="shared" si="1"/>
        <v>13:00</v>
      </c>
    </row>
    <row r="14" spans="1:9" x14ac:dyDescent="0.25">
      <c r="A14" s="23">
        <v>45553</v>
      </c>
      <c r="B14" s="20">
        <v>0.375</v>
      </c>
      <c r="C14" s="24" t="s">
        <v>26</v>
      </c>
      <c r="D14" s="22" t="s">
        <v>64</v>
      </c>
      <c r="E14" s="9" t="s">
        <v>20</v>
      </c>
      <c r="F14" s="8">
        <f>(INT(Table_Azerbaijan[[#This Row],[Date]]) - DATE(1970, 1, 1)) * 86400000</f>
        <v>1726617600000</v>
      </c>
      <c r="G14">
        <f>'GMT Glossary'!$B$2</f>
        <v>6</v>
      </c>
      <c r="H14" s="2" t="str">
        <f t="shared" si="0"/>
        <v>2024-09-18</v>
      </c>
      <c r="I14" s="2" t="str">
        <f t="shared" si="1"/>
        <v>15:00</v>
      </c>
    </row>
    <row r="15" spans="1:9" x14ac:dyDescent="0.25">
      <c r="A15" s="23">
        <v>45553</v>
      </c>
      <c r="B15" s="20">
        <v>0.41666666666666669</v>
      </c>
      <c r="C15" s="24" t="s">
        <v>26</v>
      </c>
      <c r="D15" s="22" t="s">
        <v>65</v>
      </c>
      <c r="E15" s="9" t="s">
        <v>20</v>
      </c>
      <c r="F15" s="8">
        <f>(INT(Table_Azerbaijan[[#This Row],[Date]]) - DATE(1970, 1, 1)) * 86400000</f>
        <v>1726617600000</v>
      </c>
      <c r="G15">
        <f>'GMT Glossary'!$B$2</f>
        <v>6</v>
      </c>
      <c r="H15" s="2" t="str">
        <f t="shared" si="0"/>
        <v>2024-09-18</v>
      </c>
      <c r="I15" s="2" t="str">
        <f t="shared" si="1"/>
        <v>16:00</v>
      </c>
    </row>
    <row r="16" spans="1:9" x14ac:dyDescent="0.25">
      <c r="A16" s="23">
        <v>45553</v>
      </c>
      <c r="B16" s="20">
        <v>0.45833333333333331</v>
      </c>
      <c r="C16" s="24" t="s">
        <v>26</v>
      </c>
      <c r="D16" s="22" t="s">
        <v>66</v>
      </c>
      <c r="E16" s="9" t="s">
        <v>20</v>
      </c>
      <c r="F16" s="8">
        <f>(INT(Table_Azerbaijan[[#This Row],[Date]]) - DATE(1970, 1, 1)) * 86400000</f>
        <v>1726617600000</v>
      </c>
      <c r="G16">
        <f>'GMT Glossary'!$B$2</f>
        <v>6</v>
      </c>
      <c r="H16" s="2" t="str">
        <f t="shared" si="0"/>
        <v>2024-09-18</v>
      </c>
      <c r="I16" s="2" t="str">
        <f t="shared" si="1"/>
        <v>17:00</v>
      </c>
    </row>
    <row r="17" spans="1:9" x14ac:dyDescent="0.25">
      <c r="A17" s="23">
        <v>45553</v>
      </c>
      <c r="B17" s="20">
        <v>0.5</v>
      </c>
      <c r="C17" s="24" t="s">
        <v>26</v>
      </c>
      <c r="D17" s="22" t="s">
        <v>67</v>
      </c>
      <c r="E17" s="9" t="s">
        <v>20</v>
      </c>
      <c r="F17" s="8">
        <f>(INT(Table_Azerbaijan[[#This Row],[Date]]) - DATE(1970, 1, 1)) * 86400000</f>
        <v>1726617600000</v>
      </c>
      <c r="G17">
        <f>'GMT Glossary'!$B$2</f>
        <v>6</v>
      </c>
      <c r="H17" s="2" t="str">
        <f t="shared" si="0"/>
        <v>2024-09-18</v>
      </c>
      <c r="I17" s="2" t="str">
        <f t="shared" si="1"/>
        <v>18:00</v>
      </c>
    </row>
    <row r="18" spans="1:9" x14ac:dyDescent="0.25">
      <c r="A18" s="23">
        <v>45553</v>
      </c>
      <c r="B18" s="20">
        <v>0.54166666666666663</v>
      </c>
      <c r="C18" s="24" t="s">
        <v>26</v>
      </c>
      <c r="D18" s="22" t="s">
        <v>68</v>
      </c>
      <c r="E18" s="9" t="s">
        <v>20</v>
      </c>
      <c r="F18" s="8">
        <f>(INT(Table_Azerbaijan[[#This Row],[Date]]) - DATE(1970, 1, 1)) * 86400000</f>
        <v>1726617600000</v>
      </c>
      <c r="G18">
        <f>'GMT Glossary'!$B$2</f>
        <v>6</v>
      </c>
      <c r="H18" s="2" t="str">
        <f t="shared" si="0"/>
        <v>2024-09-18</v>
      </c>
      <c r="I18" s="2" t="str">
        <f t="shared" si="1"/>
        <v>19:00</v>
      </c>
    </row>
    <row r="19" spans="1:9" x14ac:dyDescent="0.25">
      <c r="A19" s="23">
        <v>45553</v>
      </c>
      <c r="B19" s="20">
        <v>0.625</v>
      </c>
      <c r="C19" s="24" t="s">
        <v>26</v>
      </c>
      <c r="D19" s="22" t="s">
        <v>29</v>
      </c>
      <c r="E19" s="9" t="s">
        <v>20</v>
      </c>
      <c r="F19" s="8">
        <f>(INT(Table_Azerbaijan[[#This Row],[Date]]) - DATE(1970, 1, 1)) * 86400000</f>
        <v>1726617600000</v>
      </c>
      <c r="G19">
        <f>'GMT Glossary'!$B$2</f>
        <v>6</v>
      </c>
      <c r="H19" s="2" t="str">
        <f t="shared" si="0"/>
        <v>2024-09-18</v>
      </c>
      <c r="I19" s="2" t="str">
        <f t="shared" si="1"/>
        <v>21:00</v>
      </c>
    </row>
    <row r="20" spans="1:9" x14ac:dyDescent="0.25">
      <c r="A20" s="23">
        <v>45553</v>
      </c>
      <c r="B20" s="20">
        <v>0.70833333333333337</v>
      </c>
      <c r="C20" s="24" t="s">
        <v>26</v>
      </c>
      <c r="D20" s="22" t="s">
        <v>69</v>
      </c>
      <c r="E20" s="9" t="s">
        <v>20</v>
      </c>
      <c r="F20" s="8">
        <f>(INT(Table_Azerbaijan[[#This Row],[Date]]) - DATE(1970, 1, 1)) * 86400000</f>
        <v>1726617600000</v>
      </c>
      <c r="G20">
        <f>'GMT Glossary'!$B$2</f>
        <v>6</v>
      </c>
      <c r="H20" s="2" t="str">
        <f t="shared" si="0"/>
        <v>2024-09-18</v>
      </c>
      <c r="I20" s="2" t="str">
        <f t="shared" si="1"/>
        <v>23:00</v>
      </c>
    </row>
    <row r="21" spans="1:9" x14ac:dyDescent="0.25">
      <c r="A21" s="23">
        <v>45553</v>
      </c>
      <c r="B21" s="20">
        <v>0.79166666666666663</v>
      </c>
      <c r="C21" s="24" t="s">
        <v>26</v>
      </c>
      <c r="D21" s="21" t="s">
        <v>70</v>
      </c>
      <c r="E21" s="9" t="s">
        <v>20</v>
      </c>
      <c r="F21" s="8">
        <f>(INT(Table_Azerbaijan[[#This Row],[Date]]) - DATE(1970, 1, 1)) * 86400000</f>
        <v>1726617600000</v>
      </c>
      <c r="G21">
        <f>'GMT Glossary'!$B$2</f>
        <v>6</v>
      </c>
      <c r="H21" s="2" t="str">
        <f t="shared" si="0"/>
        <v>2024-09-19</v>
      </c>
      <c r="I21" s="2" t="str">
        <f t="shared" si="1"/>
        <v>01:00</v>
      </c>
    </row>
    <row r="22" spans="1:9" x14ac:dyDescent="0.25">
      <c r="A22" s="23">
        <v>45553</v>
      </c>
      <c r="B22" s="20">
        <v>0.875</v>
      </c>
      <c r="C22" s="24" t="s">
        <v>26</v>
      </c>
      <c r="D22" s="22" t="s">
        <v>71</v>
      </c>
      <c r="E22" s="9" t="s">
        <v>20</v>
      </c>
      <c r="F22" s="8">
        <f>(INT(Table_Azerbaijan[[#This Row],[Date]]) - DATE(1970, 1, 1)) * 86400000</f>
        <v>1726617600000</v>
      </c>
      <c r="G22">
        <f>'GMT Glossary'!$B$2</f>
        <v>6</v>
      </c>
      <c r="H22" s="2" t="str">
        <f t="shared" si="0"/>
        <v>2024-09-19</v>
      </c>
      <c r="I22" s="2" t="str">
        <f t="shared" si="1"/>
        <v>03:00</v>
      </c>
    </row>
    <row r="23" spans="1:9" x14ac:dyDescent="0.25">
      <c r="A23" s="23">
        <v>45553</v>
      </c>
      <c r="B23" s="20">
        <v>0.95833333333333337</v>
      </c>
      <c r="C23" s="24" t="s">
        <v>26</v>
      </c>
      <c r="D23" s="22" t="s">
        <v>28</v>
      </c>
      <c r="E23" s="9" t="s">
        <v>20</v>
      </c>
      <c r="F23" s="8">
        <f>(INT(Table_Azerbaijan[[#This Row],[Date]]) - DATE(1970, 1, 1)) * 86400000</f>
        <v>1726617600000</v>
      </c>
      <c r="G23">
        <f>'GMT Glossary'!$B$2</f>
        <v>6</v>
      </c>
      <c r="H23" s="2" t="str">
        <f t="shared" si="0"/>
        <v>2024-09-19</v>
      </c>
      <c r="I23" s="2" t="str">
        <f t="shared" si="1"/>
        <v>05:00</v>
      </c>
    </row>
    <row r="24" spans="1:9" x14ac:dyDescent="0.25">
      <c r="A24" s="23">
        <v>45553</v>
      </c>
      <c r="B24" s="20">
        <v>4.1666666666666664E-2</v>
      </c>
      <c r="C24" s="24" t="s">
        <v>26</v>
      </c>
      <c r="D24" s="22" t="s">
        <v>30</v>
      </c>
      <c r="E24" s="9" t="s">
        <v>20</v>
      </c>
      <c r="F24" s="8">
        <f>(INT(Table_Azerbaijan[[#This Row],[Date]]) - DATE(1970, 1, 1)) * 86400000</f>
        <v>1726617600000</v>
      </c>
      <c r="G24">
        <f>'GMT Glossary'!$B$2</f>
        <v>6</v>
      </c>
      <c r="H24" s="2" t="str">
        <f t="shared" si="0"/>
        <v>2024-09-18</v>
      </c>
      <c r="I24" s="2" t="str">
        <f t="shared" si="1"/>
        <v>07:00</v>
      </c>
    </row>
    <row r="25" spans="1:9" x14ac:dyDescent="0.25">
      <c r="A25" s="23">
        <v>45554</v>
      </c>
      <c r="B25" s="20">
        <v>0.125</v>
      </c>
      <c r="C25" s="24" t="s">
        <v>26</v>
      </c>
      <c r="D25" s="22" t="s">
        <v>58</v>
      </c>
      <c r="E25" s="9" t="s">
        <v>20</v>
      </c>
      <c r="F25" s="8">
        <f>(INT(Table_Azerbaijan[[#This Row],[Date]]) - DATE(1970, 1, 1)) * 86400000</f>
        <v>1726704000000</v>
      </c>
      <c r="G25">
        <f>'GMT Glossary'!$B$2</f>
        <v>6</v>
      </c>
      <c r="H25" s="2" t="str">
        <f t="shared" si="0"/>
        <v>2024-09-19</v>
      </c>
      <c r="I25" s="2" t="str">
        <f t="shared" si="1"/>
        <v>09:00</v>
      </c>
    </row>
    <row r="26" spans="1:9" x14ac:dyDescent="0.25">
      <c r="A26" s="23">
        <v>45554</v>
      </c>
      <c r="B26" s="20">
        <v>0.20833333333333334</v>
      </c>
      <c r="C26" s="24" t="s">
        <v>26</v>
      </c>
      <c r="D26" s="22" t="s">
        <v>59</v>
      </c>
      <c r="E26" s="9" t="s">
        <v>20</v>
      </c>
      <c r="F26" s="8">
        <f>(INT(Table_Azerbaijan[[#This Row],[Date]]) - DATE(1970, 1, 1)) * 86400000</f>
        <v>1726704000000</v>
      </c>
      <c r="G26">
        <f>'GMT Glossary'!$B$2</f>
        <v>6</v>
      </c>
      <c r="H26" s="2" t="str">
        <f t="shared" si="0"/>
        <v>2024-09-19</v>
      </c>
      <c r="I26" s="2" t="str">
        <f t="shared" si="1"/>
        <v>11:00</v>
      </c>
    </row>
    <row r="27" spans="1:9" x14ac:dyDescent="0.25">
      <c r="A27" s="23">
        <v>45554</v>
      </c>
      <c r="B27" s="20">
        <v>0.29166666666666669</v>
      </c>
      <c r="C27" s="24" t="s">
        <v>26</v>
      </c>
      <c r="D27" s="22" t="s">
        <v>33</v>
      </c>
      <c r="E27" s="9" t="s">
        <v>20</v>
      </c>
      <c r="F27" s="8">
        <f>(INT(Table_Azerbaijan[[#This Row],[Date]]) - DATE(1970, 1, 1)) * 86400000</f>
        <v>1726704000000</v>
      </c>
      <c r="G27">
        <f>'GMT Glossary'!$B$2</f>
        <v>6</v>
      </c>
      <c r="H27" s="2" t="str">
        <f t="shared" si="0"/>
        <v>2024-09-19</v>
      </c>
      <c r="I27" s="2" t="str">
        <f t="shared" si="1"/>
        <v>13:00</v>
      </c>
    </row>
    <row r="28" spans="1:9" x14ac:dyDescent="0.25">
      <c r="A28" s="23">
        <v>45554</v>
      </c>
      <c r="B28" s="20">
        <v>0.375</v>
      </c>
      <c r="C28" s="24" t="s">
        <v>26</v>
      </c>
      <c r="D28" s="22" t="s">
        <v>64</v>
      </c>
      <c r="E28" s="9" t="s">
        <v>20</v>
      </c>
      <c r="F28" s="8">
        <f>(INT(Table_Azerbaijan[[#This Row],[Date]]) - DATE(1970, 1, 1)) * 86400000</f>
        <v>1726704000000</v>
      </c>
      <c r="G28">
        <f>'GMT Glossary'!$B$2</f>
        <v>6</v>
      </c>
      <c r="H28" s="2" t="str">
        <f t="shared" si="0"/>
        <v>2024-09-19</v>
      </c>
      <c r="I28" s="2" t="str">
        <f t="shared" si="1"/>
        <v>15:00</v>
      </c>
    </row>
    <row r="29" spans="1:9" x14ac:dyDescent="0.25">
      <c r="A29" s="23">
        <v>45554</v>
      </c>
      <c r="B29" s="20">
        <v>0.41666666666666669</v>
      </c>
      <c r="C29" s="24" t="s">
        <v>26</v>
      </c>
      <c r="D29" s="22" t="s">
        <v>65</v>
      </c>
      <c r="E29" s="9" t="s">
        <v>20</v>
      </c>
      <c r="F29" s="8">
        <f>(INT(Table_Azerbaijan[[#This Row],[Date]]) - DATE(1970, 1, 1)) * 86400000</f>
        <v>1726704000000</v>
      </c>
      <c r="G29">
        <f>'GMT Glossary'!$B$2</f>
        <v>6</v>
      </c>
      <c r="H29" s="2" t="str">
        <f t="shared" si="0"/>
        <v>2024-09-19</v>
      </c>
      <c r="I29" s="2" t="str">
        <f t="shared" si="1"/>
        <v>16:00</v>
      </c>
    </row>
    <row r="30" spans="1:9" x14ac:dyDescent="0.25">
      <c r="A30" s="23">
        <v>45554</v>
      </c>
      <c r="B30" s="20">
        <v>0.45833333333333331</v>
      </c>
      <c r="C30" s="24" t="s">
        <v>26</v>
      </c>
      <c r="D30" s="22" t="s">
        <v>66</v>
      </c>
      <c r="E30" s="9" t="s">
        <v>20</v>
      </c>
      <c r="F30" s="8">
        <f>(INT(Table_Azerbaijan[[#This Row],[Date]]) - DATE(1970, 1, 1)) * 86400000</f>
        <v>1726704000000</v>
      </c>
      <c r="G30">
        <f>'GMT Glossary'!$B$2</f>
        <v>6</v>
      </c>
      <c r="H30" s="2" t="str">
        <f t="shared" si="0"/>
        <v>2024-09-19</v>
      </c>
      <c r="I30" s="2" t="str">
        <f t="shared" si="1"/>
        <v>17:00</v>
      </c>
    </row>
    <row r="31" spans="1:9" x14ac:dyDescent="0.25">
      <c r="A31" s="23">
        <v>45554</v>
      </c>
      <c r="B31" s="20">
        <v>0.5</v>
      </c>
      <c r="C31" s="24" t="s">
        <v>26</v>
      </c>
      <c r="D31" s="22" t="s">
        <v>67</v>
      </c>
      <c r="E31" s="9" t="s">
        <v>20</v>
      </c>
      <c r="F31" s="8">
        <f>(INT(Table_Azerbaijan[[#This Row],[Date]]) - DATE(1970, 1, 1)) * 86400000</f>
        <v>1726704000000</v>
      </c>
      <c r="G31">
        <f>'GMT Glossary'!$B$2</f>
        <v>6</v>
      </c>
      <c r="H31" s="2" t="str">
        <f t="shared" si="0"/>
        <v>2024-09-19</v>
      </c>
      <c r="I31" s="2" t="str">
        <f t="shared" si="1"/>
        <v>18:00</v>
      </c>
    </row>
    <row r="32" spans="1:9" x14ac:dyDescent="0.25">
      <c r="A32" s="23">
        <v>45554</v>
      </c>
      <c r="B32" s="20">
        <v>0.54166666666666663</v>
      </c>
      <c r="C32" s="24" t="s">
        <v>26</v>
      </c>
      <c r="D32" s="22" t="s">
        <v>72</v>
      </c>
      <c r="E32" s="9" t="s">
        <v>20</v>
      </c>
      <c r="F32" s="8">
        <f>(INT(Table_Azerbaijan[[#This Row],[Date]]) - DATE(1970, 1, 1)) * 86400000</f>
        <v>1726704000000</v>
      </c>
      <c r="G32">
        <f>'GMT Glossary'!$B$2</f>
        <v>6</v>
      </c>
      <c r="H32" s="2" t="str">
        <f t="shared" si="0"/>
        <v>2024-09-19</v>
      </c>
      <c r="I32" s="2" t="str">
        <f t="shared" si="1"/>
        <v>19:00</v>
      </c>
    </row>
    <row r="33" spans="1:9" x14ac:dyDescent="0.25">
      <c r="A33" s="23">
        <v>45554</v>
      </c>
      <c r="B33" s="20">
        <v>0.625</v>
      </c>
      <c r="C33" s="24" t="s">
        <v>26</v>
      </c>
      <c r="D33" s="22" t="s">
        <v>34</v>
      </c>
      <c r="E33" s="9" t="s">
        <v>20</v>
      </c>
      <c r="F33" s="8">
        <f>(INT(Table_Azerbaijan[[#This Row],[Date]]) - DATE(1970, 1, 1)) * 86400000</f>
        <v>1726704000000</v>
      </c>
      <c r="G33">
        <f>'GMT Glossary'!$B$2</f>
        <v>6</v>
      </c>
      <c r="H33" s="2" t="str">
        <f t="shared" si="0"/>
        <v>2024-09-19</v>
      </c>
      <c r="I33" s="2" t="str">
        <f t="shared" si="1"/>
        <v>21:00</v>
      </c>
    </row>
    <row r="34" spans="1:9" x14ac:dyDescent="0.25">
      <c r="A34" s="23">
        <v>45554</v>
      </c>
      <c r="B34" s="20">
        <v>0.70833333333333337</v>
      </c>
      <c r="C34" s="24" t="s">
        <v>26</v>
      </c>
      <c r="D34" s="21" t="s">
        <v>73</v>
      </c>
      <c r="E34" s="9" t="s">
        <v>20</v>
      </c>
      <c r="F34" s="8">
        <f>(INT(Table_Azerbaijan[[#This Row],[Date]]) - DATE(1970, 1, 1)) * 86400000</f>
        <v>1726704000000</v>
      </c>
      <c r="G34">
        <f>'GMT Glossary'!$B$2</f>
        <v>6</v>
      </c>
      <c r="H34" s="2" t="str">
        <f t="shared" si="0"/>
        <v>2024-09-19</v>
      </c>
      <c r="I34" s="2" t="str">
        <f t="shared" si="1"/>
        <v>23:00</v>
      </c>
    </row>
    <row r="35" spans="1:9" x14ac:dyDescent="0.25">
      <c r="A35" s="23">
        <v>45554</v>
      </c>
      <c r="B35" s="20">
        <v>0.79166666666666663</v>
      </c>
      <c r="C35" s="24" t="s">
        <v>26</v>
      </c>
      <c r="D35" s="22" t="s">
        <v>62</v>
      </c>
      <c r="E35" s="9" t="s">
        <v>20</v>
      </c>
      <c r="F35" s="8">
        <f>(INT(Table_Azerbaijan[[#This Row],[Date]]) - DATE(1970, 1, 1)) * 86400000</f>
        <v>1726704000000</v>
      </c>
      <c r="G35">
        <f>'GMT Glossary'!$B$2</f>
        <v>6</v>
      </c>
      <c r="H35" s="2" t="str">
        <f t="shared" si="0"/>
        <v>2024-09-20</v>
      </c>
      <c r="I35" s="2" t="str">
        <f t="shared" si="1"/>
        <v>01:00</v>
      </c>
    </row>
    <row r="36" spans="1:9" x14ac:dyDescent="0.25">
      <c r="A36" s="23">
        <v>45554</v>
      </c>
      <c r="B36" s="20">
        <v>0.875</v>
      </c>
      <c r="C36" s="24" t="s">
        <v>26</v>
      </c>
      <c r="D36" s="22" t="s">
        <v>32</v>
      </c>
      <c r="E36" s="9" t="s">
        <v>20</v>
      </c>
      <c r="F36" s="8">
        <f>(INT(Table_Azerbaijan[[#This Row],[Date]]) - DATE(1970, 1, 1)) * 86400000</f>
        <v>1726704000000</v>
      </c>
      <c r="G36">
        <f>'GMT Glossary'!$B$2</f>
        <v>6</v>
      </c>
      <c r="H36" s="2" t="str">
        <f t="shared" si="0"/>
        <v>2024-09-20</v>
      </c>
      <c r="I36" s="2" t="str">
        <f t="shared" si="1"/>
        <v>03:00</v>
      </c>
    </row>
    <row r="37" spans="1:9" x14ac:dyDescent="0.25">
      <c r="A37" s="23">
        <v>45554</v>
      </c>
      <c r="B37" s="20">
        <v>0.95833333333333337</v>
      </c>
      <c r="C37" s="24" t="s">
        <v>26</v>
      </c>
      <c r="D37" s="22" t="s">
        <v>31</v>
      </c>
      <c r="E37" s="9" t="s">
        <v>20</v>
      </c>
      <c r="F37" s="8">
        <f>(INT(Table_Azerbaijan[[#This Row],[Date]]) - DATE(1970, 1, 1)) * 86400000</f>
        <v>1726704000000</v>
      </c>
      <c r="G37">
        <f>'GMT Glossary'!$B$2</f>
        <v>6</v>
      </c>
      <c r="H37" s="2" t="str">
        <f t="shared" si="0"/>
        <v>2024-09-20</v>
      </c>
      <c r="I37" s="2" t="str">
        <f t="shared" si="1"/>
        <v>05:00</v>
      </c>
    </row>
    <row r="38" spans="1:9" x14ac:dyDescent="0.25">
      <c r="A38" s="23">
        <v>45555</v>
      </c>
      <c r="B38" s="20">
        <v>4.1666666666666664E-2</v>
      </c>
      <c r="C38" s="24" t="s">
        <v>26</v>
      </c>
      <c r="D38" s="22" t="s">
        <v>56</v>
      </c>
      <c r="E38" s="9" t="s">
        <v>20</v>
      </c>
      <c r="F38" s="8">
        <f>(INT(Table_Azerbaijan[[#This Row],[Date]]) - DATE(1970, 1, 1)) * 86400000</f>
        <v>1726790400000</v>
      </c>
      <c r="G38">
        <f>'GMT Glossary'!$B$2</f>
        <v>6</v>
      </c>
      <c r="H38" s="2" t="str">
        <f t="shared" si="0"/>
        <v>2024-09-20</v>
      </c>
      <c r="I38" s="2" t="str">
        <f t="shared" si="1"/>
        <v>07:00</v>
      </c>
    </row>
    <row r="39" spans="1:9" x14ac:dyDescent="0.25">
      <c r="A39" s="23">
        <v>45555</v>
      </c>
      <c r="B39" s="20">
        <v>0.125</v>
      </c>
      <c r="C39" s="24" t="s">
        <v>26</v>
      </c>
      <c r="D39" s="22" t="s">
        <v>29</v>
      </c>
      <c r="E39" s="9" t="s">
        <v>20</v>
      </c>
      <c r="F39" s="8">
        <f>(INT(Table_Azerbaijan[[#This Row],[Date]]) - DATE(1970, 1, 1)) * 86400000</f>
        <v>1726790400000</v>
      </c>
      <c r="G39">
        <f>'GMT Glossary'!$B$2</f>
        <v>6</v>
      </c>
      <c r="H39" s="2" t="str">
        <f t="shared" si="0"/>
        <v>2024-09-20</v>
      </c>
      <c r="I39" s="2" t="str">
        <f t="shared" si="1"/>
        <v>09:00</v>
      </c>
    </row>
    <row r="40" spans="1:9" x14ac:dyDescent="0.25">
      <c r="A40" s="23">
        <v>45555</v>
      </c>
      <c r="B40" s="20">
        <v>0.20833333333333334</v>
      </c>
      <c r="C40" s="24" t="s">
        <v>26</v>
      </c>
      <c r="D40" s="22" t="s">
        <v>35</v>
      </c>
      <c r="E40" s="9" t="s">
        <v>20</v>
      </c>
      <c r="F40" s="8">
        <f>(INT(Table_Azerbaijan[[#This Row],[Date]]) - DATE(1970, 1, 1)) * 86400000</f>
        <v>1726790400000</v>
      </c>
      <c r="G40">
        <f>'GMT Glossary'!$B$2</f>
        <v>6</v>
      </c>
      <c r="H40" s="2" t="str">
        <f t="shared" si="0"/>
        <v>2024-09-20</v>
      </c>
      <c r="I40" s="2" t="str">
        <f t="shared" si="1"/>
        <v>11:00</v>
      </c>
    </row>
    <row r="41" spans="1:9" x14ac:dyDescent="0.25">
      <c r="A41" s="23">
        <v>45555</v>
      </c>
      <c r="B41" s="20">
        <v>0.29166666666666669</v>
      </c>
      <c r="C41" s="24" t="s">
        <v>26</v>
      </c>
      <c r="D41" s="22" t="s">
        <v>71</v>
      </c>
      <c r="E41" s="9" t="s">
        <v>20</v>
      </c>
      <c r="F41" s="8">
        <f>(INT(Table_Azerbaijan[[#This Row],[Date]]) - DATE(1970, 1, 1)) * 86400000</f>
        <v>1726790400000</v>
      </c>
      <c r="G41">
        <f>'GMT Glossary'!$B$2</f>
        <v>6</v>
      </c>
      <c r="H41" s="2" t="str">
        <f t="shared" si="0"/>
        <v>2024-09-20</v>
      </c>
      <c r="I41" s="2" t="str">
        <f t="shared" si="1"/>
        <v>13:00</v>
      </c>
    </row>
    <row r="42" spans="1:9" x14ac:dyDescent="0.25">
      <c r="A42" s="23">
        <v>45555</v>
      </c>
      <c r="B42" s="20">
        <v>0.375</v>
      </c>
      <c r="C42" s="24" t="s">
        <v>26</v>
      </c>
      <c r="D42" s="22" t="s">
        <v>68</v>
      </c>
      <c r="E42" s="9" t="s">
        <v>20</v>
      </c>
      <c r="F42" s="8">
        <f>(INT(Table_Azerbaijan[[#This Row],[Date]]) - DATE(1970, 1, 1)) * 86400000</f>
        <v>1726790400000</v>
      </c>
      <c r="G42">
        <f>'GMT Glossary'!$B$2</f>
        <v>6</v>
      </c>
      <c r="H42" s="2" t="str">
        <f t="shared" si="0"/>
        <v>2024-09-20</v>
      </c>
      <c r="I42" s="2" t="str">
        <f t="shared" si="1"/>
        <v>15:00</v>
      </c>
    </row>
    <row r="43" spans="1:9" x14ac:dyDescent="0.25">
      <c r="A43" s="23">
        <v>45555</v>
      </c>
      <c r="B43" s="20">
        <v>0.45833333333333331</v>
      </c>
      <c r="C43" s="24" t="s">
        <v>26</v>
      </c>
      <c r="D43" s="22" t="s">
        <v>28</v>
      </c>
      <c r="E43" s="9" t="s">
        <v>20</v>
      </c>
      <c r="F43" s="8">
        <f>(INT(Table_Azerbaijan[[#This Row],[Date]]) - DATE(1970, 1, 1)) * 86400000</f>
        <v>1726790400000</v>
      </c>
      <c r="G43">
        <f>'GMT Glossary'!$B$2</f>
        <v>6</v>
      </c>
      <c r="H43" s="2" t="str">
        <f t="shared" si="0"/>
        <v>2024-09-20</v>
      </c>
      <c r="I43" s="2" t="str">
        <f t="shared" si="1"/>
        <v>17:00</v>
      </c>
    </row>
    <row r="44" spans="1:9" x14ac:dyDescent="0.25">
      <c r="A44" s="23">
        <v>45555</v>
      </c>
      <c r="B44" s="20">
        <v>0.54166666666666663</v>
      </c>
      <c r="C44" s="24" t="s">
        <v>26</v>
      </c>
      <c r="D44" s="22" t="s">
        <v>58</v>
      </c>
      <c r="E44" s="9" t="s">
        <v>20</v>
      </c>
      <c r="F44" s="8">
        <f>(INT(Table_Azerbaijan[[#This Row],[Date]]) - DATE(1970, 1, 1)) * 86400000</f>
        <v>1726790400000</v>
      </c>
      <c r="G44">
        <f>'GMT Glossary'!$B$2</f>
        <v>6</v>
      </c>
      <c r="H44" s="2" t="str">
        <f t="shared" si="0"/>
        <v>2024-09-20</v>
      </c>
      <c r="I44" s="2" t="str">
        <f t="shared" si="1"/>
        <v>19:00</v>
      </c>
    </row>
    <row r="45" spans="1:9" x14ac:dyDescent="0.25">
      <c r="A45" s="23">
        <v>45555</v>
      </c>
      <c r="B45" s="20">
        <v>0.625</v>
      </c>
      <c r="C45" s="24" t="s">
        <v>26</v>
      </c>
      <c r="D45" s="22" t="s">
        <v>27</v>
      </c>
      <c r="E45" s="9" t="s">
        <v>20</v>
      </c>
      <c r="F45" s="8">
        <f>(INT(Table_Azerbaijan[[#This Row],[Date]]) - DATE(1970, 1, 1)) * 86400000</f>
        <v>1726790400000</v>
      </c>
      <c r="G45">
        <f>'GMT Glossary'!$B$2</f>
        <v>6</v>
      </c>
      <c r="H45" s="2" t="str">
        <f t="shared" si="0"/>
        <v>2024-09-20</v>
      </c>
      <c r="I45" s="2" t="str">
        <f t="shared" si="1"/>
        <v>21:00</v>
      </c>
    </row>
    <row r="46" spans="1:9" x14ac:dyDescent="0.25">
      <c r="A46" s="23">
        <v>45555</v>
      </c>
      <c r="B46" s="20">
        <v>0.6875</v>
      </c>
      <c r="C46" s="24" t="s">
        <v>26</v>
      </c>
      <c r="D46" s="21" t="s">
        <v>74</v>
      </c>
      <c r="E46" s="9" t="s">
        <v>20</v>
      </c>
      <c r="F46" s="8">
        <f>(INT(Table_Azerbaijan[[#This Row],[Date]]) - DATE(1970, 1, 1)) * 86400000</f>
        <v>1726790400000</v>
      </c>
      <c r="G46">
        <f>'GMT Glossary'!$B$2</f>
        <v>6</v>
      </c>
      <c r="H46" s="2" t="str">
        <f t="shared" si="0"/>
        <v>2024-09-20</v>
      </c>
      <c r="I46" s="2" t="str">
        <f t="shared" si="1"/>
        <v>22:30</v>
      </c>
    </row>
    <row r="47" spans="1:9" x14ac:dyDescent="0.25">
      <c r="A47" s="23">
        <v>45555</v>
      </c>
      <c r="B47" s="20">
        <v>0.78125</v>
      </c>
      <c r="C47" s="24" t="s">
        <v>26</v>
      </c>
      <c r="D47" s="21" t="s">
        <v>75</v>
      </c>
      <c r="E47" s="9" t="s">
        <v>20</v>
      </c>
      <c r="F47" s="8">
        <f>(INT(Table_Azerbaijan[[#This Row],[Date]]) - DATE(1970, 1, 1)) * 86400000</f>
        <v>1726790400000</v>
      </c>
      <c r="G47">
        <f>'GMT Glossary'!$B$2</f>
        <v>6</v>
      </c>
      <c r="H47" s="2" t="str">
        <f t="shared" si="0"/>
        <v>2024-09-21</v>
      </c>
      <c r="I47" s="2" t="str">
        <f t="shared" si="1"/>
        <v>00:45</v>
      </c>
    </row>
    <row r="48" spans="1:9" x14ac:dyDescent="0.25">
      <c r="A48" s="23">
        <v>45555</v>
      </c>
      <c r="B48" s="20">
        <v>0.875</v>
      </c>
      <c r="C48" s="24" t="s">
        <v>26</v>
      </c>
      <c r="D48" s="22" t="s">
        <v>33</v>
      </c>
      <c r="E48" s="9" t="s">
        <v>20</v>
      </c>
      <c r="F48" s="8">
        <f>(INT(Table_Azerbaijan[[#This Row],[Date]]) - DATE(1970, 1, 1)) * 86400000</f>
        <v>1726790400000</v>
      </c>
      <c r="G48">
        <f>'GMT Glossary'!$B$2</f>
        <v>6</v>
      </c>
      <c r="H48" s="2" t="str">
        <f t="shared" si="0"/>
        <v>2024-09-21</v>
      </c>
      <c r="I48" s="2" t="str">
        <f t="shared" si="1"/>
        <v>03:00</v>
      </c>
    </row>
    <row r="49" spans="1:9" x14ac:dyDescent="0.25">
      <c r="A49" s="23">
        <v>45555</v>
      </c>
      <c r="B49" s="20">
        <v>0.95833333333333337</v>
      </c>
      <c r="C49" s="24" t="s">
        <v>26</v>
      </c>
      <c r="D49" s="22" t="s">
        <v>72</v>
      </c>
      <c r="E49" s="9" t="s">
        <v>20</v>
      </c>
      <c r="F49" s="8">
        <f>(INT(Table_Azerbaijan[[#This Row],[Date]]) - DATE(1970, 1, 1)) * 86400000</f>
        <v>1726790400000</v>
      </c>
      <c r="G49">
        <f>'GMT Glossary'!$B$2</f>
        <v>6</v>
      </c>
      <c r="H49" s="2" t="str">
        <f t="shared" si="0"/>
        <v>2024-09-21</v>
      </c>
      <c r="I49" s="2" t="str">
        <f t="shared" si="1"/>
        <v>05:00</v>
      </c>
    </row>
    <row r="50" spans="1:9" x14ac:dyDescent="0.25">
      <c r="A50" s="23">
        <v>45556</v>
      </c>
      <c r="B50" s="20">
        <v>4.1666666666666664E-2</v>
      </c>
      <c r="C50" s="24" t="s">
        <v>26</v>
      </c>
      <c r="D50" s="22" t="s">
        <v>63</v>
      </c>
      <c r="E50" s="9" t="s">
        <v>20</v>
      </c>
      <c r="F50" s="8">
        <f>(INT(Table_Azerbaijan[[#This Row],[Date]]) - DATE(1970, 1, 1)) * 86400000</f>
        <v>1726876800000</v>
      </c>
      <c r="G50">
        <f>'GMT Glossary'!$B$2</f>
        <v>6</v>
      </c>
      <c r="H50" s="2" t="str">
        <f t="shared" si="0"/>
        <v>2024-09-21</v>
      </c>
      <c r="I50" s="2" t="str">
        <f t="shared" si="1"/>
        <v>07:00</v>
      </c>
    </row>
    <row r="51" spans="1:9" x14ac:dyDescent="0.25">
      <c r="A51" s="23">
        <v>45556</v>
      </c>
      <c r="B51" s="20">
        <v>0.125</v>
      </c>
      <c r="C51" s="24" t="s">
        <v>26</v>
      </c>
      <c r="D51" s="22" t="s">
        <v>32</v>
      </c>
      <c r="E51" s="9" t="s">
        <v>20</v>
      </c>
      <c r="F51" s="8">
        <f>(INT(Table_Azerbaijan[[#This Row],[Date]]) - DATE(1970, 1, 1)) * 86400000</f>
        <v>1726876800000</v>
      </c>
      <c r="G51">
        <f>'GMT Glossary'!$B$2</f>
        <v>6</v>
      </c>
      <c r="H51" s="2" t="str">
        <f t="shared" si="0"/>
        <v>2024-09-21</v>
      </c>
      <c r="I51" s="2" t="str">
        <f t="shared" si="1"/>
        <v>09:00</v>
      </c>
    </row>
    <row r="52" spans="1:9" x14ac:dyDescent="0.25">
      <c r="A52" s="23">
        <v>45556</v>
      </c>
      <c r="B52" s="20">
        <v>0.20833333333333334</v>
      </c>
      <c r="C52" s="24" t="s">
        <v>26</v>
      </c>
      <c r="D52" s="22" t="s">
        <v>30</v>
      </c>
      <c r="E52" s="9" t="s">
        <v>20</v>
      </c>
      <c r="F52" s="8">
        <f>(INT(Table_Azerbaijan[[#This Row],[Date]]) - DATE(1970, 1, 1)) * 86400000</f>
        <v>1726876800000</v>
      </c>
      <c r="G52">
        <f>'GMT Glossary'!$B$2</f>
        <v>6</v>
      </c>
      <c r="H52" s="2" t="str">
        <f t="shared" si="0"/>
        <v>2024-09-21</v>
      </c>
      <c r="I52" s="2" t="str">
        <f t="shared" si="1"/>
        <v>11:00</v>
      </c>
    </row>
    <row r="53" spans="1:9" x14ac:dyDescent="0.25">
      <c r="A53" s="23">
        <v>45556</v>
      </c>
      <c r="B53" s="20">
        <v>0.29166666666666669</v>
      </c>
      <c r="C53" s="24" t="s">
        <v>26</v>
      </c>
      <c r="D53" s="22" t="s">
        <v>31</v>
      </c>
      <c r="E53" s="9" t="s">
        <v>20</v>
      </c>
      <c r="F53" s="8">
        <f>(INT(Table_Azerbaijan[[#This Row],[Date]]) - DATE(1970, 1, 1)) * 86400000</f>
        <v>1726876800000</v>
      </c>
      <c r="G53">
        <f>'GMT Glossary'!$B$2</f>
        <v>6</v>
      </c>
      <c r="H53" s="2" t="str">
        <f t="shared" si="0"/>
        <v>2024-09-21</v>
      </c>
      <c r="I53" s="2" t="str">
        <f t="shared" si="1"/>
        <v>13:00</v>
      </c>
    </row>
    <row r="54" spans="1:9" x14ac:dyDescent="0.25">
      <c r="A54" s="23">
        <v>45556</v>
      </c>
      <c r="B54" s="20">
        <v>0.375</v>
      </c>
      <c r="C54" s="24" t="s">
        <v>26</v>
      </c>
      <c r="D54" s="22" t="s">
        <v>29</v>
      </c>
      <c r="E54" s="9" t="s">
        <v>20</v>
      </c>
      <c r="F54" s="8">
        <f>(INT(Table_Azerbaijan[[#This Row],[Date]]) - DATE(1970, 1, 1)) * 86400000</f>
        <v>1726876800000</v>
      </c>
      <c r="G54">
        <f>'GMT Glossary'!$B$2</f>
        <v>6</v>
      </c>
      <c r="H54" s="2" t="str">
        <f t="shared" si="0"/>
        <v>2024-09-21</v>
      </c>
      <c r="I54" s="2" t="str">
        <f t="shared" si="1"/>
        <v>15:00</v>
      </c>
    </row>
    <row r="55" spans="1:9" x14ac:dyDescent="0.25">
      <c r="A55" s="23">
        <v>45556</v>
      </c>
      <c r="B55" s="20">
        <v>0.47916666666666669</v>
      </c>
      <c r="C55" s="24" t="s">
        <v>26</v>
      </c>
      <c r="D55" s="21" t="s">
        <v>76</v>
      </c>
      <c r="E55" s="9" t="s">
        <v>20</v>
      </c>
      <c r="F55" s="8">
        <f>(INT(Table_Azerbaijan[[#This Row],[Date]]) - DATE(1970, 1, 1)) * 86400000</f>
        <v>1726876800000</v>
      </c>
      <c r="G55">
        <f>'GMT Glossary'!$B$2</f>
        <v>6</v>
      </c>
      <c r="H55" s="2" t="str">
        <f t="shared" si="0"/>
        <v>2024-09-21</v>
      </c>
      <c r="I55" s="2" t="str">
        <f t="shared" si="1"/>
        <v>17:30</v>
      </c>
    </row>
    <row r="56" spans="1:9" x14ac:dyDescent="0.25">
      <c r="A56" s="23">
        <v>45556</v>
      </c>
      <c r="B56" s="20">
        <v>0.58333333333333337</v>
      </c>
      <c r="C56" s="24" t="s">
        <v>26</v>
      </c>
      <c r="D56" s="21" t="s">
        <v>77</v>
      </c>
      <c r="E56" s="9" t="s">
        <v>20</v>
      </c>
      <c r="F56" s="8">
        <f>(INT(Table_Azerbaijan[[#This Row],[Date]]) - DATE(1970, 1, 1)) * 86400000</f>
        <v>1726876800000</v>
      </c>
      <c r="G56">
        <f>'GMT Glossary'!$B$2</f>
        <v>6</v>
      </c>
      <c r="H56" s="2" t="str">
        <f t="shared" si="0"/>
        <v>2024-09-21</v>
      </c>
      <c r="I56" s="2" t="str">
        <f t="shared" si="1"/>
        <v>20:00</v>
      </c>
    </row>
    <row r="57" spans="1:9" x14ac:dyDescent="0.25">
      <c r="A57" s="23">
        <v>45556</v>
      </c>
      <c r="B57" s="20">
        <v>0.6875</v>
      </c>
      <c r="C57" s="24" t="s">
        <v>26</v>
      </c>
      <c r="D57" s="21" t="s">
        <v>78</v>
      </c>
      <c r="E57" s="9" t="s">
        <v>20</v>
      </c>
      <c r="F57" s="8">
        <f>(INT(Table_Azerbaijan[[#This Row],[Date]]) - DATE(1970, 1, 1)) * 86400000</f>
        <v>1726876800000</v>
      </c>
      <c r="G57">
        <f>'GMT Glossary'!$B$2</f>
        <v>6</v>
      </c>
      <c r="H57" s="2" t="str">
        <f t="shared" si="0"/>
        <v>2024-09-21</v>
      </c>
      <c r="I57" s="2" t="str">
        <f t="shared" si="1"/>
        <v>22:30</v>
      </c>
    </row>
    <row r="58" spans="1:9" x14ac:dyDescent="0.25">
      <c r="A58" s="23">
        <v>45556</v>
      </c>
      <c r="B58" s="20">
        <v>0.79166666666666663</v>
      </c>
      <c r="C58" s="24" t="s">
        <v>26</v>
      </c>
      <c r="D58" s="21" t="s">
        <v>79</v>
      </c>
      <c r="E58" s="9" t="s">
        <v>20</v>
      </c>
      <c r="F58" s="8">
        <f>(INT(Table_Azerbaijan[[#This Row],[Date]]) - DATE(1970, 1, 1)) * 86400000</f>
        <v>1726876800000</v>
      </c>
      <c r="G58">
        <f>'GMT Glossary'!$B$2</f>
        <v>6</v>
      </c>
      <c r="H58" s="2" t="str">
        <f t="shared" si="0"/>
        <v>2024-09-22</v>
      </c>
      <c r="I58" s="2" t="str">
        <f t="shared" si="1"/>
        <v>01:00</v>
      </c>
    </row>
    <row r="59" spans="1:9" x14ac:dyDescent="0.25">
      <c r="A59" s="23">
        <v>45556</v>
      </c>
      <c r="B59" s="20">
        <v>0.875</v>
      </c>
      <c r="C59" s="24" t="s">
        <v>26</v>
      </c>
      <c r="D59" s="22" t="s">
        <v>33</v>
      </c>
      <c r="E59" s="9" t="s">
        <v>20</v>
      </c>
      <c r="F59" s="8">
        <f>(INT(Table_Azerbaijan[[#This Row],[Date]]) - DATE(1970, 1, 1)) * 86400000</f>
        <v>1726876800000</v>
      </c>
      <c r="G59">
        <f>'GMT Glossary'!$B$2</f>
        <v>6</v>
      </c>
      <c r="H59" s="2" t="str">
        <f t="shared" si="0"/>
        <v>2024-09-22</v>
      </c>
      <c r="I59" s="2" t="str">
        <f t="shared" si="1"/>
        <v>03:00</v>
      </c>
    </row>
    <row r="60" spans="1:9" x14ac:dyDescent="0.25">
      <c r="A60" s="23">
        <v>45556</v>
      </c>
      <c r="B60" s="20">
        <v>0.95833333333333337</v>
      </c>
      <c r="C60" s="24" t="s">
        <v>26</v>
      </c>
      <c r="D60" s="22" t="s">
        <v>80</v>
      </c>
      <c r="E60" s="9" t="s">
        <v>20</v>
      </c>
      <c r="F60" s="8">
        <f>(INT(Table_Azerbaijan[[#This Row],[Date]]) - DATE(1970, 1, 1)) * 86400000</f>
        <v>1726876800000</v>
      </c>
      <c r="G60">
        <f>'GMT Glossary'!$B$2</f>
        <v>6</v>
      </c>
      <c r="H60" s="2" t="str">
        <f t="shared" si="0"/>
        <v>2024-09-22</v>
      </c>
      <c r="I60" s="2" t="str">
        <f t="shared" si="1"/>
        <v>05:00</v>
      </c>
    </row>
    <row r="61" spans="1:9" x14ac:dyDescent="0.25">
      <c r="A61" s="23">
        <v>45557</v>
      </c>
      <c r="B61" s="20">
        <v>4.1666666666666664E-2</v>
      </c>
      <c r="C61" s="24" t="s">
        <v>26</v>
      </c>
      <c r="D61" s="22" t="s">
        <v>32</v>
      </c>
      <c r="E61" s="9" t="s">
        <v>20</v>
      </c>
      <c r="F61" s="8">
        <f>(INT(Table_Azerbaijan[[#This Row],[Date]]) - DATE(1970, 1, 1)) * 86400000</f>
        <v>1726963200000</v>
      </c>
      <c r="G61">
        <f>'GMT Glossary'!$B$2</f>
        <v>6</v>
      </c>
      <c r="H61" s="2" t="str">
        <f t="shared" si="0"/>
        <v>2024-09-22</v>
      </c>
      <c r="I61" s="2" t="str">
        <f t="shared" si="1"/>
        <v>07:00</v>
      </c>
    </row>
    <row r="62" spans="1:9" x14ac:dyDescent="0.25">
      <c r="A62" s="23">
        <v>45557</v>
      </c>
      <c r="B62" s="20">
        <v>0.125</v>
      </c>
      <c r="C62" s="24" t="s">
        <v>26</v>
      </c>
      <c r="D62" s="22" t="s">
        <v>59</v>
      </c>
      <c r="E62" s="9" t="s">
        <v>20</v>
      </c>
      <c r="F62" s="8">
        <f>(INT(Table_Azerbaijan[[#This Row],[Date]]) - DATE(1970, 1, 1)) * 86400000</f>
        <v>1726963200000</v>
      </c>
      <c r="G62">
        <f>'GMT Glossary'!$B$2</f>
        <v>6</v>
      </c>
      <c r="H62" s="2" t="str">
        <f t="shared" si="0"/>
        <v>2024-09-22</v>
      </c>
      <c r="I62" s="2" t="str">
        <f t="shared" si="1"/>
        <v>09:00</v>
      </c>
    </row>
    <row r="63" spans="1:9" x14ac:dyDescent="0.25">
      <c r="A63" s="23">
        <v>45557</v>
      </c>
      <c r="B63" s="20">
        <v>0.20833333333333334</v>
      </c>
      <c r="C63" s="24" t="s">
        <v>26</v>
      </c>
      <c r="D63" s="22" t="s">
        <v>60</v>
      </c>
      <c r="E63" s="9" t="s">
        <v>20</v>
      </c>
      <c r="F63" s="8">
        <f>(INT(Table_Azerbaijan[[#This Row],[Date]]) - DATE(1970, 1, 1)) * 86400000</f>
        <v>1726963200000</v>
      </c>
      <c r="G63">
        <f>'GMT Glossary'!$B$2</f>
        <v>6</v>
      </c>
      <c r="H63" s="2" t="str">
        <f t="shared" si="0"/>
        <v>2024-09-22</v>
      </c>
      <c r="I63" s="2" t="str">
        <f t="shared" si="1"/>
        <v>11:00</v>
      </c>
    </row>
    <row r="64" spans="1:9" x14ac:dyDescent="0.25">
      <c r="A64" s="23">
        <v>45557</v>
      </c>
      <c r="B64" s="20">
        <v>0.29166666666666669</v>
      </c>
      <c r="C64" s="24" t="s">
        <v>26</v>
      </c>
      <c r="D64" s="22" t="s">
        <v>29</v>
      </c>
      <c r="E64" s="9" t="s">
        <v>20</v>
      </c>
      <c r="F64" s="8">
        <f>(INT(Table_Azerbaijan[[#This Row],[Date]]) - DATE(1970, 1, 1)) * 86400000</f>
        <v>1726963200000</v>
      </c>
      <c r="G64">
        <f>'GMT Glossary'!$B$2</f>
        <v>6</v>
      </c>
      <c r="H64" s="2" t="str">
        <f t="shared" si="0"/>
        <v>2024-09-22</v>
      </c>
      <c r="I64" s="2" t="str">
        <f t="shared" si="1"/>
        <v>13:00</v>
      </c>
    </row>
    <row r="65" spans="1:9" x14ac:dyDescent="0.25">
      <c r="A65" s="23">
        <v>45557</v>
      </c>
      <c r="B65" s="20">
        <v>0.375</v>
      </c>
      <c r="C65" s="24" t="s">
        <v>26</v>
      </c>
      <c r="D65" s="22" t="s">
        <v>27</v>
      </c>
      <c r="E65" s="9" t="s">
        <v>20</v>
      </c>
      <c r="F65" s="8">
        <f>(INT(Table_Azerbaijan[[#This Row],[Date]]) - DATE(1970, 1, 1)) * 86400000</f>
        <v>1726963200000</v>
      </c>
      <c r="G65">
        <f>'GMT Glossary'!$B$2</f>
        <v>6</v>
      </c>
      <c r="H65" s="2" t="str">
        <f t="shared" si="0"/>
        <v>2024-09-22</v>
      </c>
      <c r="I65" s="2" t="str">
        <f t="shared" si="1"/>
        <v>15:00</v>
      </c>
    </row>
    <row r="66" spans="1:9" x14ac:dyDescent="0.25">
      <c r="A66" s="23">
        <v>45557</v>
      </c>
      <c r="B66" s="20">
        <v>0.4375</v>
      </c>
      <c r="C66" s="24" t="s">
        <v>26</v>
      </c>
      <c r="D66" s="21" t="s">
        <v>81</v>
      </c>
      <c r="E66" s="9" t="s">
        <v>20</v>
      </c>
      <c r="F66" s="8">
        <f>(INT(Table_Azerbaijan[[#This Row],[Date]]) - DATE(1970, 1, 1)) * 86400000</f>
        <v>1726963200000</v>
      </c>
      <c r="G66">
        <f>'GMT Glossary'!$B$2</f>
        <v>6</v>
      </c>
      <c r="H66" s="2" t="str">
        <f t="shared" ref="H66:H129" si="2">TEXT(IF(B66&lt;0, A66+1+((B66+(G66/24))-(INT(B66+(G66/24)))), A66+(B66+(G66/24))), "yyyy-mm-dd")</f>
        <v>2024-09-22</v>
      </c>
      <c r="I66" s="2" t="str">
        <f t="shared" ref="I66:I129" si="3">TEXT(IF(B66&lt;0, A66+1+((B66+(G66/24))-(INT(B66+(G66/24)))), A66+(B66+(G66/24))), "hh:mm")</f>
        <v>16:30</v>
      </c>
    </row>
    <row r="67" spans="1:9" x14ac:dyDescent="0.25">
      <c r="A67" s="23">
        <v>45557</v>
      </c>
      <c r="B67" s="20">
        <v>0.54166666666666663</v>
      </c>
      <c r="C67" s="24" t="s">
        <v>26</v>
      </c>
      <c r="D67" s="21" t="s">
        <v>82</v>
      </c>
      <c r="E67" s="9" t="s">
        <v>20</v>
      </c>
      <c r="F67" s="8">
        <f>(INT(Table_Azerbaijan[[#This Row],[Date]]) - DATE(1970, 1, 1)) * 86400000</f>
        <v>1726963200000</v>
      </c>
      <c r="G67">
        <f>'GMT Glossary'!$B$2</f>
        <v>6</v>
      </c>
      <c r="H67" s="2" t="str">
        <f t="shared" si="2"/>
        <v>2024-09-22</v>
      </c>
      <c r="I67" s="2" t="str">
        <f t="shared" si="3"/>
        <v>19:00</v>
      </c>
    </row>
    <row r="68" spans="1:9" x14ac:dyDescent="0.25">
      <c r="A68" s="23">
        <v>45557</v>
      </c>
      <c r="B68" s="20">
        <v>0.64583333333333337</v>
      </c>
      <c r="C68" s="24" t="s">
        <v>26</v>
      </c>
      <c r="D68" s="21" t="s">
        <v>83</v>
      </c>
      <c r="E68" s="9" t="s">
        <v>20</v>
      </c>
      <c r="F68" s="8">
        <f>(INT(Table_Azerbaijan[[#This Row],[Date]]) - DATE(1970, 1, 1)) * 86400000</f>
        <v>1726963200000</v>
      </c>
      <c r="G68">
        <f>'GMT Glossary'!$B$2</f>
        <v>6</v>
      </c>
      <c r="H68" s="2" t="str">
        <f t="shared" si="2"/>
        <v>2024-09-22</v>
      </c>
      <c r="I68" s="2" t="str">
        <f t="shared" si="3"/>
        <v>21:30</v>
      </c>
    </row>
    <row r="69" spans="1:9" x14ac:dyDescent="0.25">
      <c r="A69" s="23">
        <v>45557</v>
      </c>
      <c r="B69" s="20">
        <v>0.78125</v>
      </c>
      <c r="C69" s="24" t="s">
        <v>26</v>
      </c>
      <c r="D69" s="21" t="s">
        <v>84</v>
      </c>
      <c r="E69" s="9" t="s">
        <v>20</v>
      </c>
      <c r="F69" s="8">
        <f>(INT(Table_Azerbaijan[[#This Row],[Date]]) - DATE(1970, 1, 1)) * 86400000</f>
        <v>1726963200000</v>
      </c>
      <c r="G69">
        <f>'GMT Glossary'!$B$2</f>
        <v>6</v>
      </c>
      <c r="H69" s="2" t="str">
        <f t="shared" si="2"/>
        <v>2024-09-23</v>
      </c>
      <c r="I69" s="2" t="str">
        <f t="shared" si="3"/>
        <v>00:45</v>
      </c>
    </row>
    <row r="70" spans="1:9" x14ac:dyDescent="0.25">
      <c r="A70" s="23">
        <v>45557</v>
      </c>
      <c r="B70" s="20">
        <v>0.875</v>
      </c>
      <c r="C70" s="24" t="s">
        <v>26</v>
      </c>
      <c r="D70" s="22" t="s">
        <v>85</v>
      </c>
      <c r="E70" s="9" t="s">
        <v>20</v>
      </c>
      <c r="F70" s="8">
        <f>(INT(Table_Azerbaijan[[#This Row],[Date]]) - DATE(1970, 1, 1)) * 86400000</f>
        <v>1726963200000</v>
      </c>
      <c r="G70">
        <f>'GMT Glossary'!$B$2</f>
        <v>6</v>
      </c>
      <c r="H70" s="2" t="str">
        <f t="shared" si="2"/>
        <v>2024-09-23</v>
      </c>
      <c r="I70" s="2" t="str">
        <f t="shared" si="3"/>
        <v>03:00</v>
      </c>
    </row>
    <row r="71" spans="1:9" x14ac:dyDescent="0.25">
      <c r="A71" s="23">
        <v>45557</v>
      </c>
      <c r="B71" s="20">
        <v>0.95833333333333337</v>
      </c>
      <c r="C71" s="24" t="s">
        <v>26</v>
      </c>
      <c r="D71" s="22" t="s">
        <v>86</v>
      </c>
      <c r="E71" s="9" t="s">
        <v>20</v>
      </c>
      <c r="F71" s="8">
        <f>(INT(Table_Azerbaijan[[#This Row],[Date]]) - DATE(1970, 1, 1)) * 86400000</f>
        <v>1726963200000</v>
      </c>
      <c r="G71">
        <f>'GMT Glossary'!$B$2</f>
        <v>6</v>
      </c>
      <c r="H71" s="2" t="str">
        <f t="shared" si="2"/>
        <v>2024-09-23</v>
      </c>
      <c r="I71" s="2" t="str">
        <f t="shared" si="3"/>
        <v>05:00</v>
      </c>
    </row>
    <row r="72" spans="1:9" x14ac:dyDescent="0.25">
      <c r="A72" s="23">
        <v>45558</v>
      </c>
      <c r="B72" s="20">
        <v>4.1666666666666664E-2</v>
      </c>
      <c r="C72" s="24" t="s">
        <v>26</v>
      </c>
      <c r="D72" s="22" t="s">
        <v>87</v>
      </c>
      <c r="E72" s="9" t="s">
        <v>20</v>
      </c>
      <c r="F72" s="8">
        <f>(INT(Table_Azerbaijan[[#This Row],[Date]]) - DATE(1970, 1, 1)) * 86400000</f>
        <v>1727049600000</v>
      </c>
      <c r="G72">
        <f>'GMT Glossary'!$B$2</f>
        <v>6</v>
      </c>
      <c r="H72" s="2" t="str">
        <f t="shared" si="2"/>
        <v>2024-09-23</v>
      </c>
      <c r="I72" s="2" t="str">
        <f t="shared" si="3"/>
        <v>07:00</v>
      </c>
    </row>
    <row r="73" spans="1:9" x14ac:dyDescent="0.25">
      <c r="A73" s="23">
        <v>45558</v>
      </c>
      <c r="B73" s="20">
        <v>0.125</v>
      </c>
      <c r="C73" s="24" t="s">
        <v>26</v>
      </c>
      <c r="D73" s="22" t="s">
        <v>88</v>
      </c>
      <c r="E73" s="9" t="s">
        <v>20</v>
      </c>
      <c r="F73" s="8">
        <f>(INT(Table_Azerbaijan[[#This Row],[Date]]) - DATE(1970, 1, 1)) * 86400000</f>
        <v>1727049600000</v>
      </c>
      <c r="G73">
        <f>'GMT Glossary'!$B$2</f>
        <v>6</v>
      </c>
      <c r="H73" s="2" t="str">
        <f t="shared" si="2"/>
        <v>2024-09-23</v>
      </c>
      <c r="I73" s="2" t="str">
        <f t="shared" si="3"/>
        <v>09:00</v>
      </c>
    </row>
    <row r="74" spans="1:9" x14ac:dyDescent="0.25">
      <c r="A74" s="23">
        <v>45558</v>
      </c>
      <c r="B74" s="20">
        <v>0.20833333333333334</v>
      </c>
      <c r="C74" s="24" t="s">
        <v>26</v>
      </c>
      <c r="D74" s="22" t="s">
        <v>89</v>
      </c>
      <c r="E74" s="9" t="s">
        <v>20</v>
      </c>
      <c r="F74" s="8">
        <f>(INT(Table_Azerbaijan[[#This Row],[Date]]) - DATE(1970, 1, 1)) * 86400000</f>
        <v>1727049600000</v>
      </c>
      <c r="G74">
        <f>'GMT Glossary'!$B$2</f>
        <v>6</v>
      </c>
      <c r="H74" s="2" t="str">
        <f t="shared" si="2"/>
        <v>2024-09-23</v>
      </c>
      <c r="I74" s="2" t="str">
        <f t="shared" si="3"/>
        <v>11:00</v>
      </c>
    </row>
    <row r="75" spans="1:9" x14ac:dyDescent="0.25">
      <c r="A75" s="23">
        <v>45558</v>
      </c>
      <c r="B75" s="20">
        <v>0.29166666666666669</v>
      </c>
      <c r="C75" s="24" t="s">
        <v>26</v>
      </c>
      <c r="D75" s="22" t="s">
        <v>85</v>
      </c>
      <c r="E75" s="9" t="s">
        <v>20</v>
      </c>
      <c r="F75" s="8">
        <f>(INT(Table_Azerbaijan[[#This Row],[Date]]) - DATE(1970, 1, 1)) * 86400000</f>
        <v>1727049600000</v>
      </c>
      <c r="G75">
        <f>'GMT Glossary'!$B$2</f>
        <v>6</v>
      </c>
      <c r="H75" s="2" t="str">
        <f t="shared" si="2"/>
        <v>2024-09-23</v>
      </c>
      <c r="I75" s="2" t="str">
        <f t="shared" si="3"/>
        <v>13:00</v>
      </c>
    </row>
    <row r="76" spans="1:9" x14ac:dyDescent="0.25">
      <c r="A76" s="23">
        <v>45558</v>
      </c>
      <c r="B76" s="20">
        <v>0.375</v>
      </c>
      <c r="C76" s="24" t="s">
        <v>26</v>
      </c>
      <c r="D76" s="22" t="s">
        <v>90</v>
      </c>
      <c r="E76" s="9" t="s">
        <v>20</v>
      </c>
      <c r="F76" s="8">
        <f>(INT(Table_Azerbaijan[[#This Row],[Date]]) - DATE(1970, 1, 1)) * 86400000</f>
        <v>1727049600000</v>
      </c>
      <c r="G76">
        <f>'GMT Glossary'!$B$2</f>
        <v>6</v>
      </c>
      <c r="H76" s="2" t="str">
        <f t="shared" si="2"/>
        <v>2024-09-23</v>
      </c>
      <c r="I76" s="2" t="str">
        <f t="shared" si="3"/>
        <v>15:00</v>
      </c>
    </row>
    <row r="77" spans="1:9" x14ac:dyDescent="0.25">
      <c r="A77" s="23">
        <v>45558</v>
      </c>
      <c r="B77" s="20">
        <v>0.45833333333333331</v>
      </c>
      <c r="C77" s="24" t="s">
        <v>26</v>
      </c>
      <c r="D77" s="22" t="s">
        <v>91</v>
      </c>
      <c r="E77" s="9" t="s">
        <v>20</v>
      </c>
      <c r="F77" s="8">
        <f>(INT(Table_Azerbaijan[[#This Row],[Date]]) - DATE(1970, 1, 1)) * 86400000</f>
        <v>1727049600000</v>
      </c>
      <c r="G77">
        <f>'GMT Glossary'!$B$2</f>
        <v>6</v>
      </c>
      <c r="H77" s="2" t="str">
        <f t="shared" si="2"/>
        <v>2024-09-23</v>
      </c>
      <c r="I77" s="2" t="str">
        <f t="shared" si="3"/>
        <v>17:00</v>
      </c>
    </row>
    <row r="78" spans="1:9" x14ac:dyDescent="0.25">
      <c r="A78" s="23">
        <v>45558</v>
      </c>
      <c r="B78" s="20">
        <v>0.54166666666666663</v>
      </c>
      <c r="C78" s="24" t="s">
        <v>26</v>
      </c>
      <c r="D78" s="22" t="s">
        <v>92</v>
      </c>
      <c r="E78" s="9" t="s">
        <v>20</v>
      </c>
      <c r="F78" s="8">
        <f>(INT(Table_Azerbaijan[[#This Row],[Date]]) - DATE(1970, 1, 1)) * 86400000</f>
        <v>1727049600000</v>
      </c>
      <c r="G78">
        <f>'GMT Glossary'!$B$2</f>
        <v>6</v>
      </c>
      <c r="H78" s="2" t="str">
        <f t="shared" si="2"/>
        <v>2024-09-23</v>
      </c>
      <c r="I78" s="2" t="str">
        <f t="shared" si="3"/>
        <v>19:00</v>
      </c>
    </row>
    <row r="79" spans="1:9" x14ac:dyDescent="0.25">
      <c r="A79" s="23">
        <v>45558</v>
      </c>
      <c r="B79" s="20">
        <v>0.625</v>
      </c>
      <c r="C79" s="24" t="s">
        <v>26</v>
      </c>
      <c r="D79" s="22" t="s">
        <v>89</v>
      </c>
      <c r="E79" s="9" t="s">
        <v>20</v>
      </c>
      <c r="F79" s="8">
        <f>(INT(Table_Azerbaijan[[#This Row],[Date]]) - DATE(1970, 1, 1)) * 86400000</f>
        <v>1727049600000</v>
      </c>
      <c r="G79">
        <f>'GMT Glossary'!$B$2</f>
        <v>6</v>
      </c>
      <c r="H79" s="2" t="str">
        <f t="shared" si="2"/>
        <v>2024-09-23</v>
      </c>
      <c r="I79" s="2" t="str">
        <f t="shared" si="3"/>
        <v>21:00</v>
      </c>
    </row>
    <row r="80" spans="1:9" x14ac:dyDescent="0.25">
      <c r="A80" s="23">
        <v>45558</v>
      </c>
      <c r="B80" s="20">
        <v>0.70833333333333337</v>
      </c>
      <c r="C80" s="24" t="s">
        <v>26</v>
      </c>
      <c r="D80" s="22" t="s">
        <v>87</v>
      </c>
      <c r="E80" s="9" t="s">
        <v>20</v>
      </c>
      <c r="F80" s="8">
        <f>(INT(Table_Azerbaijan[[#This Row],[Date]]) - DATE(1970, 1, 1)) * 86400000</f>
        <v>1727049600000</v>
      </c>
      <c r="G80">
        <f>'GMT Glossary'!$B$2</f>
        <v>6</v>
      </c>
      <c r="H80" s="2" t="str">
        <f t="shared" si="2"/>
        <v>2024-09-23</v>
      </c>
      <c r="I80" s="2" t="str">
        <f t="shared" si="3"/>
        <v>23:00</v>
      </c>
    </row>
    <row r="81" spans="1:9" x14ac:dyDescent="0.25">
      <c r="A81" s="23">
        <v>45558</v>
      </c>
      <c r="B81" s="20">
        <v>0.78125</v>
      </c>
      <c r="C81" s="24" t="s">
        <v>26</v>
      </c>
      <c r="D81" s="21" t="s">
        <v>93</v>
      </c>
      <c r="E81" s="9" t="s">
        <v>20</v>
      </c>
      <c r="F81" s="8">
        <f>(INT(Table_Azerbaijan[[#This Row],[Date]]) - DATE(1970, 1, 1)) * 86400000</f>
        <v>1727049600000</v>
      </c>
      <c r="G81">
        <f>'GMT Glossary'!$B$2</f>
        <v>6</v>
      </c>
      <c r="H81" s="2" t="str">
        <f t="shared" si="2"/>
        <v>2024-09-24</v>
      </c>
      <c r="I81" s="2" t="str">
        <f t="shared" si="3"/>
        <v>00:45</v>
      </c>
    </row>
    <row r="82" spans="1:9" x14ac:dyDescent="0.25">
      <c r="A82" s="23">
        <v>45558</v>
      </c>
      <c r="B82" s="20">
        <v>0.875</v>
      </c>
      <c r="C82" s="24" t="s">
        <v>26</v>
      </c>
      <c r="D82" s="22" t="s">
        <v>91</v>
      </c>
      <c r="E82" s="9" t="s">
        <v>20</v>
      </c>
      <c r="F82" s="8">
        <f>(INT(Table_Azerbaijan[[#This Row],[Date]]) - DATE(1970, 1, 1)) * 86400000</f>
        <v>1727049600000</v>
      </c>
      <c r="G82">
        <f>'GMT Glossary'!$B$2</f>
        <v>6</v>
      </c>
      <c r="H82" s="2" t="str">
        <f t="shared" si="2"/>
        <v>2024-09-24</v>
      </c>
      <c r="I82" s="2" t="str">
        <f t="shared" si="3"/>
        <v>03:00</v>
      </c>
    </row>
    <row r="83" spans="1:9" x14ac:dyDescent="0.25">
      <c r="A83" s="23">
        <v>45558</v>
      </c>
      <c r="B83" s="20">
        <v>0.95833333333333337</v>
      </c>
      <c r="C83" s="24" t="s">
        <v>26</v>
      </c>
      <c r="D83" s="22" t="s">
        <v>94</v>
      </c>
      <c r="E83" s="9" t="s">
        <v>20</v>
      </c>
      <c r="F83" s="8">
        <f>(INT(Table_Azerbaijan[[#This Row],[Date]]) - DATE(1970, 1, 1)) * 86400000</f>
        <v>1727049600000</v>
      </c>
      <c r="G83">
        <f>'GMT Glossary'!$B$2</f>
        <v>6</v>
      </c>
      <c r="H83" s="2" t="str">
        <f t="shared" si="2"/>
        <v>2024-09-24</v>
      </c>
      <c r="I83" s="2" t="str">
        <f t="shared" si="3"/>
        <v>05:00</v>
      </c>
    </row>
    <row r="84" spans="1:9" x14ac:dyDescent="0.25">
      <c r="A84" s="23">
        <v>45559</v>
      </c>
      <c r="B84" s="20">
        <v>4.1666666666666664E-2</v>
      </c>
      <c r="C84" s="24" t="s">
        <v>26</v>
      </c>
      <c r="D84" s="22" t="s">
        <v>90</v>
      </c>
      <c r="E84" s="9" t="s">
        <v>20</v>
      </c>
      <c r="F84" s="8">
        <f>(INT(Table_Azerbaijan[[#This Row],[Date]]) - DATE(1970, 1, 1)) * 86400000</f>
        <v>1727136000000</v>
      </c>
      <c r="G84">
        <f>'GMT Glossary'!$B$2</f>
        <v>6</v>
      </c>
      <c r="H84" s="2" t="str">
        <f t="shared" si="2"/>
        <v>2024-09-24</v>
      </c>
      <c r="I84" s="2" t="str">
        <f t="shared" si="3"/>
        <v>07:00</v>
      </c>
    </row>
    <row r="85" spans="1:9" x14ac:dyDescent="0.25">
      <c r="A85" s="23">
        <v>45559</v>
      </c>
      <c r="B85" s="20">
        <v>0.125</v>
      </c>
      <c r="C85" s="24" t="s">
        <v>26</v>
      </c>
      <c r="D85" s="22" t="s">
        <v>86</v>
      </c>
      <c r="E85" s="9" t="s">
        <v>20</v>
      </c>
      <c r="F85" s="8">
        <f>(INT(Table_Azerbaijan[[#This Row],[Date]]) - DATE(1970, 1, 1)) * 86400000</f>
        <v>1727136000000</v>
      </c>
      <c r="G85">
        <f>'GMT Glossary'!$B$2</f>
        <v>6</v>
      </c>
      <c r="H85" s="2" t="str">
        <f t="shared" si="2"/>
        <v>2024-09-24</v>
      </c>
      <c r="I85" s="2" t="str">
        <f t="shared" si="3"/>
        <v>09:00</v>
      </c>
    </row>
    <row r="86" spans="1:9" x14ac:dyDescent="0.25">
      <c r="A86" s="23">
        <v>45559</v>
      </c>
      <c r="B86" s="20">
        <v>0.20833333333333334</v>
      </c>
      <c r="C86" s="24" t="s">
        <v>26</v>
      </c>
      <c r="D86" s="22" t="s">
        <v>88</v>
      </c>
      <c r="E86" s="9" t="s">
        <v>20</v>
      </c>
      <c r="F86" s="8">
        <f>(INT(Table_Azerbaijan[[#This Row],[Date]]) - DATE(1970, 1, 1)) * 86400000</f>
        <v>1727136000000</v>
      </c>
      <c r="G86">
        <f>'GMT Glossary'!$B$2</f>
        <v>6</v>
      </c>
      <c r="H86" s="2" t="str">
        <f t="shared" si="2"/>
        <v>2024-09-24</v>
      </c>
      <c r="I86" s="2" t="str">
        <f t="shared" si="3"/>
        <v>11:00</v>
      </c>
    </row>
    <row r="87" spans="1:9" x14ac:dyDescent="0.25">
      <c r="A87" s="23">
        <v>45559</v>
      </c>
      <c r="B87" s="20">
        <v>0.29166666666666669</v>
      </c>
      <c r="C87" s="24" t="s">
        <v>26</v>
      </c>
      <c r="D87" s="22" t="s">
        <v>85</v>
      </c>
      <c r="E87" s="11" t="s">
        <v>20</v>
      </c>
      <c r="F87" s="8">
        <f>(INT(Table_Azerbaijan[[#This Row],[Date]]) - DATE(1970, 1, 1)) * 86400000</f>
        <v>1727136000000</v>
      </c>
      <c r="G87" s="10">
        <f>'GMT Glossary'!$B$2</f>
        <v>6</v>
      </c>
      <c r="H87" s="2" t="str">
        <f t="shared" si="2"/>
        <v>2024-09-24</v>
      </c>
      <c r="I87" s="2" t="str">
        <f t="shared" si="3"/>
        <v>13:00</v>
      </c>
    </row>
    <row r="88" spans="1:9" x14ac:dyDescent="0.25">
      <c r="A88" s="12">
        <v>45552</v>
      </c>
      <c r="B88" s="15">
        <v>0.375</v>
      </c>
      <c r="C88" s="14" t="s">
        <v>26</v>
      </c>
      <c r="D88" s="19" t="s">
        <v>57</v>
      </c>
      <c r="E88" s="11" t="s">
        <v>22</v>
      </c>
      <c r="F88" s="8">
        <f>(INT(Table_Azerbaijan[[#This Row],[Date]]) - DATE(1970, 1, 1)) * 86400000</f>
        <v>1726531200000</v>
      </c>
      <c r="G88" s="10">
        <f>'GMT Glossary'!$B$2</f>
        <v>6</v>
      </c>
      <c r="H88" s="2" t="str">
        <f t="shared" si="2"/>
        <v>2024-09-17</v>
      </c>
      <c r="I88" s="2" t="str">
        <f t="shared" si="3"/>
        <v>15:00</v>
      </c>
    </row>
    <row r="89" spans="1:9" x14ac:dyDescent="0.25">
      <c r="A89" s="12">
        <v>45552</v>
      </c>
      <c r="B89" s="15">
        <v>0.45833333333333331</v>
      </c>
      <c r="C89" s="14" t="s">
        <v>26</v>
      </c>
      <c r="D89" s="19" t="s">
        <v>95</v>
      </c>
      <c r="E89" s="11" t="s">
        <v>22</v>
      </c>
      <c r="F89" s="8">
        <f>(INT(Table_Azerbaijan[[#This Row],[Date]]) - DATE(1970, 1, 1)) * 86400000</f>
        <v>1726531200000</v>
      </c>
      <c r="G89" s="10">
        <f>'GMT Glossary'!$B$2</f>
        <v>6</v>
      </c>
      <c r="H89" s="2" t="str">
        <f t="shared" si="2"/>
        <v>2024-09-17</v>
      </c>
      <c r="I89" s="2" t="str">
        <f t="shared" si="3"/>
        <v>17:00</v>
      </c>
    </row>
    <row r="90" spans="1:9" x14ac:dyDescent="0.25">
      <c r="A90" s="12">
        <v>45552</v>
      </c>
      <c r="B90" s="15">
        <v>0.54166666666666663</v>
      </c>
      <c r="C90" s="14" t="s">
        <v>26</v>
      </c>
      <c r="D90" s="19" t="s">
        <v>96</v>
      </c>
      <c r="E90" s="11" t="s">
        <v>22</v>
      </c>
      <c r="F90" s="8">
        <f>(INT(Table_Azerbaijan[[#This Row],[Date]]) - DATE(1970, 1, 1)) * 86400000</f>
        <v>1726531200000</v>
      </c>
      <c r="G90" s="10">
        <f>'GMT Glossary'!$B$2</f>
        <v>6</v>
      </c>
      <c r="H90" s="2" t="str">
        <f t="shared" si="2"/>
        <v>2024-09-17</v>
      </c>
      <c r="I90" s="2" t="str">
        <f t="shared" si="3"/>
        <v>19:00</v>
      </c>
    </row>
    <row r="91" spans="1:9" x14ac:dyDescent="0.25">
      <c r="A91" s="12">
        <v>45552</v>
      </c>
      <c r="B91" s="15">
        <v>0.625</v>
      </c>
      <c r="C91" s="14" t="s">
        <v>26</v>
      </c>
      <c r="D91" s="19" t="s">
        <v>43</v>
      </c>
      <c r="E91" s="11" t="s">
        <v>22</v>
      </c>
      <c r="F91" s="8">
        <f>(INT(Table_Azerbaijan[[#This Row],[Date]]) - DATE(1970, 1, 1)) * 86400000</f>
        <v>1726531200000</v>
      </c>
      <c r="G91" s="10">
        <f>'GMT Glossary'!$B$2</f>
        <v>6</v>
      </c>
      <c r="H91" s="2" t="str">
        <f t="shared" si="2"/>
        <v>2024-09-17</v>
      </c>
      <c r="I91" s="2" t="str">
        <f t="shared" si="3"/>
        <v>21:00</v>
      </c>
    </row>
    <row r="92" spans="1:9" x14ac:dyDescent="0.25">
      <c r="A92" s="12">
        <v>45552</v>
      </c>
      <c r="B92" s="15">
        <v>0.70833333333333337</v>
      </c>
      <c r="C92" s="14" t="s">
        <v>26</v>
      </c>
      <c r="D92" s="19" t="s">
        <v>48</v>
      </c>
      <c r="E92" s="11" t="s">
        <v>22</v>
      </c>
      <c r="F92" s="8">
        <f>(INT(Table_Azerbaijan[[#This Row],[Date]]) - DATE(1970, 1, 1)) * 86400000</f>
        <v>1726531200000</v>
      </c>
      <c r="G92" s="10">
        <f>'GMT Glossary'!$B$2</f>
        <v>6</v>
      </c>
      <c r="H92" s="2" t="str">
        <f t="shared" si="2"/>
        <v>2024-09-17</v>
      </c>
      <c r="I92" s="2" t="str">
        <f t="shared" si="3"/>
        <v>23:00</v>
      </c>
    </row>
    <row r="93" spans="1:9" x14ac:dyDescent="0.25">
      <c r="A93" s="12">
        <v>45552</v>
      </c>
      <c r="B93" s="15">
        <v>0.78125</v>
      </c>
      <c r="C93" s="14" t="s">
        <v>26</v>
      </c>
      <c r="D93" s="19" t="s">
        <v>97</v>
      </c>
      <c r="E93" s="11" t="s">
        <v>22</v>
      </c>
      <c r="F93" s="8">
        <f>(INT(Table_Azerbaijan[[#This Row],[Date]]) - DATE(1970, 1, 1)) * 86400000</f>
        <v>1726531200000</v>
      </c>
      <c r="G93" s="10">
        <f>'GMT Glossary'!$B$2</f>
        <v>6</v>
      </c>
      <c r="H93" s="2" t="str">
        <f t="shared" si="2"/>
        <v>2024-09-18</v>
      </c>
      <c r="I93" s="2" t="str">
        <f t="shared" si="3"/>
        <v>00:45</v>
      </c>
    </row>
    <row r="94" spans="1:9" x14ac:dyDescent="0.25">
      <c r="A94" s="12">
        <v>45552</v>
      </c>
      <c r="B94" s="15">
        <v>0.875</v>
      </c>
      <c r="C94" s="14" t="s">
        <v>26</v>
      </c>
      <c r="D94" s="19" t="s">
        <v>44</v>
      </c>
      <c r="E94" s="11" t="s">
        <v>22</v>
      </c>
      <c r="F94" s="8">
        <f>(INT(Table_Azerbaijan[[#This Row],[Date]]) - DATE(1970, 1, 1)) * 86400000</f>
        <v>1726531200000</v>
      </c>
      <c r="G94" s="10">
        <f>'GMT Glossary'!$B$2</f>
        <v>6</v>
      </c>
      <c r="H94" s="2" t="str">
        <f t="shared" si="2"/>
        <v>2024-09-18</v>
      </c>
      <c r="I94" s="2" t="str">
        <f t="shared" si="3"/>
        <v>03:00</v>
      </c>
    </row>
    <row r="95" spans="1:9" x14ac:dyDescent="0.25">
      <c r="A95" s="12">
        <v>45552</v>
      </c>
      <c r="B95" s="15">
        <v>0.95833333333333337</v>
      </c>
      <c r="C95" s="14" t="s">
        <v>26</v>
      </c>
      <c r="D95" s="19" t="s">
        <v>98</v>
      </c>
      <c r="E95" s="11" t="s">
        <v>22</v>
      </c>
      <c r="F95" s="8">
        <f>(INT(Table_Azerbaijan[[#This Row],[Date]]) - DATE(1970, 1, 1)) * 86400000</f>
        <v>1726531200000</v>
      </c>
      <c r="G95" s="10">
        <f>'GMT Glossary'!$B$2</f>
        <v>6</v>
      </c>
      <c r="H95" s="2" t="str">
        <f t="shared" si="2"/>
        <v>2024-09-18</v>
      </c>
      <c r="I95" s="2" t="str">
        <f t="shared" si="3"/>
        <v>05:00</v>
      </c>
    </row>
    <row r="96" spans="1:9" x14ac:dyDescent="0.25">
      <c r="A96" s="12">
        <v>45553</v>
      </c>
      <c r="B96" s="15">
        <v>4.1666666666666664E-2</v>
      </c>
      <c r="C96" s="14" t="s">
        <v>26</v>
      </c>
      <c r="D96" s="19" t="s">
        <v>52</v>
      </c>
      <c r="E96" s="11" t="s">
        <v>22</v>
      </c>
      <c r="F96" s="8">
        <f>(INT(Table_Azerbaijan[[#This Row],[Date]]) - DATE(1970, 1, 1)) * 86400000</f>
        <v>1726617600000</v>
      </c>
      <c r="G96" s="10">
        <f>'GMT Glossary'!$B$2</f>
        <v>6</v>
      </c>
      <c r="H96" s="2" t="str">
        <f t="shared" si="2"/>
        <v>2024-09-18</v>
      </c>
      <c r="I96" s="2" t="str">
        <f t="shared" si="3"/>
        <v>07:00</v>
      </c>
    </row>
    <row r="97" spans="1:9" x14ac:dyDescent="0.25">
      <c r="A97" s="12">
        <v>45553</v>
      </c>
      <c r="B97" s="15">
        <v>0.125</v>
      </c>
      <c r="C97" s="14" t="s">
        <v>18</v>
      </c>
      <c r="D97" s="19" t="s">
        <v>99</v>
      </c>
      <c r="E97" s="11" t="s">
        <v>22</v>
      </c>
      <c r="F97" s="8">
        <f>(INT(Table_Azerbaijan[[#This Row],[Date]]) - DATE(1970, 1, 1)) * 86400000</f>
        <v>1726617600000</v>
      </c>
      <c r="G97" s="10">
        <f>'GMT Glossary'!$B$2</f>
        <v>6</v>
      </c>
      <c r="H97" s="2" t="str">
        <f t="shared" si="2"/>
        <v>2024-09-18</v>
      </c>
      <c r="I97" s="2" t="str">
        <f t="shared" si="3"/>
        <v>09:00</v>
      </c>
    </row>
    <row r="98" spans="1:9" x14ac:dyDescent="0.25">
      <c r="A98" s="12">
        <v>45553</v>
      </c>
      <c r="B98" s="15">
        <v>0.25</v>
      </c>
      <c r="C98" s="14" t="s">
        <v>37</v>
      </c>
      <c r="D98" s="19" t="s">
        <v>38</v>
      </c>
      <c r="E98" s="11" t="s">
        <v>22</v>
      </c>
      <c r="F98" s="8">
        <f>(INT(Table_Azerbaijan[[#This Row],[Date]]) - DATE(1970, 1, 1)) * 86400000</f>
        <v>1726617600000</v>
      </c>
      <c r="G98" s="10">
        <f>'GMT Glossary'!$B$2</f>
        <v>6</v>
      </c>
      <c r="H98" s="2" t="str">
        <f t="shared" si="2"/>
        <v>2024-09-18</v>
      </c>
      <c r="I98" s="2" t="str">
        <f t="shared" si="3"/>
        <v>12:00</v>
      </c>
    </row>
    <row r="99" spans="1:9" x14ac:dyDescent="0.25">
      <c r="A99" s="12">
        <v>45553</v>
      </c>
      <c r="B99" s="15">
        <v>0.375</v>
      </c>
      <c r="C99" s="14" t="s">
        <v>26</v>
      </c>
      <c r="D99" s="19" t="s">
        <v>45</v>
      </c>
      <c r="E99" s="11" t="s">
        <v>22</v>
      </c>
      <c r="F99" s="8">
        <f>(INT(Table_Azerbaijan[[#This Row],[Date]]) - DATE(1970, 1, 1)) * 86400000</f>
        <v>1726617600000</v>
      </c>
      <c r="G99" s="10">
        <f>'GMT Glossary'!$B$2</f>
        <v>6</v>
      </c>
      <c r="H99" s="2" t="str">
        <f t="shared" si="2"/>
        <v>2024-09-18</v>
      </c>
      <c r="I99" s="2" t="str">
        <f t="shared" si="3"/>
        <v>15:00</v>
      </c>
    </row>
    <row r="100" spans="1:9" x14ac:dyDescent="0.25">
      <c r="A100" s="12">
        <v>45553</v>
      </c>
      <c r="B100" s="15">
        <v>0.45833333333333331</v>
      </c>
      <c r="C100" s="14" t="s">
        <v>26</v>
      </c>
      <c r="D100" s="19" t="s">
        <v>57</v>
      </c>
      <c r="E100" s="11" t="s">
        <v>22</v>
      </c>
      <c r="F100" s="8">
        <f>(INT(Table_Azerbaijan[[#This Row],[Date]]) - DATE(1970, 1, 1)) * 86400000</f>
        <v>1726617600000</v>
      </c>
      <c r="G100" s="10">
        <f>'GMT Glossary'!$B$2</f>
        <v>6</v>
      </c>
      <c r="H100" s="2" t="str">
        <f t="shared" si="2"/>
        <v>2024-09-18</v>
      </c>
      <c r="I100" s="2" t="str">
        <f t="shared" si="3"/>
        <v>17:00</v>
      </c>
    </row>
    <row r="101" spans="1:9" x14ac:dyDescent="0.25">
      <c r="A101" s="12">
        <v>45553</v>
      </c>
      <c r="B101" s="15">
        <v>0.54166666666666663</v>
      </c>
      <c r="C101" s="14" t="s">
        <v>26</v>
      </c>
      <c r="D101" s="19" t="s">
        <v>100</v>
      </c>
      <c r="E101" s="11" t="s">
        <v>22</v>
      </c>
      <c r="F101" s="8">
        <f>(INT(Table_Azerbaijan[[#This Row],[Date]]) - DATE(1970, 1, 1)) * 86400000</f>
        <v>1726617600000</v>
      </c>
      <c r="G101" s="10">
        <f>'GMT Glossary'!$B$2</f>
        <v>6</v>
      </c>
      <c r="H101" s="2" t="str">
        <f t="shared" si="2"/>
        <v>2024-09-18</v>
      </c>
      <c r="I101" s="2" t="str">
        <f t="shared" si="3"/>
        <v>19:00</v>
      </c>
    </row>
    <row r="102" spans="1:9" x14ac:dyDescent="0.25">
      <c r="A102" s="12">
        <v>45553</v>
      </c>
      <c r="B102" s="15">
        <v>0.625</v>
      </c>
      <c r="C102" s="14" t="s">
        <v>26</v>
      </c>
      <c r="D102" s="19" t="s">
        <v>42</v>
      </c>
      <c r="E102" s="11" t="s">
        <v>22</v>
      </c>
      <c r="F102" s="8">
        <f>(INT(Table_Azerbaijan[[#This Row],[Date]]) - DATE(1970, 1, 1)) * 86400000</f>
        <v>1726617600000</v>
      </c>
      <c r="G102" s="10">
        <f>'GMT Glossary'!$B$2</f>
        <v>6</v>
      </c>
      <c r="H102" s="2" t="str">
        <f t="shared" si="2"/>
        <v>2024-09-18</v>
      </c>
      <c r="I102" s="2" t="str">
        <f t="shared" si="3"/>
        <v>21:00</v>
      </c>
    </row>
    <row r="103" spans="1:9" x14ac:dyDescent="0.25">
      <c r="A103" s="12">
        <v>45553</v>
      </c>
      <c r="B103" s="15">
        <v>0.70833333333333337</v>
      </c>
      <c r="C103" s="14" t="s">
        <v>26</v>
      </c>
      <c r="D103" s="19" t="s">
        <v>101</v>
      </c>
      <c r="E103" s="11" t="s">
        <v>22</v>
      </c>
      <c r="F103" s="8">
        <f>(INT(Table_Azerbaijan[[#This Row],[Date]]) - DATE(1970, 1, 1)) * 86400000</f>
        <v>1726617600000</v>
      </c>
      <c r="G103" s="10">
        <f>'GMT Glossary'!$B$2</f>
        <v>6</v>
      </c>
      <c r="H103" s="2" t="str">
        <f t="shared" si="2"/>
        <v>2024-09-18</v>
      </c>
      <c r="I103" s="2" t="str">
        <f t="shared" si="3"/>
        <v>23:00</v>
      </c>
    </row>
    <row r="104" spans="1:9" x14ac:dyDescent="0.25">
      <c r="A104" s="12">
        <v>45553</v>
      </c>
      <c r="B104" s="15">
        <v>0.79166666666666663</v>
      </c>
      <c r="C104" s="14" t="s">
        <v>26</v>
      </c>
      <c r="D104" s="19" t="s">
        <v>49</v>
      </c>
      <c r="E104" s="11" t="s">
        <v>22</v>
      </c>
      <c r="F104" s="8">
        <f>(INT(Table_Azerbaijan[[#This Row],[Date]]) - DATE(1970, 1, 1)) * 86400000</f>
        <v>1726617600000</v>
      </c>
      <c r="G104" s="10">
        <f>'GMT Glossary'!$B$2</f>
        <v>6</v>
      </c>
      <c r="H104" s="2" t="str">
        <f t="shared" si="2"/>
        <v>2024-09-19</v>
      </c>
      <c r="I104" s="2" t="str">
        <f t="shared" si="3"/>
        <v>01:00</v>
      </c>
    </row>
    <row r="105" spans="1:9" x14ac:dyDescent="0.25">
      <c r="A105" s="12">
        <v>45553</v>
      </c>
      <c r="B105" s="15">
        <v>0.875</v>
      </c>
      <c r="C105" s="14" t="s">
        <v>26</v>
      </c>
      <c r="D105" s="19" t="s">
        <v>43</v>
      </c>
      <c r="E105" s="11" t="s">
        <v>22</v>
      </c>
      <c r="F105" s="8">
        <f>(INT(Table_Azerbaijan[[#This Row],[Date]]) - DATE(1970, 1, 1)) * 86400000</f>
        <v>1726617600000</v>
      </c>
      <c r="G105" s="10">
        <f>'GMT Glossary'!$B$2</f>
        <v>6</v>
      </c>
      <c r="H105" s="2" t="str">
        <f t="shared" si="2"/>
        <v>2024-09-19</v>
      </c>
      <c r="I105" s="2" t="str">
        <f t="shared" si="3"/>
        <v>03:00</v>
      </c>
    </row>
    <row r="106" spans="1:9" x14ac:dyDescent="0.25">
      <c r="A106" s="12">
        <v>45553</v>
      </c>
      <c r="B106" s="15">
        <v>0.95833333333333337</v>
      </c>
      <c r="C106" s="14" t="s">
        <v>26</v>
      </c>
      <c r="D106" s="19" t="s">
        <v>102</v>
      </c>
      <c r="E106" s="11" t="s">
        <v>22</v>
      </c>
      <c r="F106" s="8">
        <f>(INT(Table_Azerbaijan[[#This Row],[Date]]) - DATE(1970, 1, 1)) * 86400000</f>
        <v>1726617600000</v>
      </c>
      <c r="G106" s="10">
        <f>'GMT Glossary'!$B$2</f>
        <v>6</v>
      </c>
      <c r="H106" s="2" t="str">
        <f t="shared" si="2"/>
        <v>2024-09-19</v>
      </c>
      <c r="I106" s="2" t="str">
        <f t="shared" si="3"/>
        <v>05:00</v>
      </c>
    </row>
    <row r="107" spans="1:9" x14ac:dyDescent="0.25">
      <c r="A107" s="12">
        <v>45554</v>
      </c>
      <c r="B107" s="15">
        <v>4.1666666666666664E-2</v>
      </c>
      <c r="C107" s="14" t="s">
        <v>37</v>
      </c>
      <c r="D107" s="19" t="s">
        <v>46</v>
      </c>
      <c r="E107" s="11" t="s">
        <v>22</v>
      </c>
      <c r="F107" s="8">
        <f>(INT(Table_Azerbaijan[[#This Row],[Date]]) - DATE(1970, 1, 1)) * 86400000</f>
        <v>1726704000000</v>
      </c>
      <c r="G107" s="10">
        <f>'GMT Glossary'!$B$2</f>
        <v>6</v>
      </c>
      <c r="H107" s="2" t="str">
        <f t="shared" si="2"/>
        <v>2024-09-19</v>
      </c>
      <c r="I107" s="2" t="str">
        <f t="shared" si="3"/>
        <v>07:00</v>
      </c>
    </row>
    <row r="108" spans="1:9" x14ac:dyDescent="0.25">
      <c r="A108" s="12">
        <v>45554</v>
      </c>
      <c r="B108" s="15">
        <v>0.16666666666666666</v>
      </c>
      <c r="C108" s="14" t="s">
        <v>18</v>
      </c>
      <c r="D108" s="19" t="s">
        <v>99</v>
      </c>
      <c r="E108" s="11" t="s">
        <v>22</v>
      </c>
      <c r="F108" s="8">
        <f>(INT(Table_Azerbaijan[[#This Row],[Date]]) - DATE(1970, 1, 1)) * 86400000</f>
        <v>1726704000000</v>
      </c>
      <c r="G108" s="10">
        <f>'GMT Glossary'!$B$2</f>
        <v>6</v>
      </c>
      <c r="H108" s="2" t="str">
        <f t="shared" si="2"/>
        <v>2024-09-19</v>
      </c>
      <c r="I108" s="2" t="str">
        <f t="shared" si="3"/>
        <v>10:00</v>
      </c>
    </row>
    <row r="109" spans="1:9" x14ac:dyDescent="0.25">
      <c r="A109" s="12">
        <v>45554</v>
      </c>
      <c r="B109" s="15">
        <v>0.29166666666666669</v>
      </c>
      <c r="C109" s="14" t="s">
        <v>26</v>
      </c>
      <c r="D109" s="19" t="s">
        <v>103</v>
      </c>
      <c r="E109" s="11" t="s">
        <v>22</v>
      </c>
      <c r="F109" s="8">
        <f>(INT(Table_Azerbaijan[[#This Row],[Date]]) - DATE(1970, 1, 1)) * 86400000</f>
        <v>1726704000000</v>
      </c>
      <c r="G109" s="10">
        <f>'GMT Glossary'!$B$2</f>
        <v>6</v>
      </c>
      <c r="H109" s="2" t="str">
        <f t="shared" si="2"/>
        <v>2024-09-19</v>
      </c>
      <c r="I109" s="2" t="str">
        <f t="shared" si="3"/>
        <v>13:00</v>
      </c>
    </row>
    <row r="110" spans="1:9" x14ac:dyDescent="0.25">
      <c r="A110" s="12">
        <v>45554</v>
      </c>
      <c r="B110" s="15">
        <v>0.375</v>
      </c>
      <c r="C110" s="14" t="s">
        <v>26</v>
      </c>
      <c r="D110" s="19" t="s">
        <v>52</v>
      </c>
      <c r="E110" s="11" t="s">
        <v>22</v>
      </c>
      <c r="F110" s="8">
        <f>(INT(Table_Azerbaijan[[#This Row],[Date]]) - DATE(1970, 1, 1)) * 86400000</f>
        <v>1726704000000</v>
      </c>
      <c r="G110" s="10">
        <f>'GMT Glossary'!$B$2</f>
        <v>6</v>
      </c>
      <c r="H110" s="2" t="str">
        <f t="shared" si="2"/>
        <v>2024-09-19</v>
      </c>
      <c r="I110" s="2" t="str">
        <f t="shared" si="3"/>
        <v>15:00</v>
      </c>
    </row>
    <row r="111" spans="1:9" x14ac:dyDescent="0.25">
      <c r="A111" s="12">
        <v>45554</v>
      </c>
      <c r="B111" s="15">
        <v>0.45833333333333331</v>
      </c>
      <c r="C111" s="14" t="s">
        <v>26</v>
      </c>
      <c r="D111" s="19" t="s">
        <v>40</v>
      </c>
      <c r="E111" s="11" t="s">
        <v>22</v>
      </c>
      <c r="F111" s="8">
        <f>(INT(Table_Azerbaijan[[#This Row],[Date]]) - DATE(1970, 1, 1)) * 86400000</f>
        <v>1726704000000</v>
      </c>
      <c r="G111" s="10">
        <f>'GMT Glossary'!$B$2</f>
        <v>6</v>
      </c>
      <c r="H111" s="2" t="str">
        <f t="shared" si="2"/>
        <v>2024-09-19</v>
      </c>
      <c r="I111" s="2" t="str">
        <f t="shared" si="3"/>
        <v>17:00</v>
      </c>
    </row>
    <row r="112" spans="1:9" x14ac:dyDescent="0.25">
      <c r="A112" s="12">
        <v>45554</v>
      </c>
      <c r="B112" s="15">
        <v>0.54166666666666663</v>
      </c>
      <c r="C112" s="14" t="s">
        <v>26</v>
      </c>
      <c r="D112" s="19" t="s">
        <v>100</v>
      </c>
      <c r="E112" s="11" t="s">
        <v>22</v>
      </c>
      <c r="F112" s="8">
        <f>(INT(Table_Azerbaijan[[#This Row],[Date]]) - DATE(1970, 1, 1)) * 86400000</f>
        <v>1726704000000</v>
      </c>
      <c r="G112" s="10">
        <f>'GMT Glossary'!$B$2</f>
        <v>6</v>
      </c>
      <c r="H112" s="2" t="str">
        <f t="shared" si="2"/>
        <v>2024-09-19</v>
      </c>
      <c r="I112" s="2" t="str">
        <f t="shared" si="3"/>
        <v>19:00</v>
      </c>
    </row>
    <row r="113" spans="1:9" x14ac:dyDescent="0.25">
      <c r="A113" s="12">
        <v>45554</v>
      </c>
      <c r="B113" s="15">
        <v>0.625</v>
      </c>
      <c r="C113" s="14" t="s">
        <v>26</v>
      </c>
      <c r="D113" s="19" t="s">
        <v>104</v>
      </c>
      <c r="E113" s="11" t="s">
        <v>22</v>
      </c>
      <c r="F113" s="8">
        <f>(INT(Table_Azerbaijan[[#This Row],[Date]]) - DATE(1970, 1, 1)) * 86400000</f>
        <v>1726704000000</v>
      </c>
      <c r="G113" s="10">
        <f>'GMT Glossary'!$B$2</f>
        <v>6</v>
      </c>
      <c r="H113" s="2" t="str">
        <f t="shared" si="2"/>
        <v>2024-09-19</v>
      </c>
      <c r="I113" s="2" t="str">
        <f t="shared" si="3"/>
        <v>21:00</v>
      </c>
    </row>
    <row r="114" spans="1:9" x14ac:dyDescent="0.25">
      <c r="A114" s="12">
        <v>45554</v>
      </c>
      <c r="B114" s="15">
        <v>0.70833333333333337</v>
      </c>
      <c r="C114" s="14" t="s">
        <v>26</v>
      </c>
      <c r="D114" s="19" t="s">
        <v>44</v>
      </c>
      <c r="E114" s="11" t="s">
        <v>22</v>
      </c>
      <c r="F114" s="8">
        <f>(INT(Table_Azerbaijan[[#This Row],[Date]]) - DATE(1970, 1, 1)) * 86400000</f>
        <v>1726704000000</v>
      </c>
      <c r="G114" s="10">
        <f>'GMT Glossary'!$B$2</f>
        <v>6</v>
      </c>
      <c r="H114" s="2" t="str">
        <f t="shared" si="2"/>
        <v>2024-09-19</v>
      </c>
      <c r="I114" s="2" t="str">
        <f t="shared" si="3"/>
        <v>23:00</v>
      </c>
    </row>
    <row r="115" spans="1:9" x14ac:dyDescent="0.25">
      <c r="A115" s="12">
        <v>45554</v>
      </c>
      <c r="B115" s="15">
        <v>0.79166666666666663</v>
      </c>
      <c r="C115" s="14" t="s">
        <v>26</v>
      </c>
      <c r="D115" s="19" t="s">
        <v>54</v>
      </c>
      <c r="E115" s="11" t="s">
        <v>22</v>
      </c>
      <c r="F115" s="8">
        <f>(INT(Table_Azerbaijan[[#This Row],[Date]]) - DATE(1970, 1, 1)) * 86400000</f>
        <v>1726704000000</v>
      </c>
      <c r="G115" s="10">
        <f>'GMT Glossary'!$B$2</f>
        <v>6</v>
      </c>
      <c r="H115" s="2" t="str">
        <f t="shared" si="2"/>
        <v>2024-09-20</v>
      </c>
      <c r="I115" s="2" t="str">
        <f t="shared" si="3"/>
        <v>01:00</v>
      </c>
    </row>
    <row r="116" spans="1:9" x14ac:dyDescent="0.25">
      <c r="A116" s="12">
        <v>45554</v>
      </c>
      <c r="B116" s="15">
        <v>0.875</v>
      </c>
      <c r="C116" s="14" t="s">
        <v>26</v>
      </c>
      <c r="D116" s="19" t="s">
        <v>43</v>
      </c>
      <c r="E116" s="11" t="s">
        <v>22</v>
      </c>
      <c r="F116" s="8">
        <f>(INT(Table_Azerbaijan[[#This Row],[Date]]) - DATE(1970, 1, 1)) * 86400000</f>
        <v>1726704000000</v>
      </c>
      <c r="G116" s="10">
        <f>'GMT Glossary'!$B$2</f>
        <v>6</v>
      </c>
      <c r="H116" s="2" t="str">
        <f t="shared" si="2"/>
        <v>2024-09-20</v>
      </c>
      <c r="I116" s="2" t="str">
        <f t="shared" si="3"/>
        <v>03:00</v>
      </c>
    </row>
    <row r="117" spans="1:9" x14ac:dyDescent="0.25">
      <c r="A117" s="12">
        <v>45554</v>
      </c>
      <c r="B117" s="15">
        <v>0.95833333333333337</v>
      </c>
      <c r="C117" s="14" t="s">
        <v>26</v>
      </c>
      <c r="D117" s="19" t="s">
        <v>48</v>
      </c>
      <c r="E117" s="11" t="s">
        <v>22</v>
      </c>
      <c r="F117" s="8">
        <f>(INT(Table_Azerbaijan[[#This Row],[Date]]) - DATE(1970, 1, 1)) * 86400000</f>
        <v>1726704000000</v>
      </c>
      <c r="G117" s="10">
        <f>'GMT Glossary'!$B$2</f>
        <v>6</v>
      </c>
      <c r="H117" s="2" t="str">
        <f t="shared" si="2"/>
        <v>2024-09-20</v>
      </c>
      <c r="I117" s="2" t="str">
        <f t="shared" si="3"/>
        <v>05:00</v>
      </c>
    </row>
    <row r="118" spans="1:9" x14ac:dyDescent="0.25">
      <c r="A118" s="12">
        <v>45555</v>
      </c>
      <c r="B118" s="15">
        <v>4.1666666666666664E-2</v>
      </c>
      <c r="C118" s="14" t="s">
        <v>37</v>
      </c>
      <c r="D118" s="19" t="s">
        <v>39</v>
      </c>
      <c r="E118" s="11" t="s">
        <v>22</v>
      </c>
      <c r="F118" s="8">
        <f>(INT(Table_Azerbaijan[[#This Row],[Date]]) - DATE(1970, 1, 1)) * 86400000</f>
        <v>1726790400000</v>
      </c>
      <c r="G118" s="10">
        <f>'GMT Glossary'!$B$2</f>
        <v>6</v>
      </c>
      <c r="H118" s="2" t="str">
        <f t="shared" si="2"/>
        <v>2024-09-20</v>
      </c>
      <c r="I118" s="2" t="str">
        <f t="shared" si="3"/>
        <v>07:00</v>
      </c>
    </row>
    <row r="119" spans="1:9" x14ac:dyDescent="0.25">
      <c r="A119" s="12">
        <v>45555</v>
      </c>
      <c r="B119" s="15">
        <v>0.125</v>
      </c>
      <c r="C119" s="14" t="s">
        <v>26</v>
      </c>
      <c r="D119" s="19" t="s">
        <v>53</v>
      </c>
      <c r="E119" s="11" t="s">
        <v>22</v>
      </c>
      <c r="F119" s="8">
        <f>(INT(Table_Azerbaijan[[#This Row],[Date]]) - DATE(1970, 1, 1)) * 86400000</f>
        <v>1726790400000</v>
      </c>
      <c r="G119" s="10">
        <f>'GMT Glossary'!$B$2</f>
        <v>6</v>
      </c>
      <c r="H119" s="2" t="str">
        <f t="shared" si="2"/>
        <v>2024-09-20</v>
      </c>
      <c r="I119" s="2" t="str">
        <f t="shared" si="3"/>
        <v>09:00</v>
      </c>
    </row>
    <row r="120" spans="1:9" x14ac:dyDescent="0.25">
      <c r="A120" s="12">
        <v>45555</v>
      </c>
      <c r="B120" s="15">
        <v>0.20833333333333334</v>
      </c>
      <c r="C120" s="14" t="s">
        <v>36</v>
      </c>
      <c r="D120" s="19" t="s">
        <v>105</v>
      </c>
      <c r="E120" s="11" t="s">
        <v>22</v>
      </c>
      <c r="F120" s="8">
        <f>(INT(Table_Azerbaijan[[#This Row],[Date]]) - DATE(1970, 1, 1)) * 86400000</f>
        <v>1726790400000</v>
      </c>
      <c r="G120" s="10">
        <f>'GMT Glossary'!$B$2</f>
        <v>6</v>
      </c>
      <c r="H120" s="2" t="str">
        <f t="shared" si="2"/>
        <v>2024-09-20</v>
      </c>
      <c r="I120" s="2" t="str">
        <f t="shared" si="3"/>
        <v>11:00</v>
      </c>
    </row>
    <row r="121" spans="1:9" x14ac:dyDescent="0.25">
      <c r="A121" s="12">
        <v>45555</v>
      </c>
      <c r="B121" s="15">
        <v>0.27083333333333331</v>
      </c>
      <c r="C121" s="14" t="s">
        <v>36</v>
      </c>
      <c r="D121" s="19" t="s">
        <v>106</v>
      </c>
      <c r="E121" s="11" t="s">
        <v>22</v>
      </c>
      <c r="F121" s="8">
        <f>(INT(Table_Azerbaijan[[#This Row],[Date]]) - DATE(1970, 1, 1)) * 86400000</f>
        <v>1726790400000</v>
      </c>
      <c r="G121" s="10">
        <f>'GMT Glossary'!$B$2</f>
        <v>6</v>
      </c>
      <c r="H121" s="2" t="str">
        <f t="shared" si="2"/>
        <v>2024-09-20</v>
      </c>
      <c r="I121" s="2" t="str">
        <f t="shared" si="3"/>
        <v>12:30</v>
      </c>
    </row>
    <row r="122" spans="1:9" x14ac:dyDescent="0.25">
      <c r="A122" s="12">
        <v>45555</v>
      </c>
      <c r="B122" s="15">
        <v>0.33333333333333331</v>
      </c>
      <c r="C122" s="14" t="s">
        <v>36</v>
      </c>
      <c r="D122" s="19" t="s">
        <v>107</v>
      </c>
      <c r="E122" s="11" t="s">
        <v>22</v>
      </c>
      <c r="F122" s="8">
        <f>(INT(Table_Azerbaijan[[#This Row],[Date]]) - DATE(1970, 1, 1)) * 86400000</f>
        <v>1726790400000</v>
      </c>
      <c r="G122" s="10">
        <f>'GMT Glossary'!$B$2</f>
        <v>6</v>
      </c>
      <c r="H122" s="2" t="str">
        <f t="shared" si="2"/>
        <v>2024-09-20</v>
      </c>
      <c r="I122" s="2" t="str">
        <f t="shared" si="3"/>
        <v>14:00</v>
      </c>
    </row>
    <row r="123" spans="1:9" x14ac:dyDescent="0.25">
      <c r="A123" s="12">
        <v>45555</v>
      </c>
      <c r="B123" s="15">
        <v>0.41666666666666669</v>
      </c>
      <c r="C123" s="14" t="s">
        <v>36</v>
      </c>
      <c r="D123" s="19" t="s">
        <v>108</v>
      </c>
      <c r="E123" s="11" t="s">
        <v>22</v>
      </c>
      <c r="F123" s="8">
        <f>(INT(Table_Azerbaijan[[#This Row],[Date]]) - DATE(1970, 1, 1)) * 86400000</f>
        <v>1726790400000</v>
      </c>
      <c r="G123" s="10">
        <f>'GMT Glossary'!$B$2</f>
        <v>6</v>
      </c>
      <c r="H123" s="2" t="str">
        <f t="shared" si="2"/>
        <v>2024-09-20</v>
      </c>
      <c r="I123" s="2" t="str">
        <f t="shared" si="3"/>
        <v>16:00</v>
      </c>
    </row>
    <row r="124" spans="1:9" x14ac:dyDescent="0.25">
      <c r="A124" s="12">
        <v>45555</v>
      </c>
      <c r="B124" s="15">
        <v>0.54166666666666663</v>
      </c>
      <c r="C124" s="14" t="s">
        <v>26</v>
      </c>
      <c r="D124" s="19" t="s">
        <v>98</v>
      </c>
      <c r="E124" s="11" t="s">
        <v>22</v>
      </c>
      <c r="F124" s="8">
        <f>(INT(Table_Azerbaijan[[#This Row],[Date]]) - DATE(1970, 1, 1)) * 86400000</f>
        <v>1726790400000</v>
      </c>
      <c r="G124" s="10">
        <f>'GMT Glossary'!$B$2</f>
        <v>6</v>
      </c>
      <c r="H124" s="2" t="str">
        <f t="shared" si="2"/>
        <v>2024-09-20</v>
      </c>
      <c r="I124" s="2" t="str">
        <f t="shared" si="3"/>
        <v>19:00</v>
      </c>
    </row>
    <row r="125" spans="1:9" x14ac:dyDescent="0.25">
      <c r="A125" s="12">
        <v>45555</v>
      </c>
      <c r="B125" s="15">
        <v>0.64583333333333337</v>
      </c>
      <c r="C125" s="14" t="s">
        <v>21</v>
      </c>
      <c r="D125" s="19" t="s">
        <v>109</v>
      </c>
      <c r="E125" s="11" t="s">
        <v>22</v>
      </c>
      <c r="F125" s="8">
        <f>(INT(Table_Azerbaijan[[#This Row],[Date]]) - DATE(1970, 1, 1)) * 86400000</f>
        <v>1726790400000</v>
      </c>
      <c r="G125" s="10">
        <f>'GMT Glossary'!$B$2</f>
        <v>6</v>
      </c>
      <c r="H125" s="2" t="str">
        <f t="shared" si="2"/>
        <v>2024-09-20</v>
      </c>
      <c r="I125" s="2" t="str">
        <f t="shared" si="3"/>
        <v>21:30</v>
      </c>
    </row>
    <row r="126" spans="1:9" x14ac:dyDescent="0.25">
      <c r="A126" s="12">
        <v>45555</v>
      </c>
      <c r="B126" s="15">
        <v>0.79166666666666663</v>
      </c>
      <c r="C126" s="14" t="s">
        <v>26</v>
      </c>
      <c r="D126" s="19" t="s">
        <v>45</v>
      </c>
      <c r="E126" s="11" t="s">
        <v>22</v>
      </c>
      <c r="F126" s="8">
        <f>(INT(Table_Azerbaijan[[#This Row],[Date]]) - DATE(1970, 1, 1)) * 86400000</f>
        <v>1726790400000</v>
      </c>
      <c r="G126" s="10">
        <f>'GMT Glossary'!$B$2</f>
        <v>6</v>
      </c>
      <c r="H126" s="2" t="str">
        <f t="shared" si="2"/>
        <v>2024-09-21</v>
      </c>
      <c r="I126" s="2" t="str">
        <f t="shared" si="3"/>
        <v>01:00</v>
      </c>
    </row>
    <row r="127" spans="1:9" x14ac:dyDescent="0.25">
      <c r="A127" s="12">
        <v>45555</v>
      </c>
      <c r="B127" s="15">
        <v>0.875</v>
      </c>
      <c r="C127" s="14" t="s">
        <v>26</v>
      </c>
      <c r="D127" s="19" t="s">
        <v>49</v>
      </c>
      <c r="E127" s="11" t="s">
        <v>22</v>
      </c>
      <c r="F127" s="8">
        <f>(INT(Table_Azerbaijan[[#This Row],[Date]]) - DATE(1970, 1, 1)) * 86400000</f>
        <v>1726790400000</v>
      </c>
      <c r="G127" s="10">
        <f>'GMT Glossary'!$B$2</f>
        <v>6</v>
      </c>
      <c r="H127" s="2" t="str">
        <f t="shared" si="2"/>
        <v>2024-09-21</v>
      </c>
      <c r="I127" s="2" t="str">
        <f t="shared" si="3"/>
        <v>03:00</v>
      </c>
    </row>
    <row r="128" spans="1:9" x14ac:dyDescent="0.25">
      <c r="A128" s="12">
        <v>45555</v>
      </c>
      <c r="B128" s="15">
        <v>0.95833333333333337</v>
      </c>
      <c r="C128" s="14" t="s">
        <v>26</v>
      </c>
      <c r="D128" s="19" t="s">
        <v>43</v>
      </c>
      <c r="E128" s="11" t="s">
        <v>22</v>
      </c>
      <c r="F128" s="8">
        <f>(INT(Table_Azerbaijan[[#This Row],[Date]]) - DATE(1970, 1, 1)) * 86400000</f>
        <v>1726790400000</v>
      </c>
      <c r="G128" s="10">
        <f>'GMT Glossary'!$B$2</f>
        <v>6</v>
      </c>
      <c r="H128" s="2" t="str">
        <f t="shared" si="2"/>
        <v>2024-09-21</v>
      </c>
      <c r="I128" s="2" t="str">
        <f t="shared" si="3"/>
        <v>05:00</v>
      </c>
    </row>
    <row r="129" spans="1:9" x14ac:dyDescent="0.25">
      <c r="A129" s="12">
        <v>45556</v>
      </c>
      <c r="B129" s="15">
        <v>4.1666666666666664E-2</v>
      </c>
      <c r="C129" s="14" t="s">
        <v>26</v>
      </c>
      <c r="D129" s="19" t="s">
        <v>42</v>
      </c>
      <c r="E129" s="11" t="s">
        <v>22</v>
      </c>
      <c r="F129" s="8">
        <f>(INT(Table_Azerbaijan[[#This Row],[Date]]) - DATE(1970, 1, 1)) * 86400000</f>
        <v>1726876800000</v>
      </c>
      <c r="G129" s="10">
        <f>'GMT Glossary'!$B$2</f>
        <v>6</v>
      </c>
      <c r="H129" s="2" t="str">
        <f t="shared" si="2"/>
        <v>2024-09-21</v>
      </c>
      <c r="I129" s="2" t="str">
        <f t="shared" si="3"/>
        <v>07:00</v>
      </c>
    </row>
    <row r="130" spans="1:9" x14ac:dyDescent="0.25">
      <c r="A130" s="12">
        <v>45556</v>
      </c>
      <c r="B130" s="15">
        <v>0.125</v>
      </c>
      <c r="C130" s="14" t="s">
        <v>26</v>
      </c>
      <c r="D130" s="19" t="s">
        <v>102</v>
      </c>
      <c r="E130" s="11" t="s">
        <v>22</v>
      </c>
      <c r="F130" s="8">
        <f>(INT(Table_Azerbaijan[[#This Row],[Date]]) - DATE(1970, 1, 1)) * 86400000</f>
        <v>1726876800000</v>
      </c>
      <c r="G130" s="10">
        <f>'GMT Glossary'!$B$2</f>
        <v>6</v>
      </c>
      <c r="H130" s="2" t="str">
        <f t="shared" ref="H130:H165" si="4">TEXT(IF(B130&lt;0, A130+1+((B130+(G130/24))-(INT(B130+(G130/24)))), A130+(B130+(G130/24))), "yyyy-mm-dd")</f>
        <v>2024-09-21</v>
      </c>
      <c r="I130" s="2" t="str">
        <f t="shared" ref="I130:I165" si="5">TEXT(IF(B130&lt;0, A130+1+((B130+(G130/24))-(INT(B130+(G130/24)))), A130+(B130+(G130/24))), "hh:mm")</f>
        <v>09:00</v>
      </c>
    </row>
    <row r="131" spans="1:9" x14ac:dyDescent="0.25">
      <c r="A131" s="12">
        <v>45556</v>
      </c>
      <c r="B131" s="15">
        <v>0.20833333333333334</v>
      </c>
      <c r="C131" s="14" t="s">
        <v>37</v>
      </c>
      <c r="D131" s="19" t="s">
        <v>46</v>
      </c>
      <c r="E131" s="11" t="s">
        <v>22</v>
      </c>
      <c r="F131" s="8">
        <f>(INT(Table_Azerbaijan[[#This Row],[Date]]) - DATE(1970, 1, 1)) * 86400000</f>
        <v>1726876800000</v>
      </c>
      <c r="G131" s="10">
        <f>'GMT Glossary'!$B$2</f>
        <v>6</v>
      </c>
      <c r="H131" s="2" t="str">
        <f t="shared" si="4"/>
        <v>2024-09-21</v>
      </c>
      <c r="I131" s="2" t="str">
        <f t="shared" si="5"/>
        <v>11:00</v>
      </c>
    </row>
    <row r="132" spans="1:9" x14ac:dyDescent="0.25">
      <c r="A132" s="12">
        <v>45556</v>
      </c>
      <c r="B132" s="15">
        <v>0.29166666666666669</v>
      </c>
      <c r="C132" s="14" t="s">
        <v>36</v>
      </c>
      <c r="D132" s="19" t="s">
        <v>110</v>
      </c>
      <c r="E132" s="11" t="s">
        <v>22</v>
      </c>
      <c r="F132" s="8">
        <f>(INT(Table_Azerbaijan[[#This Row],[Date]]) - DATE(1970, 1, 1)) * 86400000</f>
        <v>1726876800000</v>
      </c>
      <c r="G132" s="10">
        <f>'GMT Glossary'!$B$2</f>
        <v>6</v>
      </c>
      <c r="H132" s="2" t="str">
        <f t="shared" si="4"/>
        <v>2024-09-21</v>
      </c>
      <c r="I132" s="2" t="str">
        <f t="shared" si="5"/>
        <v>13:00</v>
      </c>
    </row>
    <row r="133" spans="1:9" x14ac:dyDescent="0.25">
      <c r="A133" s="12">
        <v>45556</v>
      </c>
      <c r="B133" s="15">
        <v>0.35416666666666669</v>
      </c>
      <c r="C133" s="14" t="s">
        <v>36</v>
      </c>
      <c r="D133" s="19" t="s">
        <v>111</v>
      </c>
      <c r="E133" s="11" t="s">
        <v>22</v>
      </c>
      <c r="F133" s="8">
        <f>(INT(Table_Azerbaijan[[#This Row],[Date]]) - DATE(1970, 1, 1)) * 86400000</f>
        <v>1726876800000</v>
      </c>
      <c r="G133" s="10">
        <f>'GMT Glossary'!$B$2</f>
        <v>6</v>
      </c>
      <c r="H133" s="2" t="str">
        <f t="shared" si="4"/>
        <v>2024-09-21</v>
      </c>
      <c r="I133" s="2" t="str">
        <f t="shared" si="5"/>
        <v>14:30</v>
      </c>
    </row>
    <row r="134" spans="1:9" x14ac:dyDescent="0.25">
      <c r="A134" s="12">
        <v>45556</v>
      </c>
      <c r="B134" s="15">
        <v>0.45833333333333331</v>
      </c>
      <c r="C134" s="14" t="s">
        <v>26</v>
      </c>
      <c r="D134" s="19" t="s">
        <v>112</v>
      </c>
      <c r="E134" s="11" t="s">
        <v>22</v>
      </c>
      <c r="F134" s="8">
        <f>(INT(Table_Azerbaijan[[#This Row],[Date]]) - DATE(1970, 1, 1)) * 86400000</f>
        <v>1726876800000</v>
      </c>
      <c r="G134" s="10">
        <f>'GMT Glossary'!$B$2</f>
        <v>6</v>
      </c>
      <c r="H134" s="2" t="str">
        <f t="shared" si="4"/>
        <v>2024-09-21</v>
      </c>
      <c r="I134" s="2" t="str">
        <f t="shared" si="5"/>
        <v>17:00</v>
      </c>
    </row>
    <row r="135" spans="1:9" x14ac:dyDescent="0.25">
      <c r="A135" s="12">
        <v>45556</v>
      </c>
      <c r="B135" s="15">
        <v>0.54166666666666663</v>
      </c>
      <c r="C135" s="14" t="s">
        <v>37</v>
      </c>
      <c r="D135" s="19" t="s">
        <v>113</v>
      </c>
      <c r="E135" s="11" t="s">
        <v>22</v>
      </c>
      <c r="F135" s="8">
        <f>(INT(Table_Azerbaijan[[#This Row],[Date]]) - DATE(1970, 1, 1)) * 86400000</f>
        <v>1726876800000</v>
      </c>
      <c r="G135" s="10">
        <f>'GMT Glossary'!$B$2</f>
        <v>6</v>
      </c>
      <c r="H135" s="2" t="str">
        <f t="shared" si="4"/>
        <v>2024-09-21</v>
      </c>
      <c r="I135" s="2" t="str">
        <f t="shared" si="5"/>
        <v>19:00</v>
      </c>
    </row>
    <row r="136" spans="1:9" x14ac:dyDescent="0.25">
      <c r="A136" s="12">
        <v>45556</v>
      </c>
      <c r="B136" s="15">
        <v>0.58333333333333337</v>
      </c>
      <c r="C136" s="14" t="s">
        <v>26</v>
      </c>
      <c r="D136" s="19" t="s">
        <v>114</v>
      </c>
      <c r="E136" s="11" t="s">
        <v>22</v>
      </c>
      <c r="F136" s="8">
        <f>(INT(Table_Azerbaijan[[#This Row],[Date]]) - DATE(1970, 1, 1)) * 86400000</f>
        <v>1726876800000</v>
      </c>
      <c r="G136" s="10">
        <f>'GMT Glossary'!$B$2</f>
        <v>6</v>
      </c>
      <c r="H136" s="2" t="str">
        <f t="shared" si="4"/>
        <v>2024-09-21</v>
      </c>
      <c r="I136" s="2" t="str">
        <f t="shared" si="5"/>
        <v>20:00</v>
      </c>
    </row>
    <row r="137" spans="1:9" x14ac:dyDescent="0.25">
      <c r="A137" s="12">
        <v>45556</v>
      </c>
      <c r="B137" s="15">
        <v>0.66666666666666663</v>
      </c>
      <c r="C137" s="14" t="s">
        <v>26</v>
      </c>
      <c r="D137" s="19" t="s">
        <v>115</v>
      </c>
      <c r="E137" s="11" t="s">
        <v>22</v>
      </c>
      <c r="F137" s="8">
        <f>(INT(Table_Azerbaijan[[#This Row],[Date]]) - DATE(1970, 1, 1)) * 86400000</f>
        <v>1726876800000</v>
      </c>
      <c r="G137" s="10">
        <f>'GMT Glossary'!$B$2</f>
        <v>6</v>
      </c>
      <c r="H137" s="2" t="str">
        <f t="shared" si="4"/>
        <v>2024-09-21</v>
      </c>
      <c r="I137" s="2" t="str">
        <f t="shared" si="5"/>
        <v>22:00</v>
      </c>
    </row>
    <row r="138" spans="1:9" x14ac:dyDescent="0.25">
      <c r="A138" s="12">
        <v>45556</v>
      </c>
      <c r="B138" s="15">
        <v>0.79166666666666663</v>
      </c>
      <c r="C138" s="14" t="s">
        <v>26</v>
      </c>
      <c r="D138" s="19" t="s">
        <v>116</v>
      </c>
      <c r="E138" s="11" t="s">
        <v>22</v>
      </c>
      <c r="F138" s="8">
        <f>(INT(Table_Azerbaijan[[#This Row],[Date]]) - DATE(1970, 1, 1)) * 86400000</f>
        <v>1726876800000</v>
      </c>
      <c r="G138" s="10">
        <f>'GMT Glossary'!$B$2</f>
        <v>6</v>
      </c>
      <c r="H138" s="2" t="str">
        <f t="shared" si="4"/>
        <v>2024-09-22</v>
      </c>
      <c r="I138" s="2" t="str">
        <f t="shared" si="5"/>
        <v>01:00</v>
      </c>
    </row>
    <row r="139" spans="1:9" x14ac:dyDescent="0.25">
      <c r="A139" s="12">
        <v>45556</v>
      </c>
      <c r="B139" s="15">
        <v>0.875</v>
      </c>
      <c r="C139" s="14" t="s">
        <v>26</v>
      </c>
      <c r="D139" s="19" t="s">
        <v>117</v>
      </c>
      <c r="E139" s="11" t="s">
        <v>22</v>
      </c>
      <c r="F139" s="8">
        <f>(INT(Table_Azerbaijan[[#This Row],[Date]]) - DATE(1970, 1, 1)) * 86400000</f>
        <v>1726876800000</v>
      </c>
      <c r="G139" s="10">
        <f>'GMT Glossary'!$B$2</f>
        <v>6</v>
      </c>
      <c r="H139" s="2" t="str">
        <f t="shared" si="4"/>
        <v>2024-09-22</v>
      </c>
      <c r="I139" s="2" t="str">
        <f t="shared" si="5"/>
        <v>03:00</v>
      </c>
    </row>
    <row r="140" spans="1:9" x14ac:dyDescent="0.25">
      <c r="A140" s="12">
        <v>45556</v>
      </c>
      <c r="B140" s="15">
        <v>0.95833333333333337</v>
      </c>
      <c r="C140" s="14" t="s">
        <v>26</v>
      </c>
      <c r="D140" s="19" t="s">
        <v>49</v>
      </c>
      <c r="E140" s="11" t="s">
        <v>22</v>
      </c>
      <c r="F140" s="8">
        <f>(INT(Table_Azerbaijan[[#This Row],[Date]]) - DATE(1970, 1, 1)) * 86400000</f>
        <v>1726876800000</v>
      </c>
      <c r="G140" s="10">
        <f>'GMT Glossary'!$B$2</f>
        <v>6</v>
      </c>
      <c r="H140" s="2" t="str">
        <f t="shared" si="4"/>
        <v>2024-09-22</v>
      </c>
      <c r="I140" s="2" t="str">
        <f t="shared" si="5"/>
        <v>05:00</v>
      </c>
    </row>
    <row r="141" spans="1:9" x14ac:dyDescent="0.25">
      <c r="A141" s="12">
        <v>45557</v>
      </c>
      <c r="B141" s="15">
        <v>4.1666666666666664E-2</v>
      </c>
      <c r="C141" s="14" t="s">
        <v>26</v>
      </c>
      <c r="D141" s="19" t="s">
        <v>112</v>
      </c>
      <c r="E141" s="11" t="s">
        <v>22</v>
      </c>
      <c r="F141" s="8">
        <f>(INT(Table_Azerbaijan[[#This Row],[Date]]) - DATE(1970, 1, 1)) * 86400000</f>
        <v>1726963200000</v>
      </c>
      <c r="G141" s="10">
        <f>'GMT Glossary'!$B$2</f>
        <v>6</v>
      </c>
      <c r="H141" s="2" t="str">
        <f t="shared" si="4"/>
        <v>2024-09-22</v>
      </c>
      <c r="I141" s="2" t="str">
        <f t="shared" si="5"/>
        <v>07:00</v>
      </c>
    </row>
    <row r="142" spans="1:9" x14ac:dyDescent="0.25">
      <c r="A142" s="12">
        <v>45557</v>
      </c>
      <c r="B142" s="15">
        <v>0.125</v>
      </c>
      <c r="C142" s="14" t="s">
        <v>26</v>
      </c>
      <c r="D142" s="19" t="s">
        <v>117</v>
      </c>
      <c r="E142" s="11" t="s">
        <v>22</v>
      </c>
      <c r="F142" s="8">
        <f>(INT(Table_Azerbaijan[[#This Row],[Date]]) - DATE(1970, 1, 1)) * 86400000</f>
        <v>1726963200000</v>
      </c>
      <c r="G142" s="10">
        <f>'GMT Glossary'!$B$2</f>
        <v>6</v>
      </c>
      <c r="H142" s="2" t="str">
        <f t="shared" si="4"/>
        <v>2024-09-22</v>
      </c>
      <c r="I142" s="2" t="str">
        <f t="shared" si="5"/>
        <v>09:00</v>
      </c>
    </row>
    <row r="143" spans="1:9" x14ac:dyDescent="0.25">
      <c r="A143" s="12">
        <v>45557</v>
      </c>
      <c r="B143" s="15">
        <v>0.20833333333333334</v>
      </c>
      <c r="C143" s="14" t="s">
        <v>37</v>
      </c>
      <c r="D143" s="19" t="s">
        <v>41</v>
      </c>
      <c r="E143" s="11" t="s">
        <v>22</v>
      </c>
      <c r="F143" s="8">
        <f>(INT(Table_Azerbaijan[[#This Row],[Date]]) - DATE(1970, 1, 1)) * 86400000</f>
        <v>1726963200000</v>
      </c>
      <c r="G143" s="10">
        <f>'GMT Glossary'!$B$2</f>
        <v>6</v>
      </c>
      <c r="H143" s="2" t="str">
        <f t="shared" si="4"/>
        <v>2024-09-22</v>
      </c>
      <c r="I143" s="2" t="str">
        <f t="shared" si="5"/>
        <v>11:00</v>
      </c>
    </row>
    <row r="144" spans="1:9" x14ac:dyDescent="0.25">
      <c r="A144" s="12">
        <v>45557</v>
      </c>
      <c r="B144" s="15">
        <v>0.29166666666666669</v>
      </c>
      <c r="C144" s="14" t="s">
        <v>36</v>
      </c>
      <c r="D144" s="19" t="s">
        <v>118</v>
      </c>
      <c r="E144" s="11" t="s">
        <v>22</v>
      </c>
      <c r="F144" s="8">
        <f>(INT(Table_Azerbaijan[[#This Row],[Date]]) - DATE(1970, 1, 1)) * 86400000</f>
        <v>1726963200000</v>
      </c>
      <c r="G144" s="10">
        <f>'GMT Glossary'!$B$2</f>
        <v>6</v>
      </c>
      <c r="H144" s="2" t="str">
        <f t="shared" si="4"/>
        <v>2024-09-22</v>
      </c>
      <c r="I144" s="2" t="str">
        <f t="shared" si="5"/>
        <v>13:00</v>
      </c>
    </row>
    <row r="145" spans="1:9" x14ac:dyDescent="0.25">
      <c r="A145" s="12">
        <v>45557</v>
      </c>
      <c r="B145" s="15">
        <v>0.375</v>
      </c>
      <c r="C145" s="14" t="s">
        <v>26</v>
      </c>
      <c r="D145" s="19" t="s">
        <v>119</v>
      </c>
      <c r="E145" s="11" t="s">
        <v>22</v>
      </c>
      <c r="F145" s="8">
        <f>(INT(Table_Azerbaijan[[#This Row],[Date]]) - DATE(1970, 1, 1)) * 86400000</f>
        <v>1726963200000</v>
      </c>
      <c r="G145" s="10">
        <f>'GMT Glossary'!$B$2</f>
        <v>6</v>
      </c>
      <c r="H145" s="2" t="str">
        <f t="shared" si="4"/>
        <v>2024-09-22</v>
      </c>
      <c r="I145" s="2" t="str">
        <f t="shared" si="5"/>
        <v>15:00</v>
      </c>
    </row>
    <row r="146" spans="1:9" x14ac:dyDescent="0.25">
      <c r="A146" s="12">
        <v>45557</v>
      </c>
      <c r="B146" s="15">
        <v>0.5</v>
      </c>
      <c r="C146" s="14" t="s">
        <v>37</v>
      </c>
      <c r="D146" s="19" t="s">
        <v>120</v>
      </c>
      <c r="E146" s="11" t="s">
        <v>22</v>
      </c>
      <c r="F146" s="8">
        <f>(INT(Table_Azerbaijan[[#This Row],[Date]]) - DATE(1970, 1, 1)) * 86400000</f>
        <v>1726963200000</v>
      </c>
      <c r="G146" s="10">
        <f>'GMT Glossary'!$B$2</f>
        <v>6</v>
      </c>
      <c r="H146" s="2" t="str">
        <f t="shared" si="4"/>
        <v>2024-09-22</v>
      </c>
      <c r="I146" s="2" t="str">
        <f t="shared" si="5"/>
        <v>18:00</v>
      </c>
    </row>
    <row r="147" spans="1:9" x14ac:dyDescent="0.25">
      <c r="A147" s="12">
        <v>45557</v>
      </c>
      <c r="B147" s="15">
        <v>0.59375</v>
      </c>
      <c r="C147" s="14" t="s">
        <v>26</v>
      </c>
      <c r="D147" s="19" t="s">
        <v>121</v>
      </c>
      <c r="E147" s="11" t="s">
        <v>22</v>
      </c>
      <c r="F147" s="8">
        <f>(INT(Table_Azerbaijan[[#This Row],[Date]]) - DATE(1970, 1, 1)) * 86400000</f>
        <v>1726963200000</v>
      </c>
      <c r="G147" s="10">
        <f>'GMT Glossary'!$B$2</f>
        <v>6</v>
      </c>
      <c r="H147" s="2" t="str">
        <f t="shared" si="4"/>
        <v>2024-09-22</v>
      </c>
      <c r="I147" s="2" t="str">
        <f t="shared" si="5"/>
        <v>20:15</v>
      </c>
    </row>
    <row r="148" spans="1:9" x14ac:dyDescent="0.25">
      <c r="A148" s="12">
        <v>45557</v>
      </c>
      <c r="B148" s="15">
        <v>0.6875</v>
      </c>
      <c r="C148" s="14" t="s">
        <v>26</v>
      </c>
      <c r="D148" s="19" t="s">
        <v>122</v>
      </c>
      <c r="E148" s="11" t="s">
        <v>22</v>
      </c>
      <c r="F148" s="8">
        <f>(INT(Table_Azerbaijan[[#This Row],[Date]]) - DATE(1970, 1, 1)) * 86400000</f>
        <v>1726963200000</v>
      </c>
      <c r="G148" s="10">
        <f>'GMT Glossary'!$B$2</f>
        <v>6</v>
      </c>
      <c r="H148" s="2" t="str">
        <f t="shared" si="4"/>
        <v>2024-09-22</v>
      </c>
      <c r="I148" s="2" t="str">
        <f t="shared" si="5"/>
        <v>22:30</v>
      </c>
    </row>
    <row r="149" spans="1:9" x14ac:dyDescent="0.25">
      <c r="A149" s="12">
        <v>45557</v>
      </c>
      <c r="B149" s="15">
        <v>0.78125</v>
      </c>
      <c r="C149" s="14" t="s">
        <v>26</v>
      </c>
      <c r="D149" s="19" t="s">
        <v>123</v>
      </c>
      <c r="E149" s="11" t="s">
        <v>22</v>
      </c>
      <c r="F149" s="8">
        <f>(INT(Table_Azerbaijan[[#This Row],[Date]]) - DATE(1970, 1, 1)) * 86400000</f>
        <v>1726963200000</v>
      </c>
      <c r="G149" s="10">
        <f>'GMT Glossary'!$B$2</f>
        <v>6</v>
      </c>
      <c r="H149" s="2" t="str">
        <f t="shared" si="4"/>
        <v>2024-09-23</v>
      </c>
      <c r="I149" s="2" t="str">
        <f t="shared" si="5"/>
        <v>00:45</v>
      </c>
    </row>
    <row r="150" spans="1:9" x14ac:dyDescent="0.25">
      <c r="A150" s="12">
        <v>45557</v>
      </c>
      <c r="B150" s="15">
        <v>0.875</v>
      </c>
      <c r="C150" s="14" t="s">
        <v>26</v>
      </c>
      <c r="D150" s="19" t="s">
        <v>119</v>
      </c>
      <c r="E150" s="11" t="s">
        <v>22</v>
      </c>
      <c r="F150" s="8">
        <f>(INT(Table_Azerbaijan[[#This Row],[Date]]) - DATE(1970, 1, 1)) * 86400000</f>
        <v>1726963200000</v>
      </c>
      <c r="G150" s="10">
        <f>'GMT Glossary'!$B$2</f>
        <v>6</v>
      </c>
      <c r="H150" s="2" t="str">
        <f t="shared" si="4"/>
        <v>2024-09-23</v>
      </c>
      <c r="I150" s="2" t="str">
        <f t="shared" si="5"/>
        <v>03:00</v>
      </c>
    </row>
    <row r="151" spans="1:9" x14ac:dyDescent="0.25">
      <c r="A151" s="12">
        <v>45557</v>
      </c>
      <c r="B151" s="15">
        <v>0.97916666666666663</v>
      </c>
      <c r="C151" s="14" t="s">
        <v>36</v>
      </c>
      <c r="D151" s="19" t="s">
        <v>47</v>
      </c>
      <c r="E151" s="11" t="s">
        <v>22</v>
      </c>
      <c r="F151" s="8">
        <f>(INT(Table_Azerbaijan[[#This Row],[Date]]) - DATE(1970, 1, 1)) * 86400000</f>
        <v>1726963200000</v>
      </c>
      <c r="G151" s="10">
        <f>'GMT Glossary'!$B$2</f>
        <v>6</v>
      </c>
      <c r="H151" s="2" t="str">
        <f t="shared" si="4"/>
        <v>2024-09-23</v>
      </c>
      <c r="I151" s="2" t="str">
        <f t="shared" si="5"/>
        <v>05:30</v>
      </c>
    </row>
    <row r="152" spans="1:9" x14ac:dyDescent="0.25">
      <c r="A152" s="12">
        <v>45558</v>
      </c>
      <c r="B152" s="15">
        <v>8.3333333333333329E-2</v>
      </c>
      <c r="C152" s="14" t="s">
        <v>18</v>
      </c>
      <c r="D152" s="19" t="s">
        <v>124</v>
      </c>
      <c r="E152" s="11" t="s">
        <v>22</v>
      </c>
      <c r="F152" s="8">
        <f>(INT(Table_Azerbaijan[[#This Row],[Date]]) - DATE(1970, 1, 1)) * 86400000</f>
        <v>1727049600000</v>
      </c>
      <c r="G152" s="10">
        <f>'GMT Glossary'!$B$2</f>
        <v>6</v>
      </c>
      <c r="H152" s="2" t="str">
        <f t="shared" si="4"/>
        <v>2024-09-23</v>
      </c>
      <c r="I152" s="2" t="str">
        <f t="shared" si="5"/>
        <v>08:00</v>
      </c>
    </row>
    <row r="153" spans="1:9" x14ac:dyDescent="0.25">
      <c r="A153" s="12">
        <v>45558</v>
      </c>
      <c r="B153" s="15">
        <v>0.20833333333333334</v>
      </c>
      <c r="C153" s="14" t="s">
        <v>26</v>
      </c>
      <c r="D153" s="19" t="s">
        <v>125</v>
      </c>
      <c r="E153" s="11" t="s">
        <v>22</v>
      </c>
      <c r="F153" s="8">
        <f>(INT(Table_Azerbaijan[[#This Row],[Date]]) - DATE(1970, 1, 1)) * 86400000</f>
        <v>1727049600000</v>
      </c>
      <c r="G153" s="10">
        <f>'GMT Glossary'!$B$2</f>
        <v>6</v>
      </c>
      <c r="H153" s="2" t="str">
        <f t="shared" si="4"/>
        <v>2024-09-23</v>
      </c>
      <c r="I153" s="2" t="str">
        <f t="shared" si="5"/>
        <v>11:00</v>
      </c>
    </row>
    <row r="154" spans="1:9" x14ac:dyDescent="0.25">
      <c r="A154" s="12">
        <v>45558</v>
      </c>
      <c r="B154" s="15">
        <v>0.29166666666666669</v>
      </c>
      <c r="C154" s="14" t="s">
        <v>26</v>
      </c>
      <c r="D154" s="19" t="s">
        <v>126</v>
      </c>
      <c r="E154" s="11" t="s">
        <v>22</v>
      </c>
      <c r="F154" s="8">
        <f>(INT(Table_Azerbaijan[[#This Row],[Date]]) - DATE(1970, 1, 1)) * 86400000</f>
        <v>1727049600000</v>
      </c>
      <c r="G154" s="10">
        <f>'GMT Glossary'!$B$2</f>
        <v>6</v>
      </c>
      <c r="H154" s="2" t="str">
        <f t="shared" si="4"/>
        <v>2024-09-23</v>
      </c>
      <c r="I154" s="2" t="str">
        <f t="shared" si="5"/>
        <v>13:00</v>
      </c>
    </row>
    <row r="155" spans="1:9" x14ac:dyDescent="0.25">
      <c r="A155" s="12">
        <v>45558</v>
      </c>
      <c r="B155" s="15">
        <v>0.375</v>
      </c>
      <c r="C155" s="14" t="s">
        <v>26</v>
      </c>
      <c r="D155" s="19" t="s">
        <v>127</v>
      </c>
      <c r="E155" s="11" t="s">
        <v>22</v>
      </c>
      <c r="F155" s="8">
        <f>(INT(Table_Azerbaijan[[#This Row],[Date]]) - DATE(1970, 1, 1)) * 86400000</f>
        <v>1727049600000</v>
      </c>
      <c r="G155" s="10">
        <f>'GMT Glossary'!$B$2</f>
        <v>6</v>
      </c>
      <c r="H155" s="2" t="str">
        <f t="shared" si="4"/>
        <v>2024-09-23</v>
      </c>
      <c r="I155" s="2" t="str">
        <f t="shared" si="5"/>
        <v>15:00</v>
      </c>
    </row>
    <row r="156" spans="1:9" x14ac:dyDescent="0.25">
      <c r="A156" s="12">
        <v>45558</v>
      </c>
      <c r="B156" s="15">
        <v>0.45833333333333331</v>
      </c>
      <c r="C156" s="14" t="s">
        <v>37</v>
      </c>
      <c r="D156" s="19" t="s">
        <v>46</v>
      </c>
      <c r="E156" s="11" t="s">
        <v>22</v>
      </c>
      <c r="F156" s="8">
        <f>(INT(Table_Azerbaijan[[#This Row],[Date]]) - DATE(1970, 1, 1)) * 86400000</f>
        <v>1727049600000</v>
      </c>
      <c r="G156" s="10">
        <f>'GMT Glossary'!$B$2</f>
        <v>6</v>
      </c>
      <c r="H156" s="2" t="str">
        <f t="shared" si="4"/>
        <v>2024-09-23</v>
      </c>
      <c r="I156" s="2" t="str">
        <f t="shared" si="5"/>
        <v>17:00</v>
      </c>
    </row>
    <row r="157" spans="1:9" x14ac:dyDescent="0.25">
      <c r="A157" s="12">
        <v>45558</v>
      </c>
      <c r="B157" s="15">
        <v>0.54166666666666663</v>
      </c>
      <c r="C157" s="14" t="s">
        <v>36</v>
      </c>
      <c r="D157" s="19" t="s">
        <v>47</v>
      </c>
      <c r="E157" s="11" t="s">
        <v>22</v>
      </c>
      <c r="F157" s="8">
        <f>(INT(Table_Azerbaijan[[#This Row],[Date]]) - DATE(1970, 1, 1)) * 86400000</f>
        <v>1727049600000</v>
      </c>
      <c r="G157" s="10">
        <f>'GMT Glossary'!$B$2</f>
        <v>6</v>
      </c>
      <c r="H157" s="2" t="str">
        <f t="shared" si="4"/>
        <v>2024-09-23</v>
      </c>
      <c r="I157" s="2" t="str">
        <f t="shared" si="5"/>
        <v>19:00</v>
      </c>
    </row>
    <row r="158" spans="1:9" x14ac:dyDescent="0.25">
      <c r="A158" s="12">
        <v>45558</v>
      </c>
      <c r="B158" s="15">
        <v>0.625</v>
      </c>
      <c r="C158" s="14" t="s">
        <v>26</v>
      </c>
      <c r="D158" s="19" t="s">
        <v>128</v>
      </c>
      <c r="E158" s="11" t="s">
        <v>22</v>
      </c>
      <c r="F158" s="8">
        <f>(INT(Table_Azerbaijan[[#This Row],[Date]]) - DATE(1970, 1, 1)) * 86400000</f>
        <v>1727049600000</v>
      </c>
      <c r="G158" s="10">
        <f>'GMT Glossary'!$B$2</f>
        <v>6</v>
      </c>
      <c r="H158" s="2" t="str">
        <f t="shared" si="4"/>
        <v>2024-09-23</v>
      </c>
      <c r="I158" s="2" t="str">
        <f t="shared" si="5"/>
        <v>21:00</v>
      </c>
    </row>
    <row r="159" spans="1:9" x14ac:dyDescent="0.25">
      <c r="A159" s="12">
        <v>45558</v>
      </c>
      <c r="B159" s="15">
        <v>0.70833333333333337</v>
      </c>
      <c r="C159" s="14" t="s">
        <v>26</v>
      </c>
      <c r="D159" s="19" t="s">
        <v>129</v>
      </c>
      <c r="E159" s="11" t="s">
        <v>22</v>
      </c>
      <c r="F159" s="8">
        <f>(INT(Table_Azerbaijan[[#This Row],[Date]]) - DATE(1970, 1, 1)) * 86400000</f>
        <v>1727049600000</v>
      </c>
      <c r="G159" s="10">
        <f>'GMT Glossary'!$B$2</f>
        <v>6</v>
      </c>
      <c r="H159" s="2" t="str">
        <f t="shared" si="4"/>
        <v>2024-09-23</v>
      </c>
      <c r="I159" s="2" t="str">
        <f t="shared" si="5"/>
        <v>23:00</v>
      </c>
    </row>
    <row r="160" spans="1:9" x14ac:dyDescent="0.25">
      <c r="A160" s="12">
        <v>45558</v>
      </c>
      <c r="B160" s="15">
        <v>0.79166666666666663</v>
      </c>
      <c r="C160" s="14" t="s">
        <v>26</v>
      </c>
      <c r="D160" s="19" t="s">
        <v>119</v>
      </c>
      <c r="E160" s="11" t="s">
        <v>22</v>
      </c>
      <c r="F160" s="8">
        <f>(INT(Table_Azerbaijan[[#This Row],[Date]]) - DATE(1970, 1, 1)) * 86400000</f>
        <v>1727049600000</v>
      </c>
      <c r="G160" s="10">
        <f>'GMT Glossary'!$B$2</f>
        <v>6</v>
      </c>
      <c r="H160" s="2" t="str">
        <f t="shared" si="4"/>
        <v>2024-09-24</v>
      </c>
      <c r="I160" s="2" t="str">
        <f t="shared" si="5"/>
        <v>01:00</v>
      </c>
    </row>
    <row r="161" spans="1:9" x14ac:dyDescent="0.25">
      <c r="A161" s="12">
        <v>45558</v>
      </c>
      <c r="B161" s="15">
        <v>0.875</v>
      </c>
      <c r="C161" s="14" t="s">
        <v>26</v>
      </c>
      <c r="D161" s="19" t="s">
        <v>112</v>
      </c>
      <c r="E161" s="11" t="s">
        <v>22</v>
      </c>
      <c r="F161" s="8">
        <f>(INT(Table_Azerbaijan[[#This Row],[Date]]) - DATE(1970, 1, 1)) * 86400000</f>
        <v>1727049600000</v>
      </c>
      <c r="G161" s="10">
        <f>'GMT Glossary'!$B$2</f>
        <v>6</v>
      </c>
      <c r="H161" s="2" t="str">
        <f t="shared" si="4"/>
        <v>2024-09-24</v>
      </c>
      <c r="I161" s="2" t="str">
        <f t="shared" si="5"/>
        <v>03:00</v>
      </c>
    </row>
    <row r="162" spans="1:9" x14ac:dyDescent="0.25">
      <c r="A162" s="12">
        <v>45558</v>
      </c>
      <c r="B162" s="15">
        <v>0.95833333333333337</v>
      </c>
      <c r="C162" s="14" t="s">
        <v>18</v>
      </c>
      <c r="D162" s="19" t="s">
        <v>124</v>
      </c>
      <c r="E162" s="11" t="s">
        <v>22</v>
      </c>
      <c r="F162" s="8">
        <f>(INT(Table_Azerbaijan[[#This Row],[Date]]) - DATE(1970, 1, 1)) * 86400000</f>
        <v>1727049600000</v>
      </c>
      <c r="G162" s="10">
        <f>'GMT Glossary'!$B$2</f>
        <v>6</v>
      </c>
      <c r="H162" s="2" t="str">
        <f t="shared" si="4"/>
        <v>2024-09-24</v>
      </c>
      <c r="I162" s="2" t="str">
        <f t="shared" si="5"/>
        <v>05:00</v>
      </c>
    </row>
    <row r="163" spans="1:9" x14ac:dyDescent="0.25">
      <c r="A163" s="12">
        <v>45559</v>
      </c>
      <c r="B163" s="15">
        <v>8.3333333333333329E-2</v>
      </c>
      <c r="C163" s="14" t="s">
        <v>37</v>
      </c>
      <c r="D163" s="19" t="s">
        <v>46</v>
      </c>
      <c r="E163" s="11" t="s">
        <v>22</v>
      </c>
      <c r="F163" s="8">
        <f>(INT(Table_Azerbaijan[[#This Row],[Date]]) - DATE(1970, 1, 1)) * 86400000</f>
        <v>1727136000000</v>
      </c>
      <c r="G163" s="10">
        <f>'GMT Glossary'!$B$2</f>
        <v>6</v>
      </c>
      <c r="H163" s="2" t="str">
        <f t="shared" si="4"/>
        <v>2024-09-24</v>
      </c>
      <c r="I163" s="2" t="str">
        <f t="shared" si="5"/>
        <v>08:00</v>
      </c>
    </row>
    <row r="164" spans="1:9" x14ac:dyDescent="0.25">
      <c r="A164" s="12">
        <v>45559</v>
      </c>
      <c r="B164" s="15">
        <v>0.20833333333333334</v>
      </c>
      <c r="C164" s="14" t="s">
        <v>36</v>
      </c>
      <c r="D164" s="19" t="s">
        <v>47</v>
      </c>
      <c r="E164" s="11" t="s">
        <v>22</v>
      </c>
      <c r="F164" s="8">
        <f>(INT(Table_Azerbaijan[[#This Row],[Date]]) - DATE(1970, 1, 1)) * 86400000</f>
        <v>1727136000000</v>
      </c>
      <c r="G164" s="10">
        <f>'GMT Glossary'!$B$2</f>
        <v>6</v>
      </c>
      <c r="H164" s="2" t="str">
        <f t="shared" si="4"/>
        <v>2024-09-24</v>
      </c>
      <c r="I164" s="2" t="str">
        <f t="shared" si="5"/>
        <v>11:00</v>
      </c>
    </row>
    <row r="165" spans="1:9" x14ac:dyDescent="0.25">
      <c r="A165" s="12">
        <v>45559</v>
      </c>
      <c r="B165" s="15">
        <v>0.29166666666666669</v>
      </c>
      <c r="C165" s="14" t="s">
        <v>26</v>
      </c>
      <c r="D165" s="19" t="s">
        <v>127</v>
      </c>
      <c r="E165" s="11" t="s">
        <v>22</v>
      </c>
      <c r="F165" s="8">
        <f>(INT(Table_Azerbaijan[[#This Row],[Date]]) - DATE(1970, 1, 1)) * 86400000</f>
        <v>1727136000000</v>
      </c>
      <c r="G165" s="10">
        <f>'GMT Glossary'!$B$2</f>
        <v>6</v>
      </c>
      <c r="H165" s="2" t="str">
        <f t="shared" si="4"/>
        <v>2024-09-24</v>
      </c>
      <c r="I165" s="2" t="str">
        <f t="shared" si="5"/>
        <v>13:00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FD4AD-5F09-4522-B058-5B5173EC26BC}">
  <dimension ref="A1:I165"/>
  <sheetViews>
    <sheetView topLeftCell="A149" workbookViewId="0">
      <selection activeCell="F164" sqref="F164"/>
    </sheetView>
  </sheetViews>
  <sheetFormatPr defaultRowHeight="15" x14ac:dyDescent="0.25"/>
  <cols>
    <col min="1" max="1" width="9.140625" customWidth="1"/>
    <col min="3" max="3" width="10.140625" bestFit="1" customWidth="1"/>
    <col min="4" max="4" width="50.28515625" customWidth="1"/>
    <col min="5" max="5" width="39.85546875" customWidth="1"/>
    <col min="6" max="6" width="51" style="8" customWidth="1"/>
    <col min="8" max="8" width="54.85546875" customWidth="1"/>
    <col min="9" max="9" width="29.28515625" customWidth="1"/>
  </cols>
  <sheetData>
    <row r="1" spans="1:9" x14ac:dyDescent="0.25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19</v>
      </c>
      <c r="I1" t="s">
        <v>7</v>
      </c>
    </row>
    <row r="2" spans="1:9" x14ac:dyDescent="0.25">
      <c r="A2" s="23">
        <v>45552</v>
      </c>
      <c r="B2" s="20">
        <v>0.375</v>
      </c>
      <c r="C2" s="24" t="s">
        <v>26</v>
      </c>
      <c r="D2" s="22" t="s">
        <v>58</v>
      </c>
      <c r="E2" s="9" t="s">
        <v>20</v>
      </c>
      <c r="F2" s="8">
        <f>(INT(Table_Kyrgyzstan2[[#This Row],[Date]]) - DATE(1970, 1, 1)) * 86400000</f>
        <v>1726531200000</v>
      </c>
      <c r="G2">
        <f>'GMT Glossary'!$B$2</f>
        <v>6</v>
      </c>
      <c r="H2" s="2" t="str">
        <f t="shared" ref="H2:H65" si="0">TEXT(IF(B2&lt;0, A2+1+((B2+(G2/24))-(INT(B2+(G2/24)))), A2+(B2+(G2/24))), "yyyy-mm-dd")</f>
        <v>2024-09-17</v>
      </c>
      <c r="I2" s="2" t="str">
        <f t="shared" ref="I2:I65" si="1">TEXT(IF(B2&lt;0, A2+1+((B2+(G2/24))-(INT(B2+(G2/24)))), A2+(B2+(G2/24))), "hh:mm")</f>
        <v>15:00</v>
      </c>
    </row>
    <row r="3" spans="1:9" x14ac:dyDescent="0.25">
      <c r="A3" s="23">
        <v>45552</v>
      </c>
      <c r="B3" s="20">
        <v>0.45833333333333331</v>
      </c>
      <c r="C3" s="24" t="s">
        <v>26</v>
      </c>
      <c r="D3" s="22" t="s">
        <v>59</v>
      </c>
      <c r="E3" s="9" t="s">
        <v>20</v>
      </c>
      <c r="F3" s="8">
        <f>(INT(Table_Kyrgyzstan2[[#This Row],[Date]]) - DATE(1970, 1, 1)) * 86400000</f>
        <v>1726531200000</v>
      </c>
      <c r="G3">
        <f>'GMT Glossary'!$B$2</f>
        <v>6</v>
      </c>
      <c r="H3" s="2" t="str">
        <f t="shared" si="0"/>
        <v>2024-09-17</v>
      </c>
      <c r="I3" s="2" t="str">
        <f t="shared" si="1"/>
        <v>17:00</v>
      </c>
    </row>
    <row r="4" spans="1:9" x14ac:dyDescent="0.25">
      <c r="A4" s="23">
        <v>45552</v>
      </c>
      <c r="B4" s="20">
        <v>0.54166666666666663</v>
      </c>
      <c r="C4" s="24" t="s">
        <v>26</v>
      </c>
      <c r="D4" s="22" t="s">
        <v>60</v>
      </c>
      <c r="E4" s="9" t="s">
        <v>20</v>
      </c>
      <c r="F4" s="8">
        <f>(INT(Table_Kyrgyzstan2[[#This Row],[Date]]) - DATE(1970, 1, 1)) * 86400000</f>
        <v>1726531200000</v>
      </c>
      <c r="G4">
        <f>'GMT Glossary'!$B$2</f>
        <v>6</v>
      </c>
      <c r="H4" s="2" t="str">
        <f t="shared" si="0"/>
        <v>2024-09-17</v>
      </c>
      <c r="I4" s="2" t="str">
        <f t="shared" si="1"/>
        <v>19:00</v>
      </c>
    </row>
    <row r="5" spans="1:9" x14ac:dyDescent="0.25">
      <c r="A5" s="23">
        <v>45552</v>
      </c>
      <c r="B5" s="20">
        <v>0.625</v>
      </c>
      <c r="C5" s="24" t="s">
        <v>26</v>
      </c>
      <c r="D5" s="22" t="s">
        <v>33</v>
      </c>
      <c r="E5" s="9" t="s">
        <v>20</v>
      </c>
      <c r="F5" s="8">
        <f>(INT(Table_Kyrgyzstan2[[#This Row],[Date]]) - DATE(1970, 1, 1)) * 86400000</f>
        <v>1726531200000</v>
      </c>
      <c r="G5">
        <f>'GMT Glossary'!$B$2</f>
        <v>6</v>
      </c>
      <c r="H5" s="2" t="str">
        <f t="shared" si="0"/>
        <v>2024-09-17</v>
      </c>
      <c r="I5" s="2" t="str">
        <f t="shared" si="1"/>
        <v>21:00</v>
      </c>
    </row>
    <row r="6" spans="1:9" x14ac:dyDescent="0.25">
      <c r="A6" s="23">
        <v>45552</v>
      </c>
      <c r="B6" s="20">
        <v>0.70833333333333337</v>
      </c>
      <c r="C6" s="24" t="s">
        <v>26</v>
      </c>
      <c r="D6" s="22" t="s">
        <v>34</v>
      </c>
      <c r="E6" s="9" t="s">
        <v>20</v>
      </c>
      <c r="F6" s="8">
        <f>(INT(Table_Kyrgyzstan2[[#This Row],[Date]]) - DATE(1970, 1, 1)) * 86400000</f>
        <v>1726531200000</v>
      </c>
      <c r="G6">
        <f>'GMT Glossary'!$B$2</f>
        <v>6</v>
      </c>
      <c r="H6" s="2" t="str">
        <f t="shared" si="0"/>
        <v>2024-09-17</v>
      </c>
      <c r="I6" s="2" t="str">
        <f t="shared" si="1"/>
        <v>23:00</v>
      </c>
    </row>
    <row r="7" spans="1:9" x14ac:dyDescent="0.25">
      <c r="A7" s="23">
        <v>45552</v>
      </c>
      <c r="B7" s="20">
        <v>0.79166666666666663</v>
      </c>
      <c r="C7" s="24" t="s">
        <v>26</v>
      </c>
      <c r="D7" s="21" t="s">
        <v>61</v>
      </c>
      <c r="E7" s="9" t="s">
        <v>20</v>
      </c>
      <c r="F7" s="8">
        <f>(INT(Table_Kyrgyzstan2[[#This Row],[Date]]) - DATE(1970, 1, 1)) * 86400000</f>
        <v>1726531200000</v>
      </c>
      <c r="G7">
        <f>'GMT Glossary'!$B$2</f>
        <v>6</v>
      </c>
      <c r="H7" s="2" t="str">
        <f t="shared" si="0"/>
        <v>2024-09-18</v>
      </c>
      <c r="I7" s="2" t="str">
        <f t="shared" si="1"/>
        <v>01:00</v>
      </c>
    </row>
    <row r="8" spans="1:9" x14ac:dyDescent="0.25">
      <c r="A8" s="23">
        <v>45552</v>
      </c>
      <c r="B8" s="20">
        <v>0.875</v>
      </c>
      <c r="C8" s="24" t="s">
        <v>26</v>
      </c>
      <c r="D8" s="22" t="s">
        <v>62</v>
      </c>
      <c r="E8" s="9" t="s">
        <v>20</v>
      </c>
      <c r="F8" s="8">
        <f>(INT(Table_Kyrgyzstan2[[#This Row],[Date]]) - DATE(1970, 1, 1)) * 86400000</f>
        <v>1726531200000</v>
      </c>
      <c r="G8">
        <f>'GMT Glossary'!$B$2</f>
        <v>6</v>
      </c>
      <c r="H8" s="2" t="str">
        <f t="shared" si="0"/>
        <v>2024-09-18</v>
      </c>
      <c r="I8" s="2" t="str">
        <f t="shared" si="1"/>
        <v>03:00</v>
      </c>
    </row>
    <row r="9" spans="1:9" x14ac:dyDescent="0.25">
      <c r="A9" s="23">
        <v>45552</v>
      </c>
      <c r="B9" s="20">
        <v>0.95833333333333337</v>
      </c>
      <c r="C9" s="24" t="s">
        <v>26</v>
      </c>
      <c r="D9" s="22" t="s">
        <v>56</v>
      </c>
      <c r="E9" s="9" t="s">
        <v>20</v>
      </c>
      <c r="F9" s="8">
        <f>(INT(Table_Kyrgyzstan2[[#This Row],[Date]]) - DATE(1970, 1, 1)) * 86400000</f>
        <v>1726531200000</v>
      </c>
      <c r="G9">
        <f>'GMT Glossary'!$B$2</f>
        <v>6</v>
      </c>
      <c r="H9" s="2" t="str">
        <f t="shared" si="0"/>
        <v>2024-09-18</v>
      </c>
      <c r="I9" s="2" t="str">
        <f t="shared" si="1"/>
        <v>05:00</v>
      </c>
    </row>
    <row r="10" spans="1:9" x14ac:dyDescent="0.25">
      <c r="A10" s="23">
        <v>45553</v>
      </c>
      <c r="B10" s="20">
        <v>4.1666666666666664E-2</v>
      </c>
      <c r="C10" s="24" t="s">
        <v>26</v>
      </c>
      <c r="D10" s="22" t="s">
        <v>29</v>
      </c>
      <c r="E10" s="9" t="s">
        <v>20</v>
      </c>
      <c r="F10" s="8">
        <f>(INT(Table_Kyrgyzstan2[[#This Row],[Date]]) - DATE(1970, 1, 1)) * 86400000</f>
        <v>1726617600000</v>
      </c>
      <c r="G10">
        <f>'GMT Glossary'!$B$2</f>
        <v>6</v>
      </c>
      <c r="H10" s="2" t="str">
        <f t="shared" si="0"/>
        <v>2024-09-18</v>
      </c>
      <c r="I10" s="2" t="str">
        <f t="shared" si="1"/>
        <v>07:00</v>
      </c>
    </row>
    <row r="11" spans="1:9" x14ac:dyDescent="0.25">
      <c r="A11" s="23">
        <v>45553</v>
      </c>
      <c r="B11" s="20">
        <v>0.125</v>
      </c>
      <c r="C11" s="24" t="s">
        <v>26</v>
      </c>
      <c r="D11" s="22" t="s">
        <v>32</v>
      </c>
      <c r="E11" s="9" t="s">
        <v>20</v>
      </c>
      <c r="F11" s="8">
        <f>(INT(Table_Kyrgyzstan2[[#This Row],[Date]]) - DATE(1970, 1, 1)) * 86400000</f>
        <v>1726617600000</v>
      </c>
      <c r="G11">
        <f>'GMT Glossary'!$B$2</f>
        <v>6</v>
      </c>
      <c r="H11" s="2" t="str">
        <f t="shared" si="0"/>
        <v>2024-09-18</v>
      </c>
      <c r="I11" s="2" t="str">
        <f t="shared" si="1"/>
        <v>09:00</v>
      </c>
    </row>
    <row r="12" spans="1:9" x14ac:dyDescent="0.25">
      <c r="A12" s="23">
        <v>45553</v>
      </c>
      <c r="B12" s="20">
        <v>0.20833333333333334</v>
      </c>
      <c r="C12" s="24" t="s">
        <v>26</v>
      </c>
      <c r="D12" s="22" t="s">
        <v>35</v>
      </c>
      <c r="E12" s="9" t="s">
        <v>20</v>
      </c>
      <c r="F12" s="8">
        <f>(INT(Table_Kyrgyzstan2[[#This Row],[Date]]) - DATE(1970, 1, 1)) * 86400000</f>
        <v>1726617600000</v>
      </c>
      <c r="G12">
        <f>'GMT Glossary'!$B$2</f>
        <v>6</v>
      </c>
      <c r="H12" s="2" t="str">
        <f t="shared" si="0"/>
        <v>2024-09-18</v>
      </c>
      <c r="I12" s="2" t="str">
        <f t="shared" si="1"/>
        <v>11:00</v>
      </c>
    </row>
    <row r="13" spans="1:9" x14ac:dyDescent="0.25">
      <c r="A13" s="23">
        <v>45553</v>
      </c>
      <c r="B13" s="20">
        <v>0.29166666666666669</v>
      </c>
      <c r="C13" s="24" t="s">
        <v>26</v>
      </c>
      <c r="D13" s="22" t="s">
        <v>63</v>
      </c>
      <c r="E13" s="9" t="s">
        <v>20</v>
      </c>
      <c r="F13" s="8">
        <f>(INT(Table_Kyrgyzstan2[[#This Row],[Date]]) - DATE(1970, 1, 1)) * 86400000</f>
        <v>1726617600000</v>
      </c>
      <c r="G13">
        <f>'GMT Glossary'!$B$2</f>
        <v>6</v>
      </c>
      <c r="H13" s="2" t="str">
        <f t="shared" si="0"/>
        <v>2024-09-18</v>
      </c>
      <c r="I13" s="2" t="str">
        <f t="shared" si="1"/>
        <v>13:00</v>
      </c>
    </row>
    <row r="14" spans="1:9" x14ac:dyDescent="0.25">
      <c r="A14" s="23">
        <v>45553</v>
      </c>
      <c r="B14" s="20">
        <v>0.375</v>
      </c>
      <c r="C14" s="24" t="s">
        <v>26</v>
      </c>
      <c r="D14" s="22" t="s">
        <v>64</v>
      </c>
      <c r="E14" s="9" t="s">
        <v>20</v>
      </c>
      <c r="F14" s="8">
        <f>(INT(Table_Kyrgyzstan2[[#This Row],[Date]]) - DATE(1970, 1, 1)) * 86400000</f>
        <v>1726617600000</v>
      </c>
      <c r="G14">
        <f>'GMT Glossary'!$B$2</f>
        <v>6</v>
      </c>
      <c r="H14" s="2" t="str">
        <f t="shared" si="0"/>
        <v>2024-09-18</v>
      </c>
      <c r="I14" s="2" t="str">
        <f t="shared" si="1"/>
        <v>15:00</v>
      </c>
    </row>
    <row r="15" spans="1:9" x14ac:dyDescent="0.25">
      <c r="A15" s="23">
        <v>45553</v>
      </c>
      <c r="B15" s="20">
        <v>0.41666666666666669</v>
      </c>
      <c r="C15" s="24" t="s">
        <v>26</v>
      </c>
      <c r="D15" s="22" t="s">
        <v>65</v>
      </c>
      <c r="E15" s="9" t="s">
        <v>20</v>
      </c>
      <c r="F15" s="8">
        <f>(INT(Table_Kyrgyzstan2[[#This Row],[Date]]) - DATE(1970, 1, 1)) * 86400000</f>
        <v>1726617600000</v>
      </c>
      <c r="G15">
        <f>'GMT Glossary'!$B$2</f>
        <v>6</v>
      </c>
      <c r="H15" s="2" t="str">
        <f t="shared" si="0"/>
        <v>2024-09-18</v>
      </c>
      <c r="I15" s="2" t="str">
        <f t="shared" si="1"/>
        <v>16:00</v>
      </c>
    </row>
    <row r="16" spans="1:9" x14ac:dyDescent="0.25">
      <c r="A16" s="23">
        <v>45553</v>
      </c>
      <c r="B16" s="20">
        <v>0.45833333333333331</v>
      </c>
      <c r="C16" s="24" t="s">
        <v>26</v>
      </c>
      <c r="D16" s="22" t="s">
        <v>66</v>
      </c>
      <c r="E16" s="9" t="s">
        <v>20</v>
      </c>
      <c r="F16" s="8">
        <f>(INT(Table_Kyrgyzstan2[[#This Row],[Date]]) - DATE(1970, 1, 1)) * 86400000</f>
        <v>1726617600000</v>
      </c>
      <c r="G16">
        <f>'GMT Glossary'!$B$2</f>
        <v>6</v>
      </c>
      <c r="H16" s="2" t="str">
        <f t="shared" si="0"/>
        <v>2024-09-18</v>
      </c>
      <c r="I16" s="2" t="str">
        <f t="shared" si="1"/>
        <v>17:00</v>
      </c>
    </row>
    <row r="17" spans="1:9" x14ac:dyDescent="0.25">
      <c r="A17" s="23">
        <v>45553</v>
      </c>
      <c r="B17" s="20">
        <v>0.5</v>
      </c>
      <c r="C17" s="24" t="s">
        <v>26</v>
      </c>
      <c r="D17" s="22" t="s">
        <v>67</v>
      </c>
      <c r="E17" s="9" t="s">
        <v>20</v>
      </c>
      <c r="F17" s="8">
        <f>(INT(Table_Kyrgyzstan2[[#This Row],[Date]]) - DATE(1970, 1, 1)) * 86400000</f>
        <v>1726617600000</v>
      </c>
      <c r="G17">
        <f>'GMT Glossary'!$B$2</f>
        <v>6</v>
      </c>
      <c r="H17" s="2" t="str">
        <f t="shared" si="0"/>
        <v>2024-09-18</v>
      </c>
      <c r="I17" s="2" t="str">
        <f t="shared" si="1"/>
        <v>18:00</v>
      </c>
    </row>
    <row r="18" spans="1:9" x14ac:dyDescent="0.25">
      <c r="A18" s="23">
        <v>45553</v>
      </c>
      <c r="B18" s="20">
        <v>0.54166666666666663</v>
      </c>
      <c r="C18" s="24" t="s">
        <v>26</v>
      </c>
      <c r="D18" s="22" t="s">
        <v>68</v>
      </c>
      <c r="E18" s="9" t="s">
        <v>20</v>
      </c>
      <c r="F18" s="8">
        <f>(INT(Table_Kyrgyzstan2[[#This Row],[Date]]) - DATE(1970, 1, 1)) * 86400000</f>
        <v>1726617600000</v>
      </c>
      <c r="G18">
        <f>'GMT Glossary'!$B$2</f>
        <v>6</v>
      </c>
      <c r="H18" s="2" t="str">
        <f t="shared" si="0"/>
        <v>2024-09-18</v>
      </c>
      <c r="I18" s="2" t="str">
        <f t="shared" si="1"/>
        <v>19:00</v>
      </c>
    </row>
    <row r="19" spans="1:9" x14ac:dyDescent="0.25">
      <c r="A19" s="23">
        <v>45553</v>
      </c>
      <c r="B19" s="20">
        <v>0.625</v>
      </c>
      <c r="C19" s="24" t="s">
        <v>26</v>
      </c>
      <c r="D19" s="22" t="s">
        <v>29</v>
      </c>
      <c r="E19" s="9" t="s">
        <v>20</v>
      </c>
      <c r="F19" s="8">
        <f>(INT(Table_Kyrgyzstan2[[#This Row],[Date]]) - DATE(1970, 1, 1)) * 86400000</f>
        <v>1726617600000</v>
      </c>
      <c r="G19">
        <f>'GMT Glossary'!$B$2</f>
        <v>6</v>
      </c>
      <c r="H19" s="2" t="str">
        <f t="shared" si="0"/>
        <v>2024-09-18</v>
      </c>
      <c r="I19" s="2" t="str">
        <f t="shared" si="1"/>
        <v>21:00</v>
      </c>
    </row>
    <row r="20" spans="1:9" x14ac:dyDescent="0.25">
      <c r="A20" s="23">
        <v>45553</v>
      </c>
      <c r="B20" s="20">
        <v>0.70833333333333337</v>
      </c>
      <c r="C20" s="24" t="s">
        <v>26</v>
      </c>
      <c r="D20" s="22" t="s">
        <v>69</v>
      </c>
      <c r="E20" s="9" t="s">
        <v>20</v>
      </c>
      <c r="F20" s="8">
        <f>(INT(Table_Kyrgyzstan2[[#This Row],[Date]]) - DATE(1970, 1, 1)) * 86400000</f>
        <v>1726617600000</v>
      </c>
      <c r="G20">
        <f>'GMT Glossary'!$B$2</f>
        <v>6</v>
      </c>
      <c r="H20" s="2" t="str">
        <f t="shared" si="0"/>
        <v>2024-09-18</v>
      </c>
      <c r="I20" s="2" t="str">
        <f t="shared" si="1"/>
        <v>23:00</v>
      </c>
    </row>
    <row r="21" spans="1:9" x14ac:dyDescent="0.25">
      <c r="A21" s="23">
        <v>45553</v>
      </c>
      <c r="B21" s="20">
        <v>0.79166666666666663</v>
      </c>
      <c r="C21" s="24" t="s">
        <v>26</v>
      </c>
      <c r="D21" s="21" t="s">
        <v>70</v>
      </c>
      <c r="E21" s="9" t="s">
        <v>20</v>
      </c>
      <c r="F21" s="8">
        <f>(INT(Table_Kyrgyzstan2[[#This Row],[Date]]) - DATE(1970, 1, 1)) * 86400000</f>
        <v>1726617600000</v>
      </c>
      <c r="G21">
        <f>'GMT Glossary'!$B$2</f>
        <v>6</v>
      </c>
      <c r="H21" s="2" t="str">
        <f t="shared" si="0"/>
        <v>2024-09-19</v>
      </c>
      <c r="I21" s="2" t="str">
        <f t="shared" si="1"/>
        <v>01:00</v>
      </c>
    </row>
    <row r="22" spans="1:9" x14ac:dyDescent="0.25">
      <c r="A22" s="23">
        <v>45553</v>
      </c>
      <c r="B22" s="20">
        <v>0.875</v>
      </c>
      <c r="C22" s="24" t="s">
        <v>26</v>
      </c>
      <c r="D22" s="22" t="s">
        <v>71</v>
      </c>
      <c r="E22" s="9" t="s">
        <v>20</v>
      </c>
      <c r="F22" s="8">
        <f>(INT(Table_Kyrgyzstan2[[#This Row],[Date]]) - DATE(1970, 1, 1)) * 86400000</f>
        <v>1726617600000</v>
      </c>
      <c r="G22">
        <f>'GMT Glossary'!$B$2</f>
        <v>6</v>
      </c>
      <c r="H22" s="2" t="str">
        <f t="shared" si="0"/>
        <v>2024-09-19</v>
      </c>
      <c r="I22" s="2" t="str">
        <f t="shared" si="1"/>
        <v>03:00</v>
      </c>
    </row>
    <row r="23" spans="1:9" x14ac:dyDescent="0.25">
      <c r="A23" s="23">
        <v>45553</v>
      </c>
      <c r="B23" s="20">
        <v>0.95833333333333337</v>
      </c>
      <c r="C23" s="24" t="s">
        <v>26</v>
      </c>
      <c r="D23" s="22" t="s">
        <v>28</v>
      </c>
      <c r="E23" s="9" t="s">
        <v>20</v>
      </c>
      <c r="F23" s="8">
        <f>(INT(Table_Kyrgyzstan2[[#This Row],[Date]]) - DATE(1970, 1, 1)) * 86400000</f>
        <v>1726617600000</v>
      </c>
      <c r="G23">
        <f>'GMT Glossary'!$B$2</f>
        <v>6</v>
      </c>
      <c r="H23" s="2" t="str">
        <f t="shared" si="0"/>
        <v>2024-09-19</v>
      </c>
      <c r="I23" s="2" t="str">
        <f t="shared" si="1"/>
        <v>05:00</v>
      </c>
    </row>
    <row r="24" spans="1:9" x14ac:dyDescent="0.25">
      <c r="A24" s="23">
        <v>45553</v>
      </c>
      <c r="B24" s="20">
        <v>4.1666666666666664E-2</v>
      </c>
      <c r="C24" s="24" t="s">
        <v>26</v>
      </c>
      <c r="D24" s="22" t="s">
        <v>30</v>
      </c>
      <c r="E24" s="9" t="s">
        <v>20</v>
      </c>
      <c r="F24" s="8">
        <f>(INT(Table_Kyrgyzstan2[[#This Row],[Date]]) - DATE(1970, 1, 1)) * 86400000</f>
        <v>1726617600000</v>
      </c>
      <c r="G24">
        <f>'GMT Glossary'!$B$2</f>
        <v>6</v>
      </c>
      <c r="H24" s="2" t="str">
        <f t="shared" si="0"/>
        <v>2024-09-18</v>
      </c>
      <c r="I24" s="2" t="str">
        <f t="shared" si="1"/>
        <v>07:00</v>
      </c>
    </row>
    <row r="25" spans="1:9" x14ac:dyDescent="0.25">
      <c r="A25" s="23">
        <v>45554</v>
      </c>
      <c r="B25" s="20">
        <v>0.125</v>
      </c>
      <c r="C25" s="24" t="s">
        <v>26</v>
      </c>
      <c r="D25" s="22" t="s">
        <v>58</v>
      </c>
      <c r="E25" s="9" t="s">
        <v>20</v>
      </c>
      <c r="F25" s="8">
        <f>(INT(Table_Kyrgyzstan2[[#This Row],[Date]]) - DATE(1970, 1, 1)) * 86400000</f>
        <v>1726704000000</v>
      </c>
      <c r="G25">
        <f>'GMT Glossary'!$B$2</f>
        <v>6</v>
      </c>
      <c r="H25" s="2" t="str">
        <f t="shared" si="0"/>
        <v>2024-09-19</v>
      </c>
      <c r="I25" s="2" t="str">
        <f t="shared" si="1"/>
        <v>09:00</v>
      </c>
    </row>
    <row r="26" spans="1:9" x14ac:dyDescent="0.25">
      <c r="A26" s="23">
        <v>45554</v>
      </c>
      <c r="B26" s="20">
        <v>0.20833333333333334</v>
      </c>
      <c r="C26" s="24" t="s">
        <v>26</v>
      </c>
      <c r="D26" s="22" t="s">
        <v>59</v>
      </c>
      <c r="E26" s="9" t="s">
        <v>20</v>
      </c>
      <c r="F26" s="8">
        <f>(INT(Table_Kyrgyzstan2[[#This Row],[Date]]) - DATE(1970, 1, 1)) * 86400000</f>
        <v>1726704000000</v>
      </c>
      <c r="G26">
        <f>'GMT Glossary'!$B$2</f>
        <v>6</v>
      </c>
      <c r="H26" s="2" t="str">
        <f t="shared" si="0"/>
        <v>2024-09-19</v>
      </c>
      <c r="I26" s="2" t="str">
        <f t="shared" si="1"/>
        <v>11:00</v>
      </c>
    </row>
    <row r="27" spans="1:9" x14ac:dyDescent="0.25">
      <c r="A27" s="23">
        <v>45554</v>
      </c>
      <c r="B27" s="20">
        <v>0.29166666666666669</v>
      </c>
      <c r="C27" s="24" t="s">
        <v>26</v>
      </c>
      <c r="D27" s="22" t="s">
        <v>33</v>
      </c>
      <c r="E27" s="9" t="s">
        <v>20</v>
      </c>
      <c r="F27" s="8">
        <f>(INT(Table_Kyrgyzstan2[[#This Row],[Date]]) - DATE(1970, 1, 1)) * 86400000</f>
        <v>1726704000000</v>
      </c>
      <c r="G27">
        <f>'GMT Glossary'!$B$2</f>
        <v>6</v>
      </c>
      <c r="H27" s="2" t="str">
        <f t="shared" si="0"/>
        <v>2024-09-19</v>
      </c>
      <c r="I27" s="2" t="str">
        <f t="shared" si="1"/>
        <v>13:00</v>
      </c>
    </row>
    <row r="28" spans="1:9" x14ac:dyDescent="0.25">
      <c r="A28" s="23">
        <v>45554</v>
      </c>
      <c r="B28" s="20">
        <v>0.375</v>
      </c>
      <c r="C28" s="24" t="s">
        <v>26</v>
      </c>
      <c r="D28" s="22" t="s">
        <v>64</v>
      </c>
      <c r="E28" s="9" t="s">
        <v>20</v>
      </c>
      <c r="F28" s="8">
        <f>(INT(Table_Kyrgyzstan2[[#This Row],[Date]]) - DATE(1970, 1, 1)) * 86400000</f>
        <v>1726704000000</v>
      </c>
      <c r="G28">
        <f>'GMT Glossary'!$B$2</f>
        <v>6</v>
      </c>
      <c r="H28" s="2" t="str">
        <f t="shared" si="0"/>
        <v>2024-09-19</v>
      </c>
      <c r="I28" s="2" t="str">
        <f t="shared" si="1"/>
        <v>15:00</v>
      </c>
    </row>
    <row r="29" spans="1:9" x14ac:dyDescent="0.25">
      <c r="A29" s="23">
        <v>45554</v>
      </c>
      <c r="B29" s="20">
        <v>0.41666666666666669</v>
      </c>
      <c r="C29" s="24" t="s">
        <v>26</v>
      </c>
      <c r="D29" s="22" t="s">
        <v>65</v>
      </c>
      <c r="E29" s="9" t="s">
        <v>20</v>
      </c>
      <c r="F29" s="8">
        <f>(INT(Table_Kyrgyzstan2[[#This Row],[Date]]) - DATE(1970, 1, 1)) * 86400000</f>
        <v>1726704000000</v>
      </c>
      <c r="G29">
        <f>'GMT Glossary'!$B$2</f>
        <v>6</v>
      </c>
      <c r="H29" s="2" t="str">
        <f t="shared" si="0"/>
        <v>2024-09-19</v>
      </c>
      <c r="I29" s="2" t="str">
        <f t="shared" si="1"/>
        <v>16:00</v>
      </c>
    </row>
    <row r="30" spans="1:9" x14ac:dyDescent="0.25">
      <c r="A30" s="23">
        <v>45554</v>
      </c>
      <c r="B30" s="20">
        <v>0.45833333333333331</v>
      </c>
      <c r="C30" s="24" t="s">
        <v>26</v>
      </c>
      <c r="D30" s="22" t="s">
        <v>66</v>
      </c>
      <c r="E30" s="9" t="s">
        <v>20</v>
      </c>
      <c r="F30" s="8">
        <f>(INT(Table_Kyrgyzstan2[[#This Row],[Date]]) - DATE(1970, 1, 1)) * 86400000</f>
        <v>1726704000000</v>
      </c>
      <c r="G30">
        <f>'GMT Glossary'!$B$2</f>
        <v>6</v>
      </c>
      <c r="H30" s="2" t="str">
        <f t="shared" si="0"/>
        <v>2024-09-19</v>
      </c>
      <c r="I30" s="2" t="str">
        <f t="shared" si="1"/>
        <v>17:00</v>
      </c>
    </row>
    <row r="31" spans="1:9" x14ac:dyDescent="0.25">
      <c r="A31" s="23">
        <v>45554</v>
      </c>
      <c r="B31" s="20">
        <v>0.5</v>
      </c>
      <c r="C31" s="24" t="s">
        <v>26</v>
      </c>
      <c r="D31" s="22" t="s">
        <v>67</v>
      </c>
      <c r="E31" s="9" t="s">
        <v>20</v>
      </c>
      <c r="F31" s="8">
        <f>(INT(Table_Kyrgyzstan2[[#This Row],[Date]]) - DATE(1970, 1, 1)) * 86400000</f>
        <v>1726704000000</v>
      </c>
      <c r="G31">
        <f>'GMT Glossary'!$B$2</f>
        <v>6</v>
      </c>
      <c r="H31" s="2" t="str">
        <f t="shared" si="0"/>
        <v>2024-09-19</v>
      </c>
      <c r="I31" s="2" t="str">
        <f t="shared" si="1"/>
        <v>18:00</v>
      </c>
    </row>
    <row r="32" spans="1:9" x14ac:dyDescent="0.25">
      <c r="A32" s="23">
        <v>45554</v>
      </c>
      <c r="B32" s="20">
        <v>0.54166666666666663</v>
      </c>
      <c r="C32" s="24" t="s">
        <v>26</v>
      </c>
      <c r="D32" s="22" t="s">
        <v>72</v>
      </c>
      <c r="E32" s="9" t="s">
        <v>20</v>
      </c>
      <c r="F32" s="8">
        <f>(INT(Table_Kyrgyzstan2[[#This Row],[Date]]) - DATE(1970, 1, 1)) * 86400000</f>
        <v>1726704000000</v>
      </c>
      <c r="G32">
        <f>'GMT Glossary'!$B$2</f>
        <v>6</v>
      </c>
      <c r="H32" s="2" t="str">
        <f t="shared" si="0"/>
        <v>2024-09-19</v>
      </c>
      <c r="I32" s="2" t="str">
        <f t="shared" si="1"/>
        <v>19:00</v>
      </c>
    </row>
    <row r="33" spans="1:9" x14ac:dyDescent="0.25">
      <c r="A33" s="23">
        <v>45554</v>
      </c>
      <c r="B33" s="20">
        <v>0.625</v>
      </c>
      <c r="C33" s="24" t="s">
        <v>26</v>
      </c>
      <c r="D33" s="22" t="s">
        <v>34</v>
      </c>
      <c r="E33" s="9" t="s">
        <v>20</v>
      </c>
      <c r="F33" s="8">
        <f>(INT(Table_Kyrgyzstan2[[#This Row],[Date]]) - DATE(1970, 1, 1)) * 86400000</f>
        <v>1726704000000</v>
      </c>
      <c r="G33">
        <f>'GMT Glossary'!$B$2</f>
        <v>6</v>
      </c>
      <c r="H33" s="2" t="str">
        <f t="shared" si="0"/>
        <v>2024-09-19</v>
      </c>
      <c r="I33" s="2" t="str">
        <f t="shared" si="1"/>
        <v>21:00</v>
      </c>
    </row>
    <row r="34" spans="1:9" x14ac:dyDescent="0.25">
      <c r="A34" s="23">
        <v>45554</v>
      </c>
      <c r="B34" s="20">
        <v>0.70833333333333337</v>
      </c>
      <c r="C34" s="24" t="s">
        <v>26</v>
      </c>
      <c r="D34" s="21" t="s">
        <v>73</v>
      </c>
      <c r="E34" s="9" t="s">
        <v>20</v>
      </c>
      <c r="F34" s="8">
        <f>(INT(Table_Kyrgyzstan2[[#This Row],[Date]]) - DATE(1970, 1, 1)) * 86400000</f>
        <v>1726704000000</v>
      </c>
      <c r="G34">
        <f>'GMT Glossary'!$B$2</f>
        <v>6</v>
      </c>
      <c r="H34" s="2" t="str">
        <f t="shared" si="0"/>
        <v>2024-09-19</v>
      </c>
      <c r="I34" s="2" t="str">
        <f t="shared" si="1"/>
        <v>23:00</v>
      </c>
    </row>
    <row r="35" spans="1:9" x14ac:dyDescent="0.25">
      <c r="A35" s="23">
        <v>45554</v>
      </c>
      <c r="B35" s="20">
        <v>0.79166666666666663</v>
      </c>
      <c r="C35" s="24" t="s">
        <v>26</v>
      </c>
      <c r="D35" s="22" t="s">
        <v>62</v>
      </c>
      <c r="E35" s="9" t="s">
        <v>20</v>
      </c>
      <c r="F35" s="8">
        <f>(INT(Table_Kyrgyzstan2[[#This Row],[Date]]) - DATE(1970, 1, 1)) * 86400000</f>
        <v>1726704000000</v>
      </c>
      <c r="G35">
        <f>'GMT Glossary'!$B$2</f>
        <v>6</v>
      </c>
      <c r="H35" s="2" t="str">
        <f t="shared" si="0"/>
        <v>2024-09-20</v>
      </c>
      <c r="I35" s="2" t="str">
        <f t="shared" si="1"/>
        <v>01:00</v>
      </c>
    </row>
    <row r="36" spans="1:9" x14ac:dyDescent="0.25">
      <c r="A36" s="23">
        <v>45554</v>
      </c>
      <c r="B36" s="20">
        <v>0.875</v>
      </c>
      <c r="C36" s="24" t="s">
        <v>26</v>
      </c>
      <c r="D36" s="22" t="s">
        <v>32</v>
      </c>
      <c r="E36" s="9" t="s">
        <v>20</v>
      </c>
      <c r="F36" s="8">
        <f>(INT(Table_Kyrgyzstan2[[#This Row],[Date]]) - DATE(1970, 1, 1)) * 86400000</f>
        <v>1726704000000</v>
      </c>
      <c r="G36">
        <f>'GMT Glossary'!$B$2</f>
        <v>6</v>
      </c>
      <c r="H36" s="2" t="str">
        <f t="shared" si="0"/>
        <v>2024-09-20</v>
      </c>
      <c r="I36" s="2" t="str">
        <f t="shared" si="1"/>
        <v>03:00</v>
      </c>
    </row>
    <row r="37" spans="1:9" x14ac:dyDescent="0.25">
      <c r="A37" s="23">
        <v>45554</v>
      </c>
      <c r="B37" s="20">
        <v>0.95833333333333337</v>
      </c>
      <c r="C37" s="24" t="s">
        <v>26</v>
      </c>
      <c r="D37" s="22" t="s">
        <v>31</v>
      </c>
      <c r="E37" s="9" t="s">
        <v>20</v>
      </c>
      <c r="F37" s="8">
        <f>(INT(Table_Kyrgyzstan2[[#This Row],[Date]]) - DATE(1970, 1, 1)) * 86400000</f>
        <v>1726704000000</v>
      </c>
      <c r="G37">
        <f>'GMT Glossary'!$B$2</f>
        <v>6</v>
      </c>
      <c r="H37" s="2" t="str">
        <f t="shared" si="0"/>
        <v>2024-09-20</v>
      </c>
      <c r="I37" s="2" t="str">
        <f t="shared" si="1"/>
        <v>05:00</v>
      </c>
    </row>
    <row r="38" spans="1:9" x14ac:dyDescent="0.25">
      <c r="A38" s="23">
        <v>45555</v>
      </c>
      <c r="B38" s="20">
        <v>4.1666666666666664E-2</v>
      </c>
      <c r="C38" s="24" t="s">
        <v>26</v>
      </c>
      <c r="D38" s="22" t="s">
        <v>56</v>
      </c>
      <c r="E38" s="9" t="s">
        <v>20</v>
      </c>
      <c r="F38" s="8">
        <f>(INT(Table_Kyrgyzstan2[[#This Row],[Date]]) - DATE(1970, 1, 1)) * 86400000</f>
        <v>1726790400000</v>
      </c>
      <c r="G38">
        <f>'GMT Glossary'!$B$2</f>
        <v>6</v>
      </c>
      <c r="H38" s="2" t="str">
        <f t="shared" si="0"/>
        <v>2024-09-20</v>
      </c>
      <c r="I38" s="2" t="str">
        <f t="shared" si="1"/>
        <v>07:00</v>
      </c>
    </row>
    <row r="39" spans="1:9" x14ac:dyDescent="0.25">
      <c r="A39" s="23">
        <v>45555</v>
      </c>
      <c r="B39" s="20">
        <v>0.125</v>
      </c>
      <c r="C39" s="24" t="s">
        <v>26</v>
      </c>
      <c r="D39" s="22" t="s">
        <v>29</v>
      </c>
      <c r="E39" s="9" t="s">
        <v>20</v>
      </c>
      <c r="F39" s="8">
        <f>(INT(Table_Kyrgyzstan2[[#This Row],[Date]]) - DATE(1970, 1, 1)) * 86400000</f>
        <v>1726790400000</v>
      </c>
      <c r="G39">
        <f>'GMT Glossary'!$B$2</f>
        <v>6</v>
      </c>
      <c r="H39" s="2" t="str">
        <f t="shared" si="0"/>
        <v>2024-09-20</v>
      </c>
      <c r="I39" s="2" t="str">
        <f t="shared" si="1"/>
        <v>09:00</v>
      </c>
    </row>
    <row r="40" spans="1:9" x14ac:dyDescent="0.25">
      <c r="A40" s="23">
        <v>45555</v>
      </c>
      <c r="B40" s="20">
        <v>0.20833333333333334</v>
      </c>
      <c r="C40" s="24" t="s">
        <v>26</v>
      </c>
      <c r="D40" s="22" t="s">
        <v>35</v>
      </c>
      <c r="E40" s="9" t="s">
        <v>20</v>
      </c>
      <c r="F40" s="8">
        <f>(INT(Table_Kyrgyzstan2[[#This Row],[Date]]) - DATE(1970, 1, 1)) * 86400000</f>
        <v>1726790400000</v>
      </c>
      <c r="G40">
        <f>'GMT Glossary'!$B$2</f>
        <v>6</v>
      </c>
      <c r="H40" s="2" t="str">
        <f t="shared" si="0"/>
        <v>2024-09-20</v>
      </c>
      <c r="I40" s="2" t="str">
        <f t="shared" si="1"/>
        <v>11:00</v>
      </c>
    </row>
    <row r="41" spans="1:9" x14ac:dyDescent="0.25">
      <c r="A41" s="23">
        <v>45555</v>
      </c>
      <c r="B41" s="20">
        <v>0.29166666666666669</v>
      </c>
      <c r="C41" s="24" t="s">
        <v>26</v>
      </c>
      <c r="D41" s="22" t="s">
        <v>71</v>
      </c>
      <c r="E41" s="9" t="s">
        <v>20</v>
      </c>
      <c r="F41" s="8">
        <f>(INT(Table_Kyrgyzstan2[[#This Row],[Date]]) - DATE(1970, 1, 1)) * 86400000</f>
        <v>1726790400000</v>
      </c>
      <c r="G41">
        <f>'GMT Glossary'!$B$2</f>
        <v>6</v>
      </c>
      <c r="H41" s="2" t="str">
        <f t="shared" si="0"/>
        <v>2024-09-20</v>
      </c>
      <c r="I41" s="2" t="str">
        <f t="shared" si="1"/>
        <v>13:00</v>
      </c>
    </row>
    <row r="42" spans="1:9" x14ac:dyDescent="0.25">
      <c r="A42" s="23">
        <v>45555</v>
      </c>
      <c r="B42" s="20">
        <v>0.375</v>
      </c>
      <c r="C42" s="24" t="s">
        <v>26</v>
      </c>
      <c r="D42" s="22" t="s">
        <v>68</v>
      </c>
      <c r="E42" s="9" t="s">
        <v>20</v>
      </c>
      <c r="F42" s="8">
        <f>(INT(Table_Kyrgyzstan2[[#This Row],[Date]]) - DATE(1970, 1, 1)) * 86400000</f>
        <v>1726790400000</v>
      </c>
      <c r="G42">
        <f>'GMT Glossary'!$B$2</f>
        <v>6</v>
      </c>
      <c r="H42" s="2" t="str">
        <f t="shared" si="0"/>
        <v>2024-09-20</v>
      </c>
      <c r="I42" s="2" t="str">
        <f t="shared" si="1"/>
        <v>15:00</v>
      </c>
    </row>
    <row r="43" spans="1:9" x14ac:dyDescent="0.25">
      <c r="A43" s="23">
        <v>45555</v>
      </c>
      <c r="B43" s="20">
        <v>0.45833333333333331</v>
      </c>
      <c r="C43" s="24" t="s">
        <v>26</v>
      </c>
      <c r="D43" s="22" t="s">
        <v>28</v>
      </c>
      <c r="E43" s="9" t="s">
        <v>20</v>
      </c>
      <c r="F43" s="8">
        <f>(INT(Table_Kyrgyzstan2[[#This Row],[Date]]) - DATE(1970, 1, 1)) * 86400000</f>
        <v>1726790400000</v>
      </c>
      <c r="G43">
        <f>'GMT Glossary'!$B$2</f>
        <v>6</v>
      </c>
      <c r="H43" s="2" t="str">
        <f t="shared" si="0"/>
        <v>2024-09-20</v>
      </c>
      <c r="I43" s="2" t="str">
        <f t="shared" si="1"/>
        <v>17:00</v>
      </c>
    </row>
    <row r="44" spans="1:9" x14ac:dyDescent="0.25">
      <c r="A44" s="23">
        <v>45555</v>
      </c>
      <c r="B44" s="20">
        <v>0.54166666666666663</v>
      </c>
      <c r="C44" s="24" t="s">
        <v>26</v>
      </c>
      <c r="D44" s="22" t="s">
        <v>58</v>
      </c>
      <c r="E44" s="9" t="s">
        <v>20</v>
      </c>
      <c r="F44" s="8">
        <f>(INT(Table_Kyrgyzstan2[[#This Row],[Date]]) - DATE(1970, 1, 1)) * 86400000</f>
        <v>1726790400000</v>
      </c>
      <c r="G44">
        <f>'GMT Glossary'!$B$2</f>
        <v>6</v>
      </c>
      <c r="H44" s="2" t="str">
        <f t="shared" si="0"/>
        <v>2024-09-20</v>
      </c>
      <c r="I44" s="2" t="str">
        <f t="shared" si="1"/>
        <v>19:00</v>
      </c>
    </row>
    <row r="45" spans="1:9" x14ac:dyDescent="0.25">
      <c r="A45" s="23">
        <v>45555</v>
      </c>
      <c r="B45" s="20">
        <v>0.625</v>
      </c>
      <c r="C45" s="24" t="s">
        <v>26</v>
      </c>
      <c r="D45" s="22" t="s">
        <v>27</v>
      </c>
      <c r="E45" s="9" t="s">
        <v>20</v>
      </c>
      <c r="F45" s="8">
        <f>(INT(Table_Kyrgyzstan2[[#This Row],[Date]]) - DATE(1970, 1, 1)) * 86400000</f>
        <v>1726790400000</v>
      </c>
      <c r="G45">
        <f>'GMT Glossary'!$B$2</f>
        <v>6</v>
      </c>
      <c r="H45" s="2" t="str">
        <f t="shared" si="0"/>
        <v>2024-09-20</v>
      </c>
      <c r="I45" s="2" t="str">
        <f t="shared" si="1"/>
        <v>21:00</v>
      </c>
    </row>
    <row r="46" spans="1:9" x14ac:dyDescent="0.25">
      <c r="A46" s="23">
        <v>45555</v>
      </c>
      <c r="B46" s="20">
        <v>0.6875</v>
      </c>
      <c r="C46" s="24" t="s">
        <v>26</v>
      </c>
      <c r="D46" s="21" t="s">
        <v>74</v>
      </c>
      <c r="E46" s="9" t="s">
        <v>20</v>
      </c>
      <c r="F46" s="8">
        <f>(INT(Table_Kyrgyzstan2[[#This Row],[Date]]) - DATE(1970, 1, 1)) * 86400000</f>
        <v>1726790400000</v>
      </c>
      <c r="G46">
        <f>'GMT Glossary'!$B$2</f>
        <v>6</v>
      </c>
      <c r="H46" s="2" t="str">
        <f t="shared" si="0"/>
        <v>2024-09-20</v>
      </c>
      <c r="I46" s="2" t="str">
        <f t="shared" si="1"/>
        <v>22:30</v>
      </c>
    </row>
    <row r="47" spans="1:9" x14ac:dyDescent="0.25">
      <c r="A47" s="23">
        <v>45555</v>
      </c>
      <c r="B47" s="20">
        <v>0.78125</v>
      </c>
      <c r="C47" s="24" t="s">
        <v>26</v>
      </c>
      <c r="D47" s="21" t="s">
        <v>75</v>
      </c>
      <c r="E47" s="9" t="s">
        <v>20</v>
      </c>
      <c r="F47" s="8">
        <f>(INT(Table_Kyrgyzstan2[[#This Row],[Date]]) - DATE(1970, 1, 1)) * 86400000</f>
        <v>1726790400000</v>
      </c>
      <c r="G47">
        <f>'GMT Glossary'!$B$2</f>
        <v>6</v>
      </c>
      <c r="H47" s="2" t="str">
        <f t="shared" si="0"/>
        <v>2024-09-21</v>
      </c>
      <c r="I47" s="2" t="str">
        <f t="shared" si="1"/>
        <v>00:45</v>
      </c>
    </row>
    <row r="48" spans="1:9" x14ac:dyDescent="0.25">
      <c r="A48" s="23">
        <v>45555</v>
      </c>
      <c r="B48" s="20">
        <v>0.875</v>
      </c>
      <c r="C48" s="24" t="s">
        <v>26</v>
      </c>
      <c r="D48" s="22" t="s">
        <v>33</v>
      </c>
      <c r="E48" s="9" t="s">
        <v>20</v>
      </c>
      <c r="F48" s="8">
        <f>(INT(Table_Kyrgyzstan2[[#This Row],[Date]]) - DATE(1970, 1, 1)) * 86400000</f>
        <v>1726790400000</v>
      </c>
      <c r="G48">
        <f>'GMT Glossary'!$B$2</f>
        <v>6</v>
      </c>
      <c r="H48" s="2" t="str">
        <f t="shared" si="0"/>
        <v>2024-09-21</v>
      </c>
      <c r="I48" s="2" t="str">
        <f t="shared" si="1"/>
        <v>03:00</v>
      </c>
    </row>
    <row r="49" spans="1:9" x14ac:dyDescent="0.25">
      <c r="A49" s="23">
        <v>45555</v>
      </c>
      <c r="B49" s="20">
        <v>0.95833333333333337</v>
      </c>
      <c r="C49" s="24" t="s">
        <v>26</v>
      </c>
      <c r="D49" s="22" t="s">
        <v>72</v>
      </c>
      <c r="E49" s="9" t="s">
        <v>20</v>
      </c>
      <c r="F49" s="8">
        <f>(INT(Table_Kyrgyzstan2[[#This Row],[Date]]) - DATE(1970, 1, 1)) * 86400000</f>
        <v>1726790400000</v>
      </c>
      <c r="G49">
        <f>'GMT Glossary'!$B$2</f>
        <v>6</v>
      </c>
      <c r="H49" s="2" t="str">
        <f t="shared" si="0"/>
        <v>2024-09-21</v>
      </c>
      <c r="I49" s="2" t="str">
        <f t="shared" si="1"/>
        <v>05:00</v>
      </c>
    </row>
    <row r="50" spans="1:9" x14ac:dyDescent="0.25">
      <c r="A50" s="23">
        <v>45556</v>
      </c>
      <c r="B50" s="20">
        <v>4.1666666666666664E-2</v>
      </c>
      <c r="C50" s="24" t="s">
        <v>26</v>
      </c>
      <c r="D50" s="22" t="s">
        <v>63</v>
      </c>
      <c r="E50" s="9" t="s">
        <v>20</v>
      </c>
      <c r="F50" s="8">
        <f>(INT(Table_Kyrgyzstan2[[#This Row],[Date]]) - DATE(1970, 1, 1)) * 86400000</f>
        <v>1726876800000</v>
      </c>
      <c r="G50">
        <f>'GMT Glossary'!$B$2</f>
        <v>6</v>
      </c>
      <c r="H50" s="2" t="str">
        <f t="shared" si="0"/>
        <v>2024-09-21</v>
      </c>
      <c r="I50" s="2" t="str">
        <f t="shared" si="1"/>
        <v>07:00</v>
      </c>
    </row>
    <row r="51" spans="1:9" x14ac:dyDescent="0.25">
      <c r="A51" s="23">
        <v>45556</v>
      </c>
      <c r="B51" s="20">
        <v>0.125</v>
      </c>
      <c r="C51" s="24" t="s">
        <v>26</v>
      </c>
      <c r="D51" s="22" t="s">
        <v>32</v>
      </c>
      <c r="E51" s="9" t="s">
        <v>20</v>
      </c>
      <c r="F51" s="8">
        <f>(INT(Table_Kyrgyzstan2[[#This Row],[Date]]) - DATE(1970, 1, 1)) * 86400000</f>
        <v>1726876800000</v>
      </c>
      <c r="G51">
        <f>'GMT Glossary'!$B$2</f>
        <v>6</v>
      </c>
      <c r="H51" s="2" t="str">
        <f t="shared" si="0"/>
        <v>2024-09-21</v>
      </c>
      <c r="I51" s="2" t="str">
        <f t="shared" si="1"/>
        <v>09:00</v>
      </c>
    </row>
    <row r="52" spans="1:9" x14ac:dyDescent="0.25">
      <c r="A52" s="23">
        <v>45556</v>
      </c>
      <c r="B52" s="20">
        <v>0.20833333333333334</v>
      </c>
      <c r="C52" s="24" t="s">
        <v>26</v>
      </c>
      <c r="D52" s="22" t="s">
        <v>30</v>
      </c>
      <c r="E52" s="9" t="s">
        <v>20</v>
      </c>
      <c r="F52" s="8">
        <f>(INT(Table_Kyrgyzstan2[[#This Row],[Date]]) - DATE(1970, 1, 1)) * 86400000</f>
        <v>1726876800000</v>
      </c>
      <c r="G52">
        <f>'GMT Glossary'!$B$2</f>
        <v>6</v>
      </c>
      <c r="H52" s="2" t="str">
        <f t="shared" si="0"/>
        <v>2024-09-21</v>
      </c>
      <c r="I52" s="2" t="str">
        <f t="shared" si="1"/>
        <v>11:00</v>
      </c>
    </row>
    <row r="53" spans="1:9" x14ac:dyDescent="0.25">
      <c r="A53" s="23">
        <v>45556</v>
      </c>
      <c r="B53" s="20">
        <v>0.29166666666666669</v>
      </c>
      <c r="C53" s="24" t="s">
        <v>26</v>
      </c>
      <c r="D53" s="22" t="s">
        <v>31</v>
      </c>
      <c r="E53" s="9" t="s">
        <v>20</v>
      </c>
      <c r="F53" s="8">
        <f>(INT(Table_Kyrgyzstan2[[#This Row],[Date]]) - DATE(1970, 1, 1)) * 86400000</f>
        <v>1726876800000</v>
      </c>
      <c r="G53">
        <f>'GMT Glossary'!$B$2</f>
        <v>6</v>
      </c>
      <c r="H53" s="2" t="str">
        <f t="shared" si="0"/>
        <v>2024-09-21</v>
      </c>
      <c r="I53" s="2" t="str">
        <f t="shared" si="1"/>
        <v>13:00</v>
      </c>
    </row>
    <row r="54" spans="1:9" x14ac:dyDescent="0.25">
      <c r="A54" s="23">
        <v>45556</v>
      </c>
      <c r="B54" s="20">
        <v>0.375</v>
      </c>
      <c r="C54" s="24" t="s">
        <v>26</v>
      </c>
      <c r="D54" s="22" t="s">
        <v>29</v>
      </c>
      <c r="E54" s="9" t="s">
        <v>20</v>
      </c>
      <c r="F54" s="8">
        <f>(INT(Table_Kyrgyzstan2[[#This Row],[Date]]) - DATE(1970, 1, 1)) * 86400000</f>
        <v>1726876800000</v>
      </c>
      <c r="G54">
        <f>'GMT Glossary'!$B$2</f>
        <v>6</v>
      </c>
      <c r="H54" s="2" t="str">
        <f t="shared" si="0"/>
        <v>2024-09-21</v>
      </c>
      <c r="I54" s="2" t="str">
        <f t="shared" si="1"/>
        <v>15:00</v>
      </c>
    </row>
    <row r="55" spans="1:9" x14ac:dyDescent="0.25">
      <c r="A55" s="23">
        <v>45556</v>
      </c>
      <c r="B55" s="20">
        <v>0.47916666666666669</v>
      </c>
      <c r="C55" s="24" t="s">
        <v>26</v>
      </c>
      <c r="D55" s="21" t="s">
        <v>76</v>
      </c>
      <c r="E55" s="9" t="s">
        <v>20</v>
      </c>
      <c r="F55" s="8">
        <f>(INT(Table_Kyrgyzstan2[[#This Row],[Date]]) - DATE(1970, 1, 1)) * 86400000</f>
        <v>1726876800000</v>
      </c>
      <c r="G55">
        <f>'GMT Glossary'!$B$2</f>
        <v>6</v>
      </c>
      <c r="H55" s="2" t="str">
        <f t="shared" si="0"/>
        <v>2024-09-21</v>
      </c>
      <c r="I55" s="2" t="str">
        <f t="shared" si="1"/>
        <v>17:30</v>
      </c>
    </row>
    <row r="56" spans="1:9" x14ac:dyDescent="0.25">
      <c r="A56" s="23">
        <v>45556</v>
      </c>
      <c r="B56" s="20">
        <v>0.58333333333333337</v>
      </c>
      <c r="C56" s="24" t="s">
        <v>26</v>
      </c>
      <c r="D56" s="21" t="s">
        <v>77</v>
      </c>
      <c r="E56" s="9" t="s">
        <v>20</v>
      </c>
      <c r="F56" s="8">
        <f>(INT(Table_Kyrgyzstan2[[#This Row],[Date]]) - DATE(1970, 1, 1)) * 86400000</f>
        <v>1726876800000</v>
      </c>
      <c r="G56">
        <f>'GMT Glossary'!$B$2</f>
        <v>6</v>
      </c>
      <c r="H56" s="2" t="str">
        <f t="shared" si="0"/>
        <v>2024-09-21</v>
      </c>
      <c r="I56" s="2" t="str">
        <f t="shared" si="1"/>
        <v>20:00</v>
      </c>
    </row>
    <row r="57" spans="1:9" x14ac:dyDescent="0.25">
      <c r="A57" s="23">
        <v>45556</v>
      </c>
      <c r="B57" s="20">
        <v>0.6875</v>
      </c>
      <c r="C57" s="24" t="s">
        <v>26</v>
      </c>
      <c r="D57" s="21" t="s">
        <v>78</v>
      </c>
      <c r="E57" s="9" t="s">
        <v>20</v>
      </c>
      <c r="F57" s="8">
        <f>(INT(Table_Kyrgyzstan2[[#This Row],[Date]]) - DATE(1970, 1, 1)) * 86400000</f>
        <v>1726876800000</v>
      </c>
      <c r="G57">
        <f>'GMT Glossary'!$B$2</f>
        <v>6</v>
      </c>
      <c r="H57" s="2" t="str">
        <f t="shared" si="0"/>
        <v>2024-09-21</v>
      </c>
      <c r="I57" s="2" t="str">
        <f t="shared" si="1"/>
        <v>22:30</v>
      </c>
    </row>
    <row r="58" spans="1:9" x14ac:dyDescent="0.25">
      <c r="A58" s="23">
        <v>45556</v>
      </c>
      <c r="B58" s="20">
        <v>0.79166666666666663</v>
      </c>
      <c r="C58" s="24" t="s">
        <v>26</v>
      </c>
      <c r="D58" s="21" t="s">
        <v>79</v>
      </c>
      <c r="E58" s="9" t="s">
        <v>20</v>
      </c>
      <c r="F58" s="8">
        <f>(INT(Table_Kyrgyzstan2[[#This Row],[Date]]) - DATE(1970, 1, 1)) * 86400000</f>
        <v>1726876800000</v>
      </c>
      <c r="G58">
        <f>'GMT Glossary'!$B$2</f>
        <v>6</v>
      </c>
      <c r="H58" s="2" t="str">
        <f t="shared" si="0"/>
        <v>2024-09-22</v>
      </c>
      <c r="I58" s="2" t="str">
        <f t="shared" si="1"/>
        <v>01:00</v>
      </c>
    </row>
    <row r="59" spans="1:9" x14ac:dyDescent="0.25">
      <c r="A59" s="23">
        <v>45556</v>
      </c>
      <c r="B59" s="20">
        <v>0.875</v>
      </c>
      <c r="C59" s="24" t="s">
        <v>26</v>
      </c>
      <c r="D59" s="22" t="s">
        <v>33</v>
      </c>
      <c r="E59" s="9" t="s">
        <v>20</v>
      </c>
      <c r="F59" s="8">
        <f>(INT(Table_Kyrgyzstan2[[#This Row],[Date]]) - DATE(1970, 1, 1)) * 86400000</f>
        <v>1726876800000</v>
      </c>
      <c r="G59">
        <f>'GMT Glossary'!$B$2</f>
        <v>6</v>
      </c>
      <c r="H59" s="2" t="str">
        <f t="shared" si="0"/>
        <v>2024-09-22</v>
      </c>
      <c r="I59" s="2" t="str">
        <f t="shared" si="1"/>
        <v>03:00</v>
      </c>
    </row>
    <row r="60" spans="1:9" x14ac:dyDescent="0.25">
      <c r="A60" s="23">
        <v>45556</v>
      </c>
      <c r="B60" s="20">
        <v>0.95833333333333337</v>
      </c>
      <c r="C60" s="24" t="s">
        <v>26</v>
      </c>
      <c r="D60" s="22" t="s">
        <v>80</v>
      </c>
      <c r="E60" s="9" t="s">
        <v>20</v>
      </c>
      <c r="F60" s="8">
        <f>(INT(Table_Kyrgyzstan2[[#This Row],[Date]]) - DATE(1970, 1, 1)) * 86400000</f>
        <v>1726876800000</v>
      </c>
      <c r="G60">
        <f>'GMT Glossary'!$B$2</f>
        <v>6</v>
      </c>
      <c r="H60" s="2" t="str">
        <f t="shared" si="0"/>
        <v>2024-09-22</v>
      </c>
      <c r="I60" s="2" t="str">
        <f t="shared" si="1"/>
        <v>05:00</v>
      </c>
    </row>
    <row r="61" spans="1:9" x14ac:dyDescent="0.25">
      <c r="A61" s="23">
        <v>45557</v>
      </c>
      <c r="B61" s="20">
        <v>4.1666666666666664E-2</v>
      </c>
      <c r="C61" s="24" t="s">
        <v>26</v>
      </c>
      <c r="D61" s="22" t="s">
        <v>32</v>
      </c>
      <c r="E61" s="9" t="s">
        <v>20</v>
      </c>
      <c r="F61" s="8">
        <f>(INT(Table_Kyrgyzstan2[[#This Row],[Date]]) - DATE(1970, 1, 1)) * 86400000</f>
        <v>1726963200000</v>
      </c>
      <c r="G61">
        <f>'GMT Glossary'!$B$2</f>
        <v>6</v>
      </c>
      <c r="H61" s="2" t="str">
        <f t="shared" si="0"/>
        <v>2024-09-22</v>
      </c>
      <c r="I61" s="2" t="str">
        <f t="shared" si="1"/>
        <v>07:00</v>
      </c>
    </row>
    <row r="62" spans="1:9" x14ac:dyDescent="0.25">
      <c r="A62" s="23">
        <v>45557</v>
      </c>
      <c r="B62" s="20">
        <v>0.125</v>
      </c>
      <c r="C62" s="24" t="s">
        <v>26</v>
      </c>
      <c r="D62" s="22" t="s">
        <v>59</v>
      </c>
      <c r="E62" s="9" t="s">
        <v>20</v>
      </c>
      <c r="F62" s="8">
        <f>(INT(Table_Kyrgyzstan2[[#This Row],[Date]]) - DATE(1970, 1, 1)) * 86400000</f>
        <v>1726963200000</v>
      </c>
      <c r="G62">
        <f>'GMT Glossary'!$B$2</f>
        <v>6</v>
      </c>
      <c r="H62" s="2" t="str">
        <f t="shared" si="0"/>
        <v>2024-09-22</v>
      </c>
      <c r="I62" s="2" t="str">
        <f t="shared" si="1"/>
        <v>09:00</v>
      </c>
    </row>
    <row r="63" spans="1:9" x14ac:dyDescent="0.25">
      <c r="A63" s="23">
        <v>45557</v>
      </c>
      <c r="B63" s="20">
        <v>0.20833333333333334</v>
      </c>
      <c r="C63" s="24" t="s">
        <v>26</v>
      </c>
      <c r="D63" s="22" t="s">
        <v>60</v>
      </c>
      <c r="E63" s="9" t="s">
        <v>20</v>
      </c>
      <c r="F63" s="8">
        <f>(INT(Table_Kyrgyzstan2[[#This Row],[Date]]) - DATE(1970, 1, 1)) * 86400000</f>
        <v>1726963200000</v>
      </c>
      <c r="G63">
        <f>'GMT Glossary'!$B$2</f>
        <v>6</v>
      </c>
      <c r="H63" s="2" t="str">
        <f t="shared" si="0"/>
        <v>2024-09-22</v>
      </c>
      <c r="I63" s="2" t="str">
        <f t="shared" si="1"/>
        <v>11:00</v>
      </c>
    </row>
    <row r="64" spans="1:9" x14ac:dyDescent="0.25">
      <c r="A64" s="23">
        <v>45557</v>
      </c>
      <c r="B64" s="20">
        <v>0.29166666666666669</v>
      </c>
      <c r="C64" s="24" t="s">
        <v>26</v>
      </c>
      <c r="D64" s="22" t="s">
        <v>29</v>
      </c>
      <c r="E64" s="9" t="s">
        <v>20</v>
      </c>
      <c r="F64" s="8">
        <f>(INT(Table_Kyrgyzstan2[[#This Row],[Date]]) - DATE(1970, 1, 1)) * 86400000</f>
        <v>1726963200000</v>
      </c>
      <c r="G64">
        <f>'GMT Glossary'!$B$2</f>
        <v>6</v>
      </c>
      <c r="H64" s="2" t="str">
        <f t="shared" si="0"/>
        <v>2024-09-22</v>
      </c>
      <c r="I64" s="2" t="str">
        <f t="shared" si="1"/>
        <v>13:00</v>
      </c>
    </row>
    <row r="65" spans="1:9" x14ac:dyDescent="0.25">
      <c r="A65" s="23">
        <v>45557</v>
      </c>
      <c r="B65" s="20">
        <v>0.375</v>
      </c>
      <c r="C65" s="24" t="s">
        <v>26</v>
      </c>
      <c r="D65" s="22" t="s">
        <v>27</v>
      </c>
      <c r="E65" s="9" t="s">
        <v>20</v>
      </c>
      <c r="F65" s="8">
        <f>(INT(Table_Kyrgyzstan2[[#This Row],[Date]]) - DATE(1970, 1, 1)) * 86400000</f>
        <v>1726963200000</v>
      </c>
      <c r="G65">
        <f>'GMT Glossary'!$B$2</f>
        <v>6</v>
      </c>
      <c r="H65" s="2" t="str">
        <f t="shared" si="0"/>
        <v>2024-09-22</v>
      </c>
      <c r="I65" s="2" t="str">
        <f t="shared" si="1"/>
        <v>15:00</v>
      </c>
    </row>
    <row r="66" spans="1:9" x14ac:dyDescent="0.25">
      <c r="A66" s="23">
        <v>45557</v>
      </c>
      <c r="B66" s="20">
        <v>0.4375</v>
      </c>
      <c r="C66" s="24" t="s">
        <v>26</v>
      </c>
      <c r="D66" s="21" t="s">
        <v>81</v>
      </c>
      <c r="E66" s="9" t="s">
        <v>20</v>
      </c>
      <c r="F66" s="8">
        <f>(INT(Table_Kyrgyzstan2[[#This Row],[Date]]) - DATE(1970, 1, 1)) * 86400000</f>
        <v>1726963200000</v>
      </c>
      <c r="G66">
        <f>'GMT Glossary'!$B$2</f>
        <v>6</v>
      </c>
      <c r="H66" s="2" t="str">
        <f t="shared" ref="H66:H129" si="2">TEXT(IF(B66&lt;0, A66+1+((B66+(G66/24))-(INT(B66+(G66/24)))), A66+(B66+(G66/24))), "yyyy-mm-dd")</f>
        <v>2024-09-22</v>
      </c>
      <c r="I66" s="2" t="str">
        <f t="shared" ref="I66:I129" si="3">TEXT(IF(B66&lt;0, A66+1+((B66+(G66/24))-(INT(B66+(G66/24)))), A66+(B66+(G66/24))), "hh:mm")</f>
        <v>16:30</v>
      </c>
    </row>
    <row r="67" spans="1:9" x14ac:dyDescent="0.25">
      <c r="A67" s="23">
        <v>45557</v>
      </c>
      <c r="B67" s="20">
        <v>0.54166666666666663</v>
      </c>
      <c r="C67" s="24" t="s">
        <v>26</v>
      </c>
      <c r="D67" s="21" t="s">
        <v>82</v>
      </c>
      <c r="E67" s="9" t="s">
        <v>20</v>
      </c>
      <c r="F67" s="8">
        <f>(INT(Table_Kyrgyzstan2[[#This Row],[Date]]) - DATE(1970, 1, 1)) * 86400000</f>
        <v>1726963200000</v>
      </c>
      <c r="G67">
        <f>'GMT Glossary'!$B$2</f>
        <v>6</v>
      </c>
      <c r="H67" s="2" t="str">
        <f t="shared" si="2"/>
        <v>2024-09-22</v>
      </c>
      <c r="I67" s="2" t="str">
        <f t="shared" si="3"/>
        <v>19:00</v>
      </c>
    </row>
    <row r="68" spans="1:9" x14ac:dyDescent="0.25">
      <c r="A68" s="23">
        <v>45557</v>
      </c>
      <c r="B68" s="20">
        <v>0.64583333333333337</v>
      </c>
      <c r="C68" s="24" t="s">
        <v>26</v>
      </c>
      <c r="D68" s="21" t="s">
        <v>83</v>
      </c>
      <c r="E68" s="9" t="s">
        <v>20</v>
      </c>
      <c r="F68" s="8">
        <f>(INT(Table_Kyrgyzstan2[[#This Row],[Date]]) - DATE(1970, 1, 1)) * 86400000</f>
        <v>1726963200000</v>
      </c>
      <c r="G68">
        <f>'GMT Glossary'!$B$2</f>
        <v>6</v>
      </c>
      <c r="H68" s="2" t="str">
        <f t="shared" si="2"/>
        <v>2024-09-22</v>
      </c>
      <c r="I68" s="2" t="str">
        <f t="shared" si="3"/>
        <v>21:30</v>
      </c>
    </row>
    <row r="69" spans="1:9" x14ac:dyDescent="0.25">
      <c r="A69" s="23">
        <v>45557</v>
      </c>
      <c r="B69" s="20">
        <v>0.78125</v>
      </c>
      <c r="C69" s="24" t="s">
        <v>26</v>
      </c>
      <c r="D69" s="21" t="s">
        <v>84</v>
      </c>
      <c r="E69" s="9" t="s">
        <v>20</v>
      </c>
      <c r="F69" s="8">
        <f>(INT(Table_Kyrgyzstan2[[#This Row],[Date]]) - DATE(1970, 1, 1)) * 86400000</f>
        <v>1726963200000</v>
      </c>
      <c r="G69">
        <f>'GMT Glossary'!$B$2</f>
        <v>6</v>
      </c>
      <c r="H69" s="2" t="str">
        <f t="shared" si="2"/>
        <v>2024-09-23</v>
      </c>
      <c r="I69" s="2" t="str">
        <f t="shared" si="3"/>
        <v>00:45</v>
      </c>
    </row>
    <row r="70" spans="1:9" x14ac:dyDescent="0.25">
      <c r="A70" s="23">
        <v>45557</v>
      </c>
      <c r="B70" s="20">
        <v>0.875</v>
      </c>
      <c r="C70" s="24" t="s">
        <v>26</v>
      </c>
      <c r="D70" s="22" t="s">
        <v>85</v>
      </c>
      <c r="E70" s="9" t="s">
        <v>20</v>
      </c>
      <c r="F70" s="8">
        <f>(INT(Table_Kyrgyzstan2[[#This Row],[Date]]) - DATE(1970, 1, 1)) * 86400000</f>
        <v>1726963200000</v>
      </c>
      <c r="G70">
        <f>'GMT Glossary'!$B$2</f>
        <v>6</v>
      </c>
      <c r="H70" s="2" t="str">
        <f t="shared" si="2"/>
        <v>2024-09-23</v>
      </c>
      <c r="I70" s="2" t="str">
        <f t="shared" si="3"/>
        <v>03:00</v>
      </c>
    </row>
    <row r="71" spans="1:9" x14ac:dyDescent="0.25">
      <c r="A71" s="23">
        <v>45557</v>
      </c>
      <c r="B71" s="20">
        <v>0.95833333333333337</v>
      </c>
      <c r="C71" s="24" t="s">
        <v>26</v>
      </c>
      <c r="D71" s="22" t="s">
        <v>86</v>
      </c>
      <c r="E71" s="9" t="s">
        <v>20</v>
      </c>
      <c r="F71" s="8">
        <f>(INT(Table_Kyrgyzstan2[[#This Row],[Date]]) - DATE(1970, 1, 1)) * 86400000</f>
        <v>1726963200000</v>
      </c>
      <c r="G71">
        <f>'GMT Glossary'!$B$2</f>
        <v>6</v>
      </c>
      <c r="H71" s="2" t="str">
        <f t="shared" si="2"/>
        <v>2024-09-23</v>
      </c>
      <c r="I71" s="2" t="str">
        <f t="shared" si="3"/>
        <v>05:00</v>
      </c>
    </row>
    <row r="72" spans="1:9" x14ac:dyDescent="0.25">
      <c r="A72" s="23">
        <v>45558</v>
      </c>
      <c r="B72" s="20">
        <v>4.1666666666666664E-2</v>
      </c>
      <c r="C72" s="24" t="s">
        <v>26</v>
      </c>
      <c r="D72" s="22" t="s">
        <v>87</v>
      </c>
      <c r="E72" s="9" t="s">
        <v>20</v>
      </c>
      <c r="F72" s="8">
        <f>(INT(Table_Kyrgyzstan2[[#This Row],[Date]]) - DATE(1970, 1, 1)) * 86400000</f>
        <v>1727049600000</v>
      </c>
      <c r="G72">
        <f>'GMT Glossary'!$B$2</f>
        <v>6</v>
      </c>
      <c r="H72" s="2" t="str">
        <f t="shared" si="2"/>
        <v>2024-09-23</v>
      </c>
      <c r="I72" s="2" t="str">
        <f t="shared" si="3"/>
        <v>07:00</v>
      </c>
    </row>
    <row r="73" spans="1:9" x14ac:dyDescent="0.25">
      <c r="A73" s="23">
        <v>45558</v>
      </c>
      <c r="B73" s="20">
        <v>0.125</v>
      </c>
      <c r="C73" s="24" t="s">
        <v>26</v>
      </c>
      <c r="D73" s="22" t="s">
        <v>88</v>
      </c>
      <c r="E73" s="9" t="s">
        <v>20</v>
      </c>
      <c r="F73" s="8">
        <f>(INT(Table_Kyrgyzstan2[[#This Row],[Date]]) - DATE(1970, 1, 1)) * 86400000</f>
        <v>1727049600000</v>
      </c>
      <c r="G73">
        <f>'GMT Glossary'!$B$2</f>
        <v>6</v>
      </c>
      <c r="H73" s="2" t="str">
        <f t="shared" si="2"/>
        <v>2024-09-23</v>
      </c>
      <c r="I73" s="2" t="str">
        <f t="shared" si="3"/>
        <v>09:00</v>
      </c>
    </row>
    <row r="74" spans="1:9" x14ac:dyDescent="0.25">
      <c r="A74" s="23">
        <v>45558</v>
      </c>
      <c r="B74" s="20">
        <v>0.20833333333333334</v>
      </c>
      <c r="C74" s="24" t="s">
        <v>26</v>
      </c>
      <c r="D74" s="22" t="s">
        <v>89</v>
      </c>
      <c r="E74" s="9" t="s">
        <v>20</v>
      </c>
      <c r="F74" s="8">
        <f>(INT(Table_Kyrgyzstan2[[#This Row],[Date]]) - DATE(1970, 1, 1)) * 86400000</f>
        <v>1727049600000</v>
      </c>
      <c r="G74">
        <f>'GMT Glossary'!$B$2</f>
        <v>6</v>
      </c>
      <c r="H74" s="2" t="str">
        <f t="shared" si="2"/>
        <v>2024-09-23</v>
      </c>
      <c r="I74" s="2" t="str">
        <f t="shared" si="3"/>
        <v>11:00</v>
      </c>
    </row>
    <row r="75" spans="1:9" x14ac:dyDescent="0.25">
      <c r="A75" s="23">
        <v>45558</v>
      </c>
      <c r="B75" s="20">
        <v>0.29166666666666669</v>
      </c>
      <c r="C75" s="24" t="s">
        <v>26</v>
      </c>
      <c r="D75" s="22" t="s">
        <v>85</v>
      </c>
      <c r="E75" s="9" t="s">
        <v>20</v>
      </c>
      <c r="F75" s="8">
        <f>(INT(Table_Kyrgyzstan2[[#This Row],[Date]]) - DATE(1970, 1, 1)) * 86400000</f>
        <v>1727049600000</v>
      </c>
      <c r="G75">
        <f>'GMT Glossary'!$B$2</f>
        <v>6</v>
      </c>
      <c r="H75" s="2" t="str">
        <f t="shared" si="2"/>
        <v>2024-09-23</v>
      </c>
      <c r="I75" s="2" t="str">
        <f t="shared" si="3"/>
        <v>13:00</v>
      </c>
    </row>
    <row r="76" spans="1:9" x14ac:dyDescent="0.25">
      <c r="A76" s="23">
        <v>45558</v>
      </c>
      <c r="B76" s="20">
        <v>0.375</v>
      </c>
      <c r="C76" s="24" t="s">
        <v>26</v>
      </c>
      <c r="D76" s="22" t="s">
        <v>90</v>
      </c>
      <c r="E76" s="9" t="s">
        <v>20</v>
      </c>
      <c r="F76" s="8">
        <f>(INT(Table_Kyrgyzstan2[[#This Row],[Date]]) - DATE(1970, 1, 1)) * 86400000</f>
        <v>1727049600000</v>
      </c>
      <c r="G76">
        <f>'GMT Glossary'!$B$2</f>
        <v>6</v>
      </c>
      <c r="H76" s="2" t="str">
        <f t="shared" si="2"/>
        <v>2024-09-23</v>
      </c>
      <c r="I76" s="2" t="str">
        <f t="shared" si="3"/>
        <v>15:00</v>
      </c>
    </row>
    <row r="77" spans="1:9" x14ac:dyDescent="0.25">
      <c r="A77" s="23">
        <v>45558</v>
      </c>
      <c r="B77" s="20">
        <v>0.45833333333333331</v>
      </c>
      <c r="C77" s="24" t="s">
        <v>26</v>
      </c>
      <c r="D77" s="22" t="s">
        <v>91</v>
      </c>
      <c r="E77" s="9" t="s">
        <v>20</v>
      </c>
      <c r="F77" s="8">
        <f>(INT(Table_Kyrgyzstan2[[#This Row],[Date]]) - DATE(1970, 1, 1)) * 86400000</f>
        <v>1727049600000</v>
      </c>
      <c r="G77">
        <f>'GMT Glossary'!$B$2</f>
        <v>6</v>
      </c>
      <c r="H77" s="2" t="str">
        <f t="shared" si="2"/>
        <v>2024-09-23</v>
      </c>
      <c r="I77" s="2" t="str">
        <f t="shared" si="3"/>
        <v>17:00</v>
      </c>
    </row>
    <row r="78" spans="1:9" x14ac:dyDescent="0.25">
      <c r="A78" s="23">
        <v>45558</v>
      </c>
      <c r="B78" s="20">
        <v>0.54166666666666663</v>
      </c>
      <c r="C78" s="24" t="s">
        <v>26</v>
      </c>
      <c r="D78" s="22" t="s">
        <v>92</v>
      </c>
      <c r="E78" s="9" t="s">
        <v>20</v>
      </c>
      <c r="F78" s="8">
        <f>(INT(Table_Kyrgyzstan2[[#This Row],[Date]]) - DATE(1970, 1, 1)) * 86400000</f>
        <v>1727049600000</v>
      </c>
      <c r="G78">
        <f>'GMT Glossary'!$B$2</f>
        <v>6</v>
      </c>
      <c r="H78" s="2" t="str">
        <f t="shared" si="2"/>
        <v>2024-09-23</v>
      </c>
      <c r="I78" s="2" t="str">
        <f t="shared" si="3"/>
        <v>19:00</v>
      </c>
    </row>
    <row r="79" spans="1:9" x14ac:dyDescent="0.25">
      <c r="A79" s="23">
        <v>45558</v>
      </c>
      <c r="B79" s="20">
        <v>0.625</v>
      </c>
      <c r="C79" s="24" t="s">
        <v>26</v>
      </c>
      <c r="D79" s="22" t="s">
        <v>89</v>
      </c>
      <c r="E79" s="9" t="s">
        <v>20</v>
      </c>
      <c r="F79" s="8">
        <f>(INT(Table_Kyrgyzstan2[[#This Row],[Date]]) - DATE(1970, 1, 1)) * 86400000</f>
        <v>1727049600000</v>
      </c>
      <c r="G79">
        <f>'GMT Glossary'!$B$2</f>
        <v>6</v>
      </c>
      <c r="H79" s="2" t="str">
        <f t="shared" si="2"/>
        <v>2024-09-23</v>
      </c>
      <c r="I79" s="2" t="str">
        <f t="shared" si="3"/>
        <v>21:00</v>
      </c>
    </row>
    <row r="80" spans="1:9" x14ac:dyDescent="0.25">
      <c r="A80" s="23">
        <v>45558</v>
      </c>
      <c r="B80" s="20">
        <v>0.70833333333333337</v>
      </c>
      <c r="C80" s="24" t="s">
        <v>26</v>
      </c>
      <c r="D80" s="22" t="s">
        <v>87</v>
      </c>
      <c r="E80" s="9" t="s">
        <v>20</v>
      </c>
      <c r="F80" s="8">
        <f>(INT(Table_Kyrgyzstan2[[#This Row],[Date]]) - DATE(1970, 1, 1)) * 86400000</f>
        <v>1727049600000</v>
      </c>
      <c r="G80">
        <f>'GMT Glossary'!$B$2</f>
        <v>6</v>
      </c>
      <c r="H80" s="2" t="str">
        <f t="shared" si="2"/>
        <v>2024-09-23</v>
      </c>
      <c r="I80" s="2" t="str">
        <f t="shared" si="3"/>
        <v>23:00</v>
      </c>
    </row>
    <row r="81" spans="1:9" x14ac:dyDescent="0.25">
      <c r="A81" s="23">
        <v>45558</v>
      </c>
      <c r="B81" s="20">
        <v>0.78125</v>
      </c>
      <c r="C81" s="24" t="s">
        <v>26</v>
      </c>
      <c r="D81" s="21" t="s">
        <v>93</v>
      </c>
      <c r="E81" s="9" t="s">
        <v>20</v>
      </c>
      <c r="F81" s="8">
        <f>(INT(Table_Kyrgyzstan2[[#This Row],[Date]]) - DATE(1970, 1, 1)) * 86400000</f>
        <v>1727049600000</v>
      </c>
      <c r="G81">
        <f>'GMT Glossary'!$B$2</f>
        <v>6</v>
      </c>
      <c r="H81" s="2" t="str">
        <f t="shared" si="2"/>
        <v>2024-09-24</v>
      </c>
      <c r="I81" s="2" t="str">
        <f t="shared" si="3"/>
        <v>00:45</v>
      </c>
    </row>
    <row r="82" spans="1:9" x14ac:dyDescent="0.25">
      <c r="A82" s="23">
        <v>45558</v>
      </c>
      <c r="B82" s="20">
        <v>0.875</v>
      </c>
      <c r="C82" s="24" t="s">
        <v>26</v>
      </c>
      <c r="D82" s="22" t="s">
        <v>91</v>
      </c>
      <c r="E82" s="9" t="s">
        <v>20</v>
      </c>
      <c r="F82" s="8">
        <f>(INT(Table_Kyrgyzstan2[[#This Row],[Date]]) - DATE(1970, 1, 1)) * 86400000</f>
        <v>1727049600000</v>
      </c>
      <c r="G82">
        <f>'GMT Glossary'!$B$2</f>
        <v>6</v>
      </c>
      <c r="H82" s="2" t="str">
        <f t="shared" si="2"/>
        <v>2024-09-24</v>
      </c>
      <c r="I82" s="2" t="str">
        <f t="shared" si="3"/>
        <v>03:00</v>
      </c>
    </row>
    <row r="83" spans="1:9" x14ac:dyDescent="0.25">
      <c r="A83" s="23">
        <v>45558</v>
      </c>
      <c r="B83" s="20">
        <v>0.95833333333333337</v>
      </c>
      <c r="C83" s="24" t="s">
        <v>26</v>
      </c>
      <c r="D83" s="22" t="s">
        <v>94</v>
      </c>
      <c r="E83" s="9" t="s">
        <v>20</v>
      </c>
      <c r="F83" s="8">
        <f>(INT(Table_Kyrgyzstan2[[#This Row],[Date]]) - DATE(1970, 1, 1)) * 86400000</f>
        <v>1727049600000</v>
      </c>
      <c r="G83">
        <f>'GMT Glossary'!$B$2</f>
        <v>6</v>
      </c>
      <c r="H83" s="2" t="str">
        <f t="shared" si="2"/>
        <v>2024-09-24</v>
      </c>
      <c r="I83" s="2" t="str">
        <f t="shared" si="3"/>
        <v>05:00</v>
      </c>
    </row>
    <row r="84" spans="1:9" x14ac:dyDescent="0.25">
      <c r="A84" s="23">
        <v>45559</v>
      </c>
      <c r="B84" s="20">
        <v>4.1666666666666664E-2</v>
      </c>
      <c r="C84" s="24" t="s">
        <v>26</v>
      </c>
      <c r="D84" s="22" t="s">
        <v>90</v>
      </c>
      <c r="E84" s="9" t="s">
        <v>20</v>
      </c>
      <c r="F84" s="8">
        <f>(INT(Table_Kyrgyzstan2[[#This Row],[Date]]) - DATE(1970, 1, 1)) * 86400000</f>
        <v>1727136000000</v>
      </c>
      <c r="G84">
        <f>'GMT Glossary'!$B$2</f>
        <v>6</v>
      </c>
      <c r="H84" s="2" t="str">
        <f t="shared" si="2"/>
        <v>2024-09-24</v>
      </c>
      <c r="I84" s="2" t="str">
        <f t="shared" si="3"/>
        <v>07:00</v>
      </c>
    </row>
    <row r="85" spans="1:9" x14ac:dyDescent="0.25">
      <c r="A85" s="23">
        <v>45559</v>
      </c>
      <c r="B85" s="20">
        <v>0.125</v>
      </c>
      <c r="C85" s="24" t="s">
        <v>26</v>
      </c>
      <c r="D85" s="22" t="s">
        <v>86</v>
      </c>
      <c r="E85" s="9" t="s">
        <v>20</v>
      </c>
      <c r="F85" s="8">
        <f>(INT(Table_Kyrgyzstan2[[#This Row],[Date]]) - DATE(1970, 1, 1)) * 86400000</f>
        <v>1727136000000</v>
      </c>
      <c r="G85">
        <f>'GMT Glossary'!$B$2</f>
        <v>6</v>
      </c>
      <c r="H85" s="2" t="str">
        <f t="shared" si="2"/>
        <v>2024-09-24</v>
      </c>
      <c r="I85" s="2" t="str">
        <f t="shared" si="3"/>
        <v>09:00</v>
      </c>
    </row>
    <row r="86" spans="1:9" x14ac:dyDescent="0.25">
      <c r="A86" s="23">
        <v>45559</v>
      </c>
      <c r="B86" s="20">
        <v>0.20833333333333334</v>
      </c>
      <c r="C86" s="24" t="s">
        <v>26</v>
      </c>
      <c r="D86" s="22" t="s">
        <v>88</v>
      </c>
      <c r="E86" s="9" t="s">
        <v>20</v>
      </c>
      <c r="F86" s="8">
        <f>(INT(Table_Kyrgyzstan2[[#This Row],[Date]]) - DATE(1970, 1, 1)) * 86400000</f>
        <v>1727136000000</v>
      </c>
      <c r="G86">
        <f>'GMT Glossary'!$B$2</f>
        <v>6</v>
      </c>
      <c r="H86" s="2" t="str">
        <f t="shared" si="2"/>
        <v>2024-09-24</v>
      </c>
      <c r="I86" s="2" t="str">
        <f t="shared" si="3"/>
        <v>11:00</v>
      </c>
    </row>
    <row r="87" spans="1:9" x14ac:dyDescent="0.25">
      <c r="A87" s="23">
        <v>45559</v>
      </c>
      <c r="B87" s="20">
        <v>0.29166666666666669</v>
      </c>
      <c r="C87" s="24" t="s">
        <v>26</v>
      </c>
      <c r="D87" s="22" t="s">
        <v>85</v>
      </c>
      <c r="E87" s="11" t="s">
        <v>20</v>
      </c>
      <c r="F87" s="8">
        <f>(INT(Table_Kyrgyzstan2[[#This Row],[Date]]) - DATE(1970, 1, 1)) * 86400000</f>
        <v>1727136000000</v>
      </c>
      <c r="G87" s="10">
        <f>'GMT Glossary'!$B$2</f>
        <v>6</v>
      </c>
      <c r="H87" s="2" t="str">
        <f t="shared" si="2"/>
        <v>2024-09-24</v>
      </c>
      <c r="I87" s="2" t="str">
        <f t="shared" si="3"/>
        <v>13:00</v>
      </c>
    </row>
    <row r="88" spans="1:9" x14ac:dyDescent="0.25">
      <c r="A88" s="12">
        <v>45552</v>
      </c>
      <c r="B88" s="15">
        <v>0.375</v>
      </c>
      <c r="C88" s="14" t="s">
        <v>26</v>
      </c>
      <c r="D88" s="19" t="s">
        <v>57</v>
      </c>
      <c r="E88" s="11" t="s">
        <v>22</v>
      </c>
      <c r="F88" s="8">
        <f>(INT(Table_Kyrgyzstan2[[#This Row],[Date]]) - DATE(1970, 1, 1)) * 86400000</f>
        <v>1726531200000</v>
      </c>
      <c r="G88" s="10">
        <f>'GMT Glossary'!$B$2</f>
        <v>6</v>
      </c>
      <c r="H88" s="2" t="str">
        <f t="shared" si="2"/>
        <v>2024-09-17</v>
      </c>
      <c r="I88" s="2" t="str">
        <f t="shared" si="3"/>
        <v>15:00</v>
      </c>
    </row>
    <row r="89" spans="1:9" x14ac:dyDescent="0.25">
      <c r="A89" s="12">
        <v>45552</v>
      </c>
      <c r="B89" s="15">
        <v>0.45833333333333331</v>
      </c>
      <c r="C89" s="14" t="s">
        <v>26</v>
      </c>
      <c r="D89" s="19" t="s">
        <v>95</v>
      </c>
      <c r="E89" s="11" t="s">
        <v>22</v>
      </c>
      <c r="F89" s="8">
        <f>(INT(Table_Kyrgyzstan2[[#This Row],[Date]]) - DATE(1970, 1, 1)) * 86400000</f>
        <v>1726531200000</v>
      </c>
      <c r="G89" s="10">
        <f>'GMT Glossary'!$B$2</f>
        <v>6</v>
      </c>
      <c r="H89" s="2" t="str">
        <f t="shared" si="2"/>
        <v>2024-09-17</v>
      </c>
      <c r="I89" s="2" t="str">
        <f t="shared" si="3"/>
        <v>17:00</v>
      </c>
    </row>
    <row r="90" spans="1:9" x14ac:dyDescent="0.25">
      <c r="A90" s="12">
        <v>45552</v>
      </c>
      <c r="B90" s="15">
        <v>0.54166666666666663</v>
      </c>
      <c r="C90" s="14" t="s">
        <v>26</v>
      </c>
      <c r="D90" s="19" t="s">
        <v>96</v>
      </c>
      <c r="E90" s="11" t="s">
        <v>22</v>
      </c>
      <c r="F90" s="8">
        <f>(INT(Table_Kyrgyzstan2[[#This Row],[Date]]) - DATE(1970, 1, 1)) * 86400000</f>
        <v>1726531200000</v>
      </c>
      <c r="G90" s="10">
        <f>'GMT Glossary'!$B$2</f>
        <v>6</v>
      </c>
      <c r="H90" s="2" t="str">
        <f t="shared" si="2"/>
        <v>2024-09-17</v>
      </c>
      <c r="I90" s="2" t="str">
        <f t="shared" si="3"/>
        <v>19:00</v>
      </c>
    </row>
    <row r="91" spans="1:9" x14ac:dyDescent="0.25">
      <c r="A91" s="12">
        <v>45552</v>
      </c>
      <c r="B91" s="15">
        <v>0.625</v>
      </c>
      <c r="C91" s="14" t="s">
        <v>26</v>
      </c>
      <c r="D91" s="19" t="s">
        <v>43</v>
      </c>
      <c r="E91" s="11" t="s">
        <v>22</v>
      </c>
      <c r="F91" s="8">
        <f>(INT(Table_Kyrgyzstan2[[#This Row],[Date]]) - DATE(1970, 1, 1)) * 86400000</f>
        <v>1726531200000</v>
      </c>
      <c r="G91" s="10">
        <f>'GMT Glossary'!$B$2</f>
        <v>6</v>
      </c>
      <c r="H91" s="2" t="str">
        <f t="shared" si="2"/>
        <v>2024-09-17</v>
      </c>
      <c r="I91" s="2" t="str">
        <f t="shared" si="3"/>
        <v>21:00</v>
      </c>
    </row>
    <row r="92" spans="1:9" x14ac:dyDescent="0.25">
      <c r="A92" s="12">
        <v>45552</v>
      </c>
      <c r="B92" s="15">
        <v>0.70833333333333337</v>
      </c>
      <c r="C92" s="14" t="s">
        <v>26</v>
      </c>
      <c r="D92" s="19" t="s">
        <v>48</v>
      </c>
      <c r="E92" s="11" t="s">
        <v>22</v>
      </c>
      <c r="F92" s="8">
        <f>(INT(Table_Kyrgyzstan2[[#This Row],[Date]]) - DATE(1970, 1, 1)) * 86400000</f>
        <v>1726531200000</v>
      </c>
      <c r="G92" s="10">
        <f>'GMT Glossary'!$B$2</f>
        <v>6</v>
      </c>
      <c r="H92" s="2" t="str">
        <f t="shared" si="2"/>
        <v>2024-09-17</v>
      </c>
      <c r="I92" s="2" t="str">
        <f t="shared" si="3"/>
        <v>23:00</v>
      </c>
    </row>
    <row r="93" spans="1:9" x14ac:dyDescent="0.25">
      <c r="A93" s="12">
        <v>45552</v>
      </c>
      <c r="B93" s="15">
        <v>0.78125</v>
      </c>
      <c r="C93" s="14" t="s">
        <v>26</v>
      </c>
      <c r="D93" s="19" t="s">
        <v>97</v>
      </c>
      <c r="E93" s="11" t="s">
        <v>22</v>
      </c>
      <c r="F93" s="8">
        <f>(INT(Table_Kyrgyzstan2[[#This Row],[Date]]) - DATE(1970, 1, 1)) * 86400000</f>
        <v>1726531200000</v>
      </c>
      <c r="G93" s="10">
        <f>'GMT Glossary'!$B$2</f>
        <v>6</v>
      </c>
      <c r="H93" s="2" t="str">
        <f t="shared" si="2"/>
        <v>2024-09-18</v>
      </c>
      <c r="I93" s="2" t="str">
        <f t="shared" si="3"/>
        <v>00:45</v>
      </c>
    </row>
    <row r="94" spans="1:9" x14ac:dyDescent="0.25">
      <c r="A94" s="12">
        <v>45552</v>
      </c>
      <c r="B94" s="15">
        <v>0.875</v>
      </c>
      <c r="C94" s="14" t="s">
        <v>26</v>
      </c>
      <c r="D94" s="19" t="s">
        <v>44</v>
      </c>
      <c r="E94" s="11" t="s">
        <v>22</v>
      </c>
      <c r="F94" s="8">
        <f>(INT(Table_Kyrgyzstan2[[#This Row],[Date]]) - DATE(1970, 1, 1)) * 86400000</f>
        <v>1726531200000</v>
      </c>
      <c r="G94" s="10">
        <f>'GMT Glossary'!$B$2</f>
        <v>6</v>
      </c>
      <c r="H94" s="2" t="str">
        <f t="shared" si="2"/>
        <v>2024-09-18</v>
      </c>
      <c r="I94" s="2" t="str">
        <f t="shared" si="3"/>
        <v>03:00</v>
      </c>
    </row>
    <row r="95" spans="1:9" x14ac:dyDescent="0.25">
      <c r="A95" s="12">
        <v>45552</v>
      </c>
      <c r="B95" s="15">
        <v>0.95833333333333337</v>
      </c>
      <c r="C95" s="14" t="s">
        <v>26</v>
      </c>
      <c r="D95" s="19" t="s">
        <v>98</v>
      </c>
      <c r="E95" s="11" t="s">
        <v>22</v>
      </c>
      <c r="F95" s="8">
        <f>(INT(Table_Kyrgyzstan2[[#This Row],[Date]]) - DATE(1970, 1, 1)) * 86400000</f>
        <v>1726531200000</v>
      </c>
      <c r="G95" s="10">
        <f>'GMT Glossary'!$B$2</f>
        <v>6</v>
      </c>
      <c r="H95" s="2" t="str">
        <f t="shared" si="2"/>
        <v>2024-09-18</v>
      </c>
      <c r="I95" s="2" t="str">
        <f t="shared" si="3"/>
        <v>05:00</v>
      </c>
    </row>
    <row r="96" spans="1:9" x14ac:dyDescent="0.25">
      <c r="A96" s="12">
        <v>45553</v>
      </c>
      <c r="B96" s="15">
        <v>4.1666666666666664E-2</v>
      </c>
      <c r="C96" s="14" t="s">
        <v>26</v>
      </c>
      <c r="D96" s="19" t="s">
        <v>52</v>
      </c>
      <c r="E96" s="11" t="s">
        <v>22</v>
      </c>
      <c r="F96" s="8">
        <f>(INT(Table_Kyrgyzstan2[[#This Row],[Date]]) - DATE(1970, 1, 1)) * 86400000</f>
        <v>1726617600000</v>
      </c>
      <c r="G96" s="10">
        <f>'GMT Glossary'!$B$2</f>
        <v>6</v>
      </c>
      <c r="H96" s="2" t="str">
        <f t="shared" si="2"/>
        <v>2024-09-18</v>
      </c>
      <c r="I96" s="2" t="str">
        <f t="shared" si="3"/>
        <v>07:00</v>
      </c>
    </row>
    <row r="97" spans="1:9" x14ac:dyDescent="0.25">
      <c r="A97" s="12">
        <v>45553</v>
      </c>
      <c r="B97" s="15">
        <v>0.125</v>
      </c>
      <c r="C97" s="14" t="s">
        <v>18</v>
      </c>
      <c r="D97" s="19" t="s">
        <v>99</v>
      </c>
      <c r="E97" s="11" t="s">
        <v>22</v>
      </c>
      <c r="F97" s="8">
        <f>(INT(Table_Kyrgyzstan2[[#This Row],[Date]]) - DATE(1970, 1, 1)) * 86400000</f>
        <v>1726617600000</v>
      </c>
      <c r="G97" s="10">
        <f>'GMT Glossary'!$B$2</f>
        <v>6</v>
      </c>
      <c r="H97" s="2" t="str">
        <f t="shared" si="2"/>
        <v>2024-09-18</v>
      </c>
      <c r="I97" s="2" t="str">
        <f t="shared" si="3"/>
        <v>09:00</v>
      </c>
    </row>
    <row r="98" spans="1:9" x14ac:dyDescent="0.25">
      <c r="A98" s="12">
        <v>45553</v>
      </c>
      <c r="B98" s="15">
        <v>0.25</v>
      </c>
      <c r="C98" s="14" t="s">
        <v>37</v>
      </c>
      <c r="D98" s="19" t="s">
        <v>38</v>
      </c>
      <c r="E98" s="11" t="s">
        <v>22</v>
      </c>
      <c r="F98" s="8">
        <f>(INT(Table_Kyrgyzstan2[[#This Row],[Date]]) - DATE(1970, 1, 1)) * 86400000</f>
        <v>1726617600000</v>
      </c>
      <c r="G98" s="10">
        <f>'GMT Glossary'!$B$2</f>
        <v>6</v>
      </c>
      <c r="H98" s="2" t="str">
        <f t="shared" si="2"/>
        <v>2024-09-18</v>
      </c>
      <c r="I98" s="2" t="str">
        <f t="shared" si="3"/>
        <v>12:00</v>
      </c>
    </row>
    <row r="99" spans="1:9" x14ac:dyDescent="0.25">
      <c r="A99" s="12">
        <v>45553</v>
      </c>
      <c r="B99" s="15">
        <v>0.375</v>
      </c>
      <c r="C99" s="14" t="s">
        <v>26</v>
      </c>
      <c r="D99" s="19" t="s">
        <v>45</v>
      </c>
      <c r="E99" s="11" t="s">
        <v>22</v>
      </c>
      <c r="F99" s="8">
        <f>(INT(Table_Kyrgyzstan2[[#This Row],[Date]]) - DATE(1970, 1, 1)) * 86400000</f>
        <v>1726617600000</v>
      </c>
      <c r="G99" s="10">
        <f>'GMT Glossary'!$B$2</f>
        <v>6</v>
      </c>
      <c r="H99" s="2" t="str">
        <f t="shared" si="2"/>
        <v>2024-09-18</v>
      </c>
      <c r="I99" s="2" t="str">
        <f t="shared" si="3"/>
        <v>15:00</v>
      </c>
    </row>
    <row r="100" spans="1:9" x14ac:dyDescent="0.25">
      <c r="A100" s="12">
        <v>45553</v>
      </c>
      <c r="B100" s="15">
        <v>0.45833333333333331</v>
      </c>
      <c r="C100" s="14" t="s">
        <v>26</v>
      </c>
      <c r="D100" s="19" t="s">
        <v>57</v>
      </c>
      <c r="E100" s="11" t="s">
        <v>22</v>
      </c>
      <c r="F100" s="8">
        <f>(INT(Table_Kyrgyzstan2[[#This Row],[Date]]) - DATE(1970, 1, 1)) * 86400000</f>
        <v>1726617600000</v>
      </c>
      <c r="G100" s="10">
        <f>'GMT Glossary'!$B$2</f>
        <v>6</v>
      </c>
      <c r="H100" s="2" t="str">
        <f t="shared" si="2"/>
        <v>2024-09-18</v>
      </c>
      <c r="I100" s="2" t="str">
        <f t="shared" si="3"/>
        <v>17:00</v>
      </c>
    </row>
    <row r="101" spans="1:9" x14ac:dyDescent="0.25">
      <c r="A101" s="12">
        <v>45553</v>
      </c>
      <c r="B101" s="15">
        <v>0.54166666666666663</v>
      </c>
      <c r="C101" s="14" t="s">
        <v>26</v>
      </c>
      <c r="D101" s="19" t="s">
        <v>100</v>
      </c>
      <c r="E101" s="11" t="s">
        <v>22</v>
      </c>
      <c r="F101" s="8">
        <f>(INT(Table_Kyrgyzstan2[[#This Row],[Date]]) - DATE(1970, 1, 1)) * 86400000</f>
        <v>1726617600000</v>
      </c>
      <c r="G101" s="10">
        <f>'GMT Glossary'!$B$2</f>
        <v>6</v>
      </c>
      <c r="H101" s="2" t="str">
        <f t="shared" si="2"/>
        <v>2024-09-18</v>
      </c>
      <c r="I101" s="2" t="str">
        <f t="shared" si="3"/>
        <v>19:00</v>
      </c>
    </row>
    <row r="102" spans="1:9" x14ac:dyDescent="0.25">
      <c r="A102" s="12">
        <v>45553</v>
      </c>
      <c r="B102" s="15">
        <v>0.625</v>
      </c>
      <c r="C102" s="14" t="s">
        <v>26</v>
      </c>
      <c r="D102" s="19" t="s">
        <v>42</v>
      </c>
      <c r="E102" s="11" t="s">
        <v>22</v>
      </c>
      <c r="F102" s="8">
        <f>(INT(Table_Kyrgyzstan2[[#This Row],[Date]]) - DATE(1970, 1, 1)) * 86400000</f>
        <v>1726617600000</v>
      </c>
      <c r="G102" s="10">
        <f>'GMT Glossary'!$B$2</f>
        <v>6</v>
      </c>
      <c r="H102" s="2" t="str">
        <f t="shared" si="2"/>
        <v>2024-09-18</v>
      </c>
      <c r="I102" s="2" t="str">
        <f t="shared" si="3"/>
        <v>21:00</v>
      </c>
    </row>
    <row r="103" spans="1:9" x14ac:dyDescent="0.25">
      <c r="A103" s="12">
        <v>45553</v>
      </c>
      <c r="B103" s="15">
        <v>0.70833333333333337</v>
      </c>
      <c r="C103" s="14" t="s">
        <v>26</v>
      </c>
      <c r="D103" s="19" t="s">
        <v>101</v>
      </c>
      <c r="E103" s="11" t="s">
        <v>22</v>
      </c>
      <c r="F103" s="8">
        <f>(INT(Table_Kyrgyzstan2[[#This Row],[Date]]) - DATE(1970, 1, 1)) * 86400000</f>
        <v>1726617600000</v>
      </c>
      <c r="G103" s="10">
        <f>'GMT Glossary'!$B$2</f>
        <v>6</v>
      </c>
      <c r="H103" s="2" t="str">
        <f t="shared" si="2"/>
        <v>2024-09-18</v>
      </c>
      <c r="I103" s="2" t="str">
        <f t="shared" si="3"/>
        <v>23:00</v>
      </c>
    </row>
    <row r="104" spans="1:9" x14ac:dyDescent="0.25">
      <c r="A104" s="12">
        <v>45553</v>
      </c>
      <c r="B104" s="15">
        <v>0.79166666666666663</v>
      </c>
      <c r="C104" s="14" t="s">
        <v>26</v>
      </c>
      <c r="D104" s="19" t="s">
        <v>49</v>
      </c>
      <c r="E104" s="11" t="s">
        <v>22</v>
      </c>
      <c r="F104" s="8">
        <f>(INT(Table_Kyrgyzstan2[[#This Row],[Date]]) - DATE(1970, 1, 1)) * 86400000</f>
        <v>1726617600000</v>
      </c>
      <c r="G104" s="10">
        <f>'GMT Glossary'!$B$2</f>
        <v>6</v>
      </c>
      <c r="H104" s="2" t="str">
        <f t="shared" si="2"/>
        <v>2024-09-19</v>
      </c>
      <c r="I104" s="2" t="str">
        <f t="shared" si="3"/>
        <v>01:00</v>
      </c>
    </row>
    <row r="105" spans="1:9" x14ac:dyDescent="0.25">
      <c r="A105" s="12">
        <v>45553</v>
      </c>
      <c r="B105" s="15">
        <v>0.875</v>
      </c>
      <c r="C105" s="14" t="s">
        <v>26</v>
      </c>
      <c r="D105" s="19" t="s">
        <v>43</v>
      </c>
      <c r="E105" s="11" t="s">
        <v>22</v>
      </c>
      <c r="F105" s="8">
        <f>(INT(Table_Kyrgyzstan2[[#This Row],[Date]]) - DATE(1970, 1, 1)) * 86400000</f>
        <v>1726617600000</v>
      </c>
      <c r="G105" s="10">
        <f>'GMT Glossary'!$B$2</f>
        <v>6</v>
      </c>
      <c r="H105" s="2" t="str">
        <f t="shared" si="2"/>
        <v>2024-09-19</v>
      </c>
      <c r="I105" s="2" t="str">
        <f t="shared" si="3"/>
        <v>03:00</v>
      </c>
    </row>
    <row r="106" spans="1:9" x14ac:dyDescent="0.25">
      <c r="A106" s="12">
        <v>45553</v>
      </c>
      <c r="B106" s="15">
        <v>0.95833333333333337</v>
      </c>
      <c r="C106" s="14" t="s">
        <v>26</v>
      </c>
      <c r="D106" s="19" t="s">
        <v>102</v>
      </c>
      <c r="E106" s="11" t="s">
        <v>22</v>
      </c>
      <c r="F106" s="8">
        <f>(INT(Table_Kyrgyzstan2[[#This Row],[Date]]) - DATE(1970, 1, 1)) * 86400000</f>
        <v>1726617600000</v>
      </c>
      <c r="G106" s="10">
        <f>'GMT Glossary'!$B$2</f>
        <v>6</v>
      </c>
      <c r="H106" s="2" t="str">
        <f t="shared" si="2"/>
        <v>2024-09-19</v>
      </c>
      <c r="I106" s="2" t="str">
        <f t="shared" si="3"/>
        <v>05:00</v>
      </c>
    </row>
    <row r="107" spans="1:9" x14ac:dyDescent="0.25">
      <c r="A107" s="12">
        <v>45554</v>
      </c>
      <c r="B107" s="15">
        <v>4.1666666666666664E-2</v>
      </c>
      <c r="C107" s="14" t="s">
        <v>37</v>
      </c>
      <c r="D107" s="19" t="s">
        <v>46</v>
      </c>
      <c r="E107" s="11" t="s">
        <v>22</v>
      </c>
      <c r="F107" s="8">
        <f>(INT(Table_Kyrgyzstan2[[#This Row],[Date]]) - DATE(1970, 1, 1)) * 86400000</f>
        <v>1726704000000</v>
      </c>
      <c r="G107" s="10">
        <f>'GMT Glossary'!$B$2</f>
        <v>6</v>
      </c>
      <c r="H107" s="2" t="str">
        <f t="shared" si="2"/>
        <v>2024-09-19</v>
      </c>
      <c r="I107" s="2" t="str">
        <f t="shared" si="3"/>
        <v>07:00</v>
      </c>
    </row>
    <row r="108" spans="1:9" x14ac:dyDescent="0.25">
      <c r="A108" s="12">
        <v>45554</v>
      </c>
      <c r="B108" s="15">
        <v>0.16666666666666666</v>
      </c>
      <c r="C108" s="14" t="s">
        <v>18</v>
      </c>
      <c r="D108" s="19" t="s">
        <v>99</v>
      </c>
      <c r="E108" s="11" t="s">
        <v>22</v>
      </c>
      <c r="F108" s="8">
        <f>(INT(Table_Kyrgyzstan2[[#This Row],[Date]]) - DATE(1970, 1, 1)) * 86400000</f>
        <v>1726704000000</v>
      </c>
      <c r="G108" s="10">
        <f>'GMT Glossary'!$B$2</f>
        <v>6</v>
      </c>
      <c r="H108" s="2" t="str">
        <f t="shared" si="2"/>
        <v>2024-09-19</v>
      </c>
      <c r="I108" s="2" t="str">
        <f t="shared" si="3"/>
        <v>10:00</v>
      </c>
    </row>
    <row r="109" spans="1:9" x14ac:dyDescent="0.25">
      <c r="A109" s="12">
        <v>45554</v>
      </c>
      <c r="B109" s="15">
        <v>0.29166666666666669</v>
      </c>
      <c r="C109" s="14" t="s">
        <v>26</v>
      </c>
      <c r="D109" s="19" t="s">
        <v>103</v>
      </c>
      <c r="E109" s="11" t="s">
        <v>22</v>
      </c>
      <c r="F109" s="8">
        <f>(INT(Table_Kyrgyzstan2[[#This Row],[Date]]) - DATE(1970, 1, 1)) * 86400000</f>
        <v>1726704000000</v>
      </c>
      <c r="G109" s="10">
        <f>'GMT Glossary'!$B$2</f>
        <v>6</v>
      </c>
      <c r="H109" s="2" t="str">
        <f t="shared" si="2"/>
        <v>2024-09-19</v>
      </c>
      <c r="I109" s="2" t="str">
        <f t="shared" si="3"/>
        <v>13:00</v>
      </c>
    </row>
    <row r="110" spans="1:9" x14ac:dyDescent="0.25">
      <c r="A110" s="12">
        <v>45554</v>
      </c>
      <c r="B110" s="15">
        <v>0.375</v>
      </c>
      <c r="C110" s="14" t="s">
        <v>26</v>
      </c>
      <c r="D110" s="19" t="s">
        <v>52</v>
      </c>
      <c r="E110" s="11" t="s">
        <v>22</v>
      </c>
      <c r="F110" s="8">
        <f>(INT(Table_Kyrgyzstan2[[#This Row],[Date]]) - DATE(1970, 1, 1)) * 86400000</f>
        <v>1726704000000</v>
      </c>
      <c r="G110" s="10">
        <f>'GMT Glossary'!$B$2</f>
        <v>6</v>
      </c>
      <c r="H110" s="2" t="str">
        <f t="shared" si="2"/>
        <v>2024-09-19</v>
      </c>
      <c r="I110" s="2" t="str">
        <f t="shared" si="3"/>
        <v>15:00</v>
      </c>
    </row>
    <row r="111" spans="1:9" x14ac:dyDescent="0.25">
      <c r="A111" s="12">
        <v>45554</v>
      </c>
      <c r="B111" s="15">
        <v>0.45833333333333331</v>
      </c>
      <c r="C111" s="14" t="s">
        <v>26</v>
      </c>
      <c r="D111" s="19" t="s">
        <v>40</v>
      </c>
      <c r="E111" s="11" t="s">
        <v>22</v>
      </c>
      <c r="F111" s="8">
        <f>(INT(Table_Kyrgyzstan2[[#This Row],[Date]]) - DATE(1970, 1, 1)) * 86400000</f>
        <v>1726704000000</v>
      </c>
      <c r="G111" s="10">
        <f>'GMT Glossary'!$B$2</f>
        <v>6</v>
      </c>
      <c r="H111" s="2" t="str">
        <f t="shared" si="2"/>
        <v>2024-09-19</v>
      </c>
      <c r="I111" s="2" t="str">
        <f t="shared" si="3"/>
        <v>17:00</v>
      </c>
    </row>
    <row r="112" spans="1:9" x14ac:dyDescent="0.25">
      <c r="A112" s="12">
        <v>45554</v>
      </c>
      <c r="B112" s="15">
        <v>0.54166666666666663</v>
      </c>
      <c r="C112" s="14" t="s">
        <v>26</v>
      </c>
      <c r="D112" s="19" t="s">
        <v>100</v>
      </c>
      <c r="E112" s="11" t="s">
        <v>22</v>
      </c>
      <c r="F112" s="8">
        <f>(INT(Table_Kyrgyzstan2[[#This Row],[Date]]) - DATE(1970, 1, 1)) * 86400000</f>
        <v>1726704000000</v>
      </c>
      <c r="G112" s="10">
        <f>'GMT Glossary'!$B$2</f>
        <v>6</v>
      </c>
      <c r="H112" s="2" t="str">
        <f t="shared" si="2"/>
        <v>2024-09-19</v>
      </c>
      <c r="I112" s="2" t="str">
        <f t="shared" si="3"/>
        <v>19:00</v>
      </c>
    </row>
    <row r="113" spans="1:9" x14ac:dyDescent="0.25">
      <c r="A113" s="12">
        <v>45554</v>
      </c>
      <c r="B113" s="15">
        <v>0.625</v>
      </c>
      <c r="C113" s="14" t="s">
        <v>26</v>
      </c>
      <c r="D113" s="19" t="s">
        <v>104</v>
      </c>
      <c r="E113" s="11" t="s">
        <v>22</v>
      </c>
      <c r="F113" s="8">
        <f>(INT(Table_Kyrgyzstan2[[#This Row],[Date]]) - DATE(1970, 1, 1)) * 86400000</f>
        <v>1726704000000</v>
      </c>
      <c r="G113" s="10">
        <f>'GMT Glossary'!$B$2</f>
        <v>6</v>
      </c>
      <c r="H113" s="2" t="str">
        <f t="shared" si="2"/>
        <v>2024-09-19</v>
      </c>
      <c r="I113" s="2" t="str">
        <f t="shared" si="3"/>
        <v>21:00</v>
      </c>
    </row>
    <row r="114" spans="1:9" x14ac:dyDescent="0.25">
      <c r="A114" s="12">
        <v>45554</v>
      </c>
      <c r="B114" s="15">
        <v>0.70833333333333337</v>
      </c>
      <c r="C114" s="14" t="s">
        <v>26</v>
      </c>
      <c r="D114" s="19" t="s">
        <v>44</v>
      </c>
      <c r="E114" s="11" t="s">
        <v>22</v>
      </c>
      <c r="F114" s="8">
        <f>(INT(Table_Kyrgyzstan2[[#This Row],[Date]]) - DATE(1970, 1, 1)) * 86400000</f>
        <v>1726704000000</v>
      </c>
      <c r="G114" s="10">
        <f>'GMT Glossary'!$B$2</f>
        <v>6</v>
      </c>
      <c r="H114" s="2" t="str">
        <f t="shared" si="2"/>
        <v>2024-09-19</v>
      </c>
      <c r="I114" s="2" t="str">
        <f t="shared" si="3"/>
        <v>23:00</v>
      </c>
    </row>
    <row r="115" spans="1:9" x14ac:dyDescent="0.25">
      <c r="A115" s="12">
        <v>45554</v>
      </c>
      <c r="B115" s="15">
        <v>0.79166666666666663</v>
      </c>
      <c r="C115" s="14" t="s">
        <v>26</v>
      </c>
      <c r="D115" s="19" t="s">
        <v>54</v>
      </c>
      <c r="E115" s="11" t="s">
        <v>22</v>
      </c>
      <c r="F115" s="8">
        <f>(INT(Table_Kyrgyzstan2[[#This Row],[Date]]) - DATE(1970, 1, 1)) * 86400000</f>
        <v>1726704000000</v>
      </c>
      <c r="G115" s="10">
        <f>'GMT Glossary'!$B$2</f>
        <v>6</v>
      </c>
      <c r="H115" s="2" t="str">
        <f t="shared" si="2"/>
        <v>2024-09-20</v>
      </c>
      <c r="I115" s="2" t="str">
        <f t="shared" si="3"/>
        <v>01:00</v>
      </c>
    </row>
    <row r="116" spans="1:9" x14ac:dyDescent="0.25">
      <c r="A116" s="12">
        <v>45554</v>
      </c>
      <c r="B116" s="15">
        <v>0.875</v>
      </c>
      <c r="C116" s="14" t="s">
        <v>26</v>
      </c>
      <c r="D116" s="19" t="s">
        <v>43</v>
      </c>
      <c r="E116" s="11" t="s">
        <v>22</v>
      </c>
      <c r="F116" s="8">
        <f>(INT(Table_Kyrgyzstan2[[#This Row],[Date]]) - DATE(1970, 1, 1)) * 86400000</f>
        <v>1726704000000</v>
      </c>
      <c r="G116" s="10">
        <f>'GMT Glossary'!$B$2</f>
        <v>6</v>
      </c>
      <c r="H116" s="2" t="str">
        <f t="shared" si="2"/>
        <v>2024-09-20</v>
      </c>
      <c r="I116" s="2" t="str">
        <f t="shared" si="3"/>
        <v>03:00</v>
      </c>
    </row>
    <row r="117" spans="1:9" x14ac:dyDescent="0.25">
      <c r="A117" s="12">
        <v>45554</v>
      </c>
      <c r="B117" s="15">
        <v>0.95833333333333337</v>
      </c>
      <c r="C117" s="14" t="s">
        <v>26</v>
      </c>
      <c r="D117" s="19" t="s">
        <v>48</v>
      </c>
      <c r="E117" s="11" t="s">
        <v>22</v>
      </c>
      <c r="F117" s="8">
        <f>(INT(Table_Kyrgyzstan2[[#This Row],[Date]]) - DATE(1970, 1, 1)) * 86400000</f>
        <v>1726704000000</v>
      </c>
      <c r="G117" s="10">
        <f>'GMT Glossary'!$B$2</f>
        <v>6</v>
      </c>
      <c r="H117" s="2" t="str">
        <f t="shared" si="2"/>
        <v>2024-09-20</v>
      </c>
      <c r="I117" s="2" t="str">
        <f t="shared" si="3"/>
        <v>05:00</v>
      </c>
    </row>
    <row r="118" spans="1:9" x14ac:dyDescent="0.25">
      <c r="A118" s="12">
        <v>45555</v>
      </c>
      <c r="B118" s="15">
        <v>4.1666666666666664E-2</v>
      </c>
      <c r="C118" s="14" t="s">
        <v>37</v>
      </c>
      <c r="D118" s="19" t="s">
        <v>39</v>
      </c>
      <c r="E118" s="11" t="s">
        <v>22</v>
      </c>
      <c r="F118" s="8">
        <f>(INT(Table_Kyrgyzstan2[[#This Row],[Date]]) - DATE(1970, 1, 1)) * 86400000</f>
        <v>1726790400000</v>
      </c>
      <c r="G118" s="10">
        <f>'GMT Glossary'!$B$2</f>
        <v>6</v>
      </c>
      <c r="H118" s="2" t="str">
        <f t="shared" si="2"/>
        <v>2024-09-20</v>
      </c>
      <c r="I118" s="2" t="str">
        <f t="shared" si="3"/>
        <v>07:00</v>
      </c>
    </row>
    <row r="119" spans="1:9" x14ac:dyDescent="0.25">
      <c r="A119" s="12">
        <v>45555</v>
      </c>
      <c r="B119" s="15">
        <v>0.125</v>
      </c>
      <c r="C119" s="14" t="s">
        <v>26</v>
      </c>
      <c r="D119" s="19" t="s">
        <v>53</v>
      </c>
      <c r="E119" s="11" t="s">
        <v>22</v>
      </c>
      <c r="F119" s="8">
        <f>(INT(Table_Kyrgyzstan2[[#This Row],[Date]]) - DATE(1970, 1, 1)) * 86400000</f>
        <v>1726790400000</v>
      </c>
      <c r="G119" s="10">
        <f>'GMT Glossary'!$B$2</f>
        <v>6</v>
      </c>
      <c r="H119" s="2" t="str">
        <f t="shared" si="2"/>
        <v>2024-09-20</v>
      </c>
      <c r="I119" s="2" t="str">
        <f t="shared" si="3"/>
        <v>09:00</v>
      </c>
    </row>
    <row r="120" spans="1:9" x14ac:dyDescent="0.25">
      <c r="A120" s="12">
        <v>45555</v>
      </c>
      <c r="B120" s="15">
        <v>0.20833333333333334</v>
      </c>
      <c r="C120" s="14" t="s">
        <v>36</v>
      </c>
      <c r="D120" s="19" t="s">
        <v>105</v>
      </c>
      <c r="E120" s="11" t="s">
        <v>22</v>
      </c>
      <c r="F120" s="8">
        <f>(INT(Table_Kyrgyzstan2[[#This Row],[Date]]) - DATE(1970, 1, 1)) * 86400000</f>
        <v>1726790400000</v>
      </c>
      <c r="G120" s="10">
        <f>'GMT Glossary'!$B$2</f>
        <v>6</v>
      </c>
      <c r="H120" s="2" t="str">
        <f t="shared" si="2"/>
        <v>2024-09-20</v>
      </c>
      <c r="I120" s="2" t="str">
        <f t="shared" si="3"/>
        <v>11:00</v>
      </c>
    </row>
    <row r="121" spans="1:9" x14ac:dyDescent="0.25">
      <c r="A121" s="12">
        <v>45555</v>
      </c>
      <c r="B121" s="15">
        <v>0.27083333333333331</v>
      </c>
      <c r="C121" s="14" t="s">
        <v>36</v>
      </c>
      <c r="D121" s="19" t="s">
        <v>106</v>
      </c>
      <c r="E121" s="11" t="s">
        <v>22</v>
      </c>
      <c r="F121" s="8">
        <f>(INT(Table_Kyrgyzstan2[[#This Row],[Date]]) - DATE(1970, 1, 1)) * 86400000</f>
        <v>1726790400000</v>
      </c>
      <c r="G121" s="10">
        <f>'GMT Glossary'!$B$2</f>
        <v>6</v>
      </c>
      <c r="H121" s="2" t="str">
        <f t="shared" si="2"/>
        <v>2024-09-20</v>
      </c>
      <c r="I121" s="2" t="str">
        <f t="shared" si="3"/>
        <v>12:30</v>
      </c>
    </row>
    <row r="122" spans="1:9" x14ac:dyDescent="0.25">
      <c r="A122" s="12">
        <v>45555</v>
      </c>
      <c r="B122" s="15">
        <v>0.33333333333333331</v>
      </c>
      <c r="C122" s="14" t="s">
        <v>36</v>
      </c>
      <c r="D122" s="19" t="s">
        <v>107</v>
      </c>
      <c r="E122" s="11" t="s">
        <v>22</v>
      </c>
      <c r="F122" s="8">
        <f>(INT(Table_Kyrgyzstan2[[#This Row],[Date]]) - DATE(1970, 1, 1)) * 86400000</f>
        <v>1726790400000</v>
      </c>
      <c r="G122" s="10">
        <f>'GMT Glossary'!$B$2</f>
        <v>6</v>
      </c>
      <c r="H122" s="2" t="str">
        <f t="shared" si="2"/>
        <v>2024-09-20</v>
      </c>
      <c r="I122" s="2" t="str">
        <f t="shared" si="3"/>
        <v>14:00</v>
      </c>
    </row>
    <row r="123" spans="1:9" x14ac:dyDescent="0.25">
      <c r="A123" s="12">
        <v>45555</v>
      </c>
      <c r="B123" s="15">
        <v>0.41666666666666669</v>
      </c>
      <c r="C123" s="14" t="s">
        <v>36</v>
      </c>
      <c r="D123" s="19" t="s">
        <v>108</v>
      </c>
      <c r="E123" s="11" t="s">
        <v>22</v>
      </c>
      <c r="F123" s="8">
        <f>(INT(Table_Kyrgyzstan2[[#This Row],[Date]]) - DATE(1970, 1, 1)) * 86400000</f>
        <v>1726790400000</v>
      </c>
      <c r="G123" s="10">
        <f>'GMT Glossary'!$B$2</f>
        <v>6</v>
      </c>
      <c r="H123" s="2" t="str">
        <f t="shared" si="2"/>
        <v>2024-09-20</v>
      </c>
      <c r="I123" s="2" t="str">
        <f t="shared" si="3"/>
        <v>16:00</v>
      </c>
    </row>
    <row r="124" spans="1:9" x14ac:dyDescent="0.25">
      <c r="A124" s="12">
        <v>45555</v>
      </c>
      <c r="B124" s="15">
        <v>0.54166666666666663</v>
      </c>
      <c r="C124" s="14" t="s">
        <v>26</v>
      </c>
      <c r="D124" s="19" t="s">
        <v>98</v>
      </c>
      <c r="E124" s="11" t="s">
        <v>22</v>
      </c>
      <c r="F124" s="8">
        <f>(INT(Table_Kyrgyzstan2[[#This Row],[Date]]) - DATE(1970, 1, 1)) * 86400000</f>
        <v>1726790400000</v>
      </c>
      <c r="G124" s="10">
        <f>'GMT Glossary'!$B$2</f>
        <v>6</v>
      </c>
      <c r="H124" s="2" t="str">
        <f t="shared" si="2"/>
        <v>2024-09-20</v>
      </c>
      <c r="I124" s="2" t="str">
        <f t="shared" si="3"/>
        <v>19:00</v>
      </c>
    </row>
    <row r="125" spans="1:9" x14ac:dyDescent="0.25">
      <c r="A125" s="12">
        <v>45555</v>
      </c>
      <c r="B125" s="15">
        <v>0.64583333333333337</v>
      </c>
      <c r="C125" s="14" t="s">
        <v>21</v>
      </c>
      <c r="D125" s="19" t="s">
        <v>109</v>
      </c>
      <c r="E125" s="11" t="s">
        <v>22</v>
      </c>
      <c r="F125" s="8">
        <f>(INT(Table_Kyrgyzstan2[[#This Row],[Date]]) - DATE(1970, 1, 1)) * 86400000</f>
        <v>1726790400000</v>
      </c>
      <c r="G125" s="10">
        <f>'GMT Glossary'!$B$2</f>
        <v>6</v>
      </c>
      <c r="H125" s="2" t="str">
        <f t="shared" si="2"/>
        <v>2024-09-20</v>
      </c>
      <c r="I125" s="2" t="str">
        <f t="shared" si="3"/>
        <v>21:30</v>
      </c>
    </row>
    <row r="126" spans="1:9" x14ac:dyDescent="0.25">
      <c r="A126" s="12">
        <v>45555</v>
      </c>
      <c r="B126" s="15">
        <v>0.79166666666666663</v>
      </c>
      <c r="C126" s="14" t="s">
        <v>26</v>
      </c>
      <c r="D126" s="19" t="s">
        <v>45</v>
      </c>
      <c r="E126" s="11" t="s">
        <v>22</v>
      </c>
      <c r="F126" s="8">
        <f>(INT(Table_Kyrgyzstan2[[#This Row],[Date]]) - DATE(1970, 1, 1)) * 86400000</f>
        <v>1726790400000</v>
      </c>
      <c r="G126" s="10">
        <f>'GMT Glossary'!$B$2</f>
        <v>6</v>
      </c>
      <c r="H126" s="2" t="str">
        <f t="shared" si="2"/>
        <v>2024-09-21</v>
      </c>
      <c r="I126" s="2" t="str">
        <f t="shared" si="3"/>
        <v>01:00</v>
      </c>
    </row>
    <row r="127" spans="1:9" x14ac:dyDescent="0.25">
      <c r="A127" s="12">
        <v>45555</v>
      </c>
      <c r="B127" s="15">
        <v>0.875</v>
      </c>
      <c r="C127" s="14" t="s">
        <v>26</v>
      </c>
      <c r="D127" s="19" t="s">
        <v>49</v>
      </c>
      <c r="E127" s="11" t="s">
        <v>22</v>
      </c>
      <c r="F127" s="8">
        <f>(INT(Table_Kyrgyzstan2[[#This Row],[Date]]) - DATE(1970, 1, 1)) * 86400000</f>
        <v>1726790400000</v>
      </c>
      <c r="G127" s="10">
        <f>'GMT Glossary'!$B$2</f>
        <v>6</v>
      </c>
      <c r="H127" s="2" t="str">
        <f t="shared" si="2"/>
        <v>2024-09-21</v>
      </c>
      <c r="I127" s="2" t="str">
        <f t="shared" si="3"/>
        <v>03:00</v>
      </c>
    </row>
    <row r="128" spans="1:9" x14ac:dyDescent="0.25">
      <c r="A128" s="12">
        <v>45555</v>
      </c>
      <c r="B128" s="15">
        <v>0.95833333333333337</v>
      </c>
      <c r="C128" s="14" t="s">
        <v>26</v>
      </c>
      <c r="D128" s="19" t="s">
        <v>43</v>
      </c>
      <c r="E128" s="11" t="s">
        <v>22</v>
      </c>
      <c r="F128" s="8">
        <f>(INT(Table_Kyrgyzstan2[[#This Row],[Date]]) - DATE(1970, 1, 1)) * 86400000</f>
        <v>1726790400000</v>
      </c>
      <c r="G128" s="10">
        <f>'GMT Glossary'!$B$2</f>
        <v>6</v>
      </c>
      <c r="H128" s="2" t="str">
        <f t="shared" si="2"/>
        <v>2024-09-21</v>
      </c>
      <c r="I128" s="2" t="str">
        <f t="shared" si="3"/>
        <v>05:00</v>
      </c>
    </row>
    <row r="129" spans="1:9" x14ac:dyDescent="0.25">
      <c r="A129" s="12">
        <v>45556</v>
      </c>
      <c r="B129" s="15">
        <v>4.1666666666666664E-2</v>
      </c>
      <c r="C129" s="14" t="s">
        <v>26</v>
      </c>
      <c r="D129" s="19" t="s">
        <v>42</v>
      </c>
      <c r="E129" s="11" t="s">
        <v>22</v>
      </c>
      <c r="F129" s="8">
        <f>(INT(Table_Kyrgyzstan2[[#This Row],[Date]]) - DATE(1970, 1, 1)) * 86400000</f>
        <v>1726876800000</v>
      </c>
      <c r="G129" s="10">
        <f>'GMT Glossary'!$B$2</f>
        <v>6</v>
      </c>
      <c r="H129" s="2" t="str">
        <f t="shared" si="2"/>
        <v>2024-09-21</v>
      </c>
      <c r="I129" s="2" t="str">
        <f t="shared" si="3"/>
        <v>07:00</v>
      </c>
    </row>
    <row r="130" spans="1:9" x14ac:dyDescent="0.25">
      <c r="A130" s="12">
        <v>45556</v>
      </c>
      <c r="B130" s="15">
        <v>0.125</v>
      </c>
      <c r="C130" s="14" t="s">
        <v>26</v>
      </c>
      <c r="D130" s="19" t="s">
        <v>102</v>
      </c>
      <c r="E130" s="11" t="s">
        <v>22</v>
      </c>
      <c r="F130" s="8">
        <f>(INT(Table_Kyrgyzstan2[[#This Row],[Date]]) - DATE(1970, 1, 1)) * 86400000</f>
        <v>1726876800000</v>
      </c>
      <c r="G130" s="10">
        <f>'GMT Glossary'!$B$2</f>
        <v>6</v>
      </c>
      <c r="H130" s="2" t="str">
        <f t="shared" ref="H130:H165" si="4">TEXT(IF(B130&lt;0, A130+1+((B130+(G130/24))-(INT(B130+(G130/24)))), A130+(B130+(G130/24))), "yyyy-mm-dd")</f>
        <v>2024-09-21</v>
      </c>
      <c r="I130" s="2" t="str">
        <f t="shared" ref="I130:I165" si="5">TEXT(IF(B130&lt;0, A130+1+((B130+(G130/24))-(INT(B130+(G130/24)))), A130+(B130+(G130/24))), "hh:mm")</f>
        <v>09:00</v>
      </c>
    </row>
    <row r="131" spans="1:9" x14ac:dyDescent="0.25">
      <c r="A131" s="12">
        <v>45556</v>
      </c>
      <c r="B131" s="15">
        <v>0.20833333333333334</v>
      </c>
      <c r="C131" s="14" t="s">
        <v>37</v>
      </c>
      <c r="D131" s="19" t="s">
        <v>46</v>
      </c>
      <c r="E131" s="11" t="s">
        <v>22</v>
      </c>
      <c r="F131" s="8">
        <f>(INT(Table_Kyrgyzstan2[[#This Row],[Date]]) - DATE(1970, 1, 1)) * 86400000</f>
        <v>1726876800000</v>
      </c>
      <c r="G131" s="10">
        <f>'GMT Glossary'!$B$2</f>
        <v>6</v>
      </c>
      <c r="H131" s="2" t="str">
        <f t="shared" si="4"/>
        <v>2024-09-21</v>
      </c>
      <c r="I131" s="2" t="str">
        <f t="shared" si="5"/>
        <v>11:00</v>
      </c>
    </row>
    <row r="132" spans="1:9" x14ac:dyDescent="0.25">
      <c r="A132" s="12">
        <v>45556</v>
      </c>
      <c r="B132" s="15">
        <v>0.29166666666666669</v>
      </c>
      <c r="C132" s="14" t="s">
        <v>36</v>
      </c>
      <c r="D132" s="19" t="s">
        <v>110</v>
      </c>
      <c r="E132" s="11" t="s">
        <v>22</v>
      </c>
      <c r="F132" s="8">
        <f>(INT(Table_Kyrgyzstan2[[#This Row],[Date]]) - DATE(1970, 1, 1)) * 86400000</f>
        <v>1726876800000</v>
      </c>
      <c r="G132" s="10">
        <f>'GMT Glossary'!$B$2</f>
        <v>6</v>
      </c>
      <c r="H132" s="2" t="str">
        <f t="shared" si="4"/>
        <v>2024-09-21</v>
      </c>
      <c r="I132" s="2" t="str">
        <f t="shared" si="5"/>
        <v>13:00</v>
      </c>
    </row>
    <row r="133" spans="1:9" x14ac:dyDescent="0.25">
      <c r="A133" s="12">
        <v>45556</v>
      </c>
      <c r="B133" s="15">
        <v>0.35416666666666669</v>
      </c>
      <c r="C133" s="14" t="s">
        <v>36</v>
      </c>
      <c r="D133" s="19" t="s">
        <v>111</v>
      </c>
      <c r="E133" s="11" t="s">
        <v>22</v>
      </c>
      <c r="F133" s="8">
        <f>(INT(Table_Kyrgyzstan2[[#This Row],[Date]]) - DATE(1970, 1, 1)) * 86400000</f>
        <v>1726876800000</v>
      </c>
      <c r="G133" s="10">
        <f>'GMT Glossary'!$B$2</f>
        <v>6</v>
      </c>
      <c r="H133" s="2" t="str">
        <f t="shared" si="4"/>
        <v>2024-09-21</v>
      </c>
      <c r="I133" s="2" t="str">
        <f t="shared" si="5"/>
        <v>14:30</v>
      </c>
    </row>
    <row r="134" spans="1:9" x14ac:dyDescent="0.25">
      <c r="A134" s="12">
        <v>45556</v>
      </c>
      <c r="B134" s="15">
        <v>0.45833333333333331</v>
      </c>
      <c r="C134" s="14" t="s">
        <v>26</v>
      </c>
      <c r="D134" s="19" t="s">
        <v>112</v>
      </c>
      <c r="E134" s="11" t="s">
        <v>22</v>
      </c>
      <c r="F134" s="8">
        <f>(INT(Table_Kyrgyzstan2[[#This Row],[Date]]) - DATE(1970, 1, 1)) * 86400000</f>
        <v>1726876800000</v>
      </c>
      <c r="G134" s="10">
        <f>'GMT Glossary'!$B$2</f>
        <v>6</v>
      </c>
      <c r="H134" s="2" t="str">
        <f t="shared" si="4"/>
        <v>2024-09-21</v>
      </c>
      <c r="I134" s="2" t="str">
        <f t="shared" si="5"/>
        <v>17:00</v>
      </c>
    </row>
    <row r="135" spans="1:9" x14ac:dyDescent="0.25">
      <c r="A135" s="12">
        <v>45556</v>
      </c>
      <c r="B135" s="15">
        <v>0.54166666666666663</v>
      </c>
      <c r="C135" s="14" t="s">
        <v>37</v>
      </c>
      <c r="D135" s="19" t="s">
        <v>113</v>
      </c>
      <c r="E135" s="11" t="s">
        <v>22</v>
      </c>
      <c r="F135" s="8">
        <f>(INT(Table_Kyrgyzstan2[[#This Row],[Date]]) - DATE(1970, 1, 1)) * 86400000</f>
        <v>1726876800000</v>
      </c>
      <c r="G135" s="10">
        <f>'GMT Glossary'!$B$2</f>
        <v>6</v>
      </c>
      <c r="H135" s="2" t="str">
        <f t="shared" si="4"/>
        <v>2024-09-21</v>
      </c>
      <c r="I135" s="2" t="str">
        <f t="shared" si="5"/>
        <v>19:00</v>
      </c>
    </row>
    <row r="136" spans="1:9" x14ac:dyDescent="0.25">
      <c r="A136" s="12">
        <v>45556</v>
      </c>
      <c r="B136" s="15">
        <v>0.58333333333333337</v>
      </c>
      <c r="C136" s="14" t="s">
        <v>26</v>
      </c>
      <c r="D136" s="19" t="s">
        <v>114</v>
      </c>
      <c r="E136" s="11" t="s">
        <v>22</v>
      </c>
      <c r="F136" s="8">
        <f>(INT(Table_Kyrgyzstan2[[#This Row],[Date]]) - DATE(1970, 1, 1)) * 86400000</f>
        <v>1726876800000</v>
      </c>
      <c r="G136" s="10">
        <f>'GMT Glossary'!$B$2</f>
        <v>6</v>
      </c>
      <c r="H136" s="2" t="str">
        <f t="shared" si="4"/>
        <v>2024-09-21</v>
      </c>
      <c r="I136" s="2" t="str">
        <f t="shared" si="5"/>
        <v>20:00</v>
      </c>
    </row>
    <row r="137" spans="1:9" x14ac:dyDescent="0.25">
      <c r="A137" s="12">
        <v>45556</v>
      </c>
      <c r="B137" s="15">
        <v>0.66666666666666663</v>
      </c>
      <c r="C137" s="14" t="s">
        <v>26</v>
      </c>
      <c r="D137" s="19" t="s">
        <v>115</v>
      </c>
      <c r="E137" s="11" t="s">
        <v>22</v>
      </c>
      <c r="F137" s="8">
        <f>(INT(Table_Kyrgyzstan2[[#This Row],[Date]]) - DATE(1970, 1, 1)) * 86400000</f>
        <v>1726876800000</v>
      </c>
      <c r="G137" s="10">
        <f>'GMT Glossary'!$B$2</f>
        <v>6</v>
      </c>
      <c r="H137" s="2" t="str">
        <f t="shared" si="4"/>
        <v>2024-09-21</v>
      </c>
      <c r="I137" s="2" t="str">
        <f t="shared" si="5"/>
        <v>22:00</v>
      </c>
    </row>
    <row r="138" spans="1:9" x14ac:dyDescent="0.25">
      <c r="A138" s="12">
        <v>45556</v>
      </c>
      <c r="B138" s="15">
        <v>0.79166666666666663</v>
      </c>
      <c r="C138" s="14" t="s">
        <v>26</v>
      </c>
      <c r="D138" s="19" t="s">
        <v>116</v>
      </c>
      <c r="E138" s="11" t="s">
        <v>22</v>
      </c>
      <c r="F138" s="8">
        <f>(INT(Table_Kyrgyzstan2[[#This Row],[Date]]) - DATE(1970, 1, 1)) * 86400000</f>
        <v>1726876800000</v>
      </c>
      <c r="G138" s="10">
        <f>'GMT Glossary'!$B$2</f>
        <v>6</v>
      </c>
      <c r="H138" s="2" t="str">
        <f t="shared" si="4"/>
        <v>2024-09-22</v>
      </c>
      <c r="I138" s="2" t="str">
        <f t="shared" si="5"/>
        <v>01:00</v>
      </c>
    </row>
    <row r="139" spans="1:9" x14ac:dyDescent="0.25">
      <c r="A139" s="12">
        <v>45556</v>
      </c>
      <c r="B139" s="15">
        <v>0.875</v>
      </c>
      <c r="C139" s="14" t="s">
        <v>26</v>
      </c>
      <c r="D139" s="19" t="s">
        <v>117</v>
      </c>
      <c r="E139" s="11" t="s">
        <v>22</v>
      </c>
      <c r="F139" s="8">
        <f>(INT(Table_Kyrgyzstan2[[#This Row],[Date]]) - DATE(1970, 1, 1)) * 86400000</f>
        <v>1726876800000</v>
      </c>
      <c r="G139" s="10">
        <f>'GMT Glossary'!$B$2</f>
        <v>6</v>
      </c>
      <c r="H139" s="2" t="str">
        <f t="shared" si="4"/>
        <v>2024-09-22</v>
      </c>
      <c r="I139" s="2" t="str">
        <f t="shared" si="5"/>
        <v>03:00</v>
      </c>
    </row>
    <row r="140" spans="1:9" x14ac:dyDescent="0.25">
      <c r="A140" s="12">
        <v>45556</v>
      </c>
      <c r="B140" s="15">
        <v>0.95833333333333337</v>
      </c>
      <c r="C140" s="14" t="s">
        <v>26</v>
      </c>
      <c r="D140" s="19" t="s">
        <v>49</v>
      </c>
      <c r="E140" s="11" t="s">
        <v>22</v>
      </c>
      <c r="F140" s="8">
        <f>(INT(Table_Kyrgyzstan2[[#This Row],[Date]]) - DATE(1970, 1, 1)) * 86400000</f>
        <v>1726876800000</v>
      </c>
      <c r="G140" s="10">
        <f>'GMT Glossary'!$B$2</f>
        <v>6</v>
      </c>
      <c r="H140" s="2" t="str">
        <f t="shared" si="4"/>
        <v>2024-09-22</v>
      </c>
      <c r="I140" s="2" t="str">
        <f t="shared" si="5"/>
        <v>05:00</v>
      </c>
    </row>
    <row r="141" spans="1:9" x14ac:dyDescent="0.25">
      <c r="A141" s="12">
        <v>45557</v>
      </c>
      <c r="B141" s="15">
        <v>4.1666666666666664E-2</v>
      </c>
      <c r="C141" s="14" t="s">
        <v>26</v>
      </c>
      <c r="D141" s="19" t="s">
        <v>112</v>
      </c>
      <c r="E141" s="11" t="s">
        <v>22</v>
      </c>
      <c r="F141" s="8">
        <f>(INT(Table_Kyrgyzstan2[[#This Row],[Date]]) - DATE(1970, 1, 1)) * 86400000</f>
        <v>1726963200000</v>
      </c>
      <c r="G141" s="10">
        <f>'GMT Glossary'!$B$2</f>
        <v>6</v>
      </c>
      <c r="H141" s="2" t="str">
        <f t="shared" si="4"/>
        <v>2024-09-22</v>
      </c>
      <c r="I141" s="2" t="str">
        <f t="shared" si="5"/>
        <v>07:00</v>
      </c>
    </row>
    <row r="142" spans="1:9" x14ac:dyDescent="0.25">
      <c r="A142" s="12">
        <v>45557</v>
      </c>
      <c r="B142" s="15">
        <v>0.125</v>
      </c>
      <c r="C142" s="14" t="s">
        <v>26</v>
      </c>
      <c r="D142" s="19" t="s">
        <v>117</v>
      </c>
      <c r="E142" s="11" t="s">
        <v>22</v>
      </c>
      <c r="F142" s="8">
        <f>(INT(Table_Kyrgyzstan2[[#This Row],[Date]]) - DATE(1970, 1, 1)) * 86400000</f>
        <v>1726963200000</v>
      </c>
      <c r="G142" s="10">
        <f>'GMT Glossary'!$B$2</f>
        <v>6</v>
      </c>
      <c r="H142" s="2" t="str">
        <f t="shared" si="4"/>
        <v>2024-09-22</v>
      </c>
      <c r="I142" s="2" t="str">
        <f t="shared" si="5"/>
        <v>09:00</v>
      </c>
    </row>
    <row r="143" spans="1:9" x14ac:dyDescent="0.25">
      <c r="A143" s="12">
        <v>45557</v>
      </c>
      <c r="B143" s="15">
        <v>0.20833333333333334</v>
      </c>
      <c r="C143" s="14" t="s">
        <v>37</v>
      </c>
      <c r="D143" s="19" t="s">
        <v>41</v>
      </c>
      <c r="E143" s="11" t="s">
        <v>22</v>
      </c>
      <c r="F143" s="8">
        <f>(INT(Table_Kyrgyzstan2[[#This Row],[Date]]) - DATE(1970, 1, 1)) * 86400000</f>
        <v>1726963200000</v>
      </c>
      <c r="G143" s="10">
        <f>'GMT Glossary'!$B$2</f>
        <v>6</v>
      </c>
      <c r="H143" s="2" t="str">
        <f t="shared" si="4"/>
        <v>2024-09-22</v>
      </c>
      <c r="I143" s="2" t="str">
        <f t="shared" si="5"/>
        <v>11:00</v>
      </c>
    </row>
    <row r="144" spans="1:9" x14ac:dyDescent="0.25">
      <c r="A144" s="12">
        <v>45557</v>
      </c>
      <c r="B144" s="15">
        <v>0.29166666666666669</v>
      </c>
      <c r="C144" s="14" t="s">
        <v>36</v>
      </c>
      <c r="D144" s="19" t="s">
        <v>118</v>
      </c>
      <c r="E144" s="11" t="s">
        <v>22</v>
      </c>
      <c r="F144" s="8">
        <f>(INT(Table_Kyrgyzstan2[[#This Row],[Date]]) - DATE(1970, 1, 1)) * 86400000</f>
        <v>1726963200000</v>
      </c>
      <c r="G144" s="10">
        <f>'GMT Glossary'!$B$2</f>
        <v>6</v>
      </c>
      <c r="H144" s="2" t="str">
        <f t="shared" si="4"/>
        <v>2024-09-22</v>
      </c>
      <c r="I144" s="2" t="str">
        <f t="shared" si="5"/>
        <v>13:00</v>
      </c>
    </row>
    <row r="145" spans="1:9" x14ac:dyDescent="0.25">
      <c r="A145" s="12">
        <v>45557</v>
      </c>
      <c r="B145" s="15">
        <v>0.375</v>
      </c>
      <c r="C145" s="14" t="s">
        <v>26</v>
      </c>
      <c r="D145" s="19" t="s">
        <v>119</v>
      </c>
      <c r="E145" s="11" t="s">
        <v>22</v>
      </c>
      <c r="F145" s="8">
        <f>(INT(Table_Kyrgyzstan2[[#This Row],[Date]]) - DATE(1970, 1, 1)) * 86400000</f>
        <v>1726963200000</v>
      </c>
      <c r="G145" s="10">
        <f>'GMT Glossary'!$B$2</f>
        <v>6</v>
      </c>
      <c r="H145" s="2" t="str">
        <f t="shared" si="4"/>
        <v>2024-09-22</v>
      </c>
      <c r="I145" s="2" t="str">
        <f t="shared" si="5"/>
        <v>15:00</v>
      </c>
    </row>
    <row r="146" spans="1:9" x14ac:dyDescent="0.25">
      <c r="A146" s="12">
        <v>45557</v>
      </c>
      <c r="B146" s="15">
        <v>0.5</v>
      </c>
      <c r="C146" s="14" t="s">
        <v>37</v>
      </c>
      <c r="D146" s="19" t="s">
        <v>120</v>
      </c>
      <c r="E146" s="11" t="s">
        <v>22</v>
      </c>
      <c r="F146" s="8">
        <f>(INT(Table_Kyrgyzstan2[[#This Row],[Date]]) - DATE(1970, 1, 1)) * 86400000</f>
        <v>1726963200000</v>
      </c>
      <c r="G146" s="10">
        <f>'GMT Glossary'!$B$2</f>
        <v>6</v>
      </c>
      <c r="H146" s="2" t="str">
        <f t="shared" si="4"/>
        <v>2024-09-22</v>
      </c>
      <c r="I146" s="2" t="str">
        <f t="shared" si="5"/>
        <v>18:00</v>
      </c>
    </row>
    <row r="147" spans="1:9" x14ac:dyDescent="0.25">
      <c r="A147" s="12">
        <v>45557</v>
      </c>
      <c r="B147" s="15">
        <v>0.59375</v>
      </c>
      <c r="C147" s="14" t="s">
        <v>26</v>
      </c>
      <c r="D147" s="19" t="s">
        <v>121</v>
      </c>
      <c r="E147" s="11" t="s">
        <v>22</v>
      </c>
      <c r="F147" s="8">
        <f>(INT(Table_Kyrgyzstan2[[#This Row],[Date]]) - DATE(1970, 1, 1)) * 86400000</f>
        <v>1726963200000</v>
      </c>
      <c r="G147" s="10">
        <f>'GMT Glossary'!$B$2</f>
        <v>6</v>
      </c>
      <c r="H147" s="2" t="str">
        <f t="shared" si="4"/>
        <v>2024-09-22</v>
      </c>
      <c r="I147" s="2" t="str">
        <f t="shared" si="5"/>
        <v>20:15</v>
      </c>
    </row>
    <row r="148" spans="1:9" x14ac:dyDescent="0.25">
      <c r="A148" s="12">
        <v>45557</v>
      </c>
      <c r="B148" s="15">
        <v>0.6875</v>
      </c>
      <c r="C148" s="14" t="s">
        <v>26</v>
      </c>
      <c r="D148" s="19" t="s">
        <v>122</v>
      </c>
      <c r="E148" s="11" t="s">
        <v>22</v>
      </c>
      <c r="F148" s="8">
        <f>(INT(Table_Kyrgyzstan2[[#This Row],[Date]]) - DATE(1970, 1, 1)) * 86400000</f>
        <v>1726963200000</v>
      </c>
      <c r="G148" s="10">
        <f>'GMT Glossary'!$B$2</f>
        <v>6</v>
      </c>
      <c r="H148" s="2" t="str">
        <f t="shared" si="4"/>
        <v>2024-09-22</v>
      </c>
      <c r="I148" s="2" t="str">
        <f t="shared" si="5"/>
        <v>22:30</v>
      </c>
    </row>
    <row r="149" spans="1:9" x14ac:dyDescent="0.25">
      <c r="A149" s="12">
        <v>45557</v>
      </c>
      <c r="B149" s="15">
        <v>0.78125</v>
      </c>
      <c r="C149" s="14" t="s">
        <v>26</v>
      </c>
      <c r="D149" s="19" t="s">
        <v>123</v>
      </c>
      <c r="E149" s="11" t="s">
        <v>22</v>
      </c>
      <c r="F149" s="8">
        <f>(INT(Table_Kyrgyzstan2[[#This Row],[Date]]) - DATE(1970, 1, 1)) * 86400000</f>
        <v>1726963200000</v>
      </c>
      <c r="G149" s="10">
        <f>'GMT Glossary'!$B$2</f>
        <v>6</v>
      </c>
      <c r="H149" s="2" t="str">
        <f t="shared" si="4"/>
        <v>2024-09-23</v>
      </c>
      <c r="I149" s="2" t="str">
        <f t="shared" si="5"/>
        <v>00:45</v>
      </c>
    </row>
    <row r="150" spans="1:9" x14ac:dyDescent="0.25">
      <c r="A150" s="12">
        <v>45557</v>
      </c>
      <c r="B150" s="15">
        <v>0.875</v>
      </c>
      <c r="C150" s="14" t="s">
        <v>26</v>
      </c>
      <c r="D150" s="19" t="s">
        <v>119</v>
      </c>
      <c r="E150" s="11" t="s">
        <v>22</v>
      </c>
      <c r="F150" s="8">
        <f>(INT(Table_Kyrgyzstan2[[#This Row],[Date]]) - DATE(1970, 1, 1)) * 86400000</f>
        <v>1726963200000</v>
      </c>
      <c r="G150" s="10">
        <f>'GMT Glossary'!$B$2</f>
        <v>6</v>
      </c>
      <c r="H150" s="2" t="str">
        <f t="shared" si="4"/>
        <v>2024-09-23</v>
      </c>
      <c r="I150" s="2" t="str">
        <f t="shared" si="5"/>
        <v>03:00</v>
      </c>
    </row>
    <row r="151" spans="1:9" x14ac:dyDescent="0.25">
      <c r="A151" s="12">
        <v>45557</v>
      </c>
      <c r="B151" s="15">
        <v>0.97916666666666663</v>
      </c>
      <c r="C151" s="14" t="s">
        <v>36</v>
      </c>
      <c r="D151" s="19" t="s">
        <v>47</v>
      </c>
      <c r="E151" s="11" t="s">
        <v>22</v>
      </c>
      <c r="F151" s="8">
        <f>(INT(Table_Kyrgyzstan2[[#This Row],[Date]]) - DATE(1970, 1, 1)) * 86400000</f>
        <v>1726963200000</v>
      </c>
      <c r="G151" s="10">
        <f>'GMT Glossary'!$B$2</f>
        <v>6</v>
      </c>
      <c r="H151" s="2" t="str">
        <f t="shared" si="4"/>
        <v>2024-09-23</v>
      </c>
      <c r="I151" s="2" t="str">
        <f t="shared" si="5"/>
        <v>05:30</v>
      </c>
    </row>
    <row r="152" spans="1:9" x14ac:dyDescent="0.25">
      <c r="A152" s="12">
        <v>45558</v>
      </c>
      <c r="B152" s="15">
        <v>8.3333333333333329E-2</v>
      </c>
      <c r="C152" s="14" t="s">
        <v>18</v>
      </c>
      <c r="D152" s="19" t="s">
        <v>124</v>
      </c>
      <c r="E152" s="11" t="s">
        <v>22</v>
      </c>
      <c r="F152" s="8">
        <f>(INT(Table_Kyrgyzstan2[[#This Row],[Date]]) - DATE(1970, 1, 1)) * 86400000</f>
        <v>1727049600000</v>
      </c>
      <c r="G152" s="10">
        <f>'GMT Glossary'!$B$2</f>
        <v>6</v>
      </c>
      <c r="H152" s="2" t="str">
        <f t="shared" si="4"/>
        <v>2024-09-23</v>
      </c>
      <c r="I152" s="2" t="str">
        <f t="shared" si="5"/>
        <v>08:00</v>
      </c>
    </row>
    <row r="153" spans="1:9" x14ac:dyDescent="0.25">
      <c r="A153" s="12">
        <v>45558</v>
      </c>
      <c r="B153" s="15">
        <v>0.20833333333333334</v>
      </c>
      <c r="C153" s="14" t="s">
        <v>26</v>
      </c>
      <c r="D153" s="19" t="s">
        <v>125</v>
      </c>
      <c r="E153" s="11" t="s">
        <v>22</v>
      </c>
      <c r="F153" s="8">
        <f>(INT(Table_Kyrgyzstan2[[#This Row],[Date]]) - DATE(1970, 1, 1)) * 86400000</f>
        <v>1727049600000</v>
      </c>
      <c r="G153" s="10">
        <f>'GMT Glossary'!$B$2</f>
        <v>6</v>
      </c>
      <c r="H153" s="2" t="str">
        <f t="shared" si="4"/>
        <v>2024-09-23</v>
      </c>
      <c r="I153" s="2" t="str">
        <f t="shared" si="5"/>
        <v>11:00</v>
      </c>
    </row>
    <row r="154" spans="1:9" x14ac:dyDescent="0.25">
      <c r="A154" s="12">
        <v>45558</v>
      </c>
      <c r="B154" s="15">
        <v>0.29166666666666669</v>
      </c>
      <c r="C154" s="14" t="s">
        <v>26</v>
      </c>
      <c r="D154" s="19" t="s">
        <v>126</v>
      </c>
      <c r="E154" s="11" t="s">
        <v>22</v>
      </c>
      <c r="F154" s="8">
        <f>(INT(Table_Kyrgyzstan2[[#This Row],[Date]]) - DATE(1970, 1, 1)) * 86400000</f>
        <v>1727049600000</v>
      </c>
      <c r="G154" s="10">
        <f>'GMT Glossary'!$B$2</f>
        <v>6</v>
      </c>
      <c r="H154" s="2" t="str">
        <f t="shared" si="4"/>
        <v>2024-09-23</v>
      </c>
      <c r="I154" s="2" t="str">
        <f t="shared" si="5"/>
        <v>13:00</v>
      </c>
    </row>
    <row r="155" spans="1:9" x14ac:dyDescent="0.25">
      <c r="A155" s="12">
        <v>45558</v>
      </c>
      <c r="B155" s="15">
        <v>0.375</v>
      </c>
      <c r="C155" s="14" t="s">
        <v>26</v>
      </c>
      <c r="D155" s="19" t="s">
        <v>127</v>
      </c>
      <c r="E155" s="11" t="s">
        <v>22</v>
      </c>
      <c r="F155" s="8">
        <f>(INT(Table_Kyrgyzstan2[[#This Row],[Date]]) - DATE(1970, 1, 1)) * 86400000</f>
        <v>1727049600000</v>
      </c>
      <c r="G155" s="10">
        <f>'GMT Glossary'!$B$2</f>
        <v>6</v>
      </c>
      <c r="H155" s="2" t="str">
        <f t="shared" si="4"/>
        <v>2024-09-23</v>
      </c>
      <c r="I155" s="2" t="str">
        <f t="shared" si="5"/>
        <v>15:00</v>
      </c>
    </row>
    <row r="156" spans="1:9" x14ac:dyDescent="0.25">
      <c r="A156" s="12">
        <v>45558</v>
      </c>
      <c r="B156" s="15">
        <v>0.45833333333333331</v>
      </c>
      <c r="C156" s="14" t="s">
        <v>37</v>
      </c>
      <c r="D156" s="19" t="s">
        <v>46</v>
      </c>
      <c r="E156" s="11" t="s">
        <v>22</v>
      </c>
      <c r="F156" s="8">
        <f>(INT(Table_Kyrgyzstan2[[#This Row],[Date]]) - DATE(1970, 1, 1)) * 86400000</f>
        <v>1727049600000</v>
      </c>
      <c r="G156" s="10">
        <f>'GMT Glossary'!$B$2</f>
        <v>6</v>
      </c>
      <c r="H156" s="2" t="str">
        <f t="shared" si="4"/>
        <v>2024-09-23</v>
      </c>
      <c r="I156" s="2" t="str">
        <f t="shared" si="5"/>
        <v>17:00</v>
      </c>
    </row>
    <row r="157" spans="1:9" x14ac:dyDescent="0.25">
      <c r="A157" s="12">
        <v>45558</v>
      </c>
      <c r="B157" s="15">
        <v>0.54166666666666663</v>
      </c>
      <c r="C157" s="14" t="s">
        <v>36</v>
      </c>
      <c r="D157" s="19" t="s">
        <v>47</v>
      </c>
      <c r="E157" s="11" t="s">
        <v>22</v>
      </c>
      <c r="F157" s="8">
        <f>(INT(Table_Kyrgyzstan2[[#This Row],[Date]]) - DATE(1970, 1, 1)) * 86400000</f>
        <v>1727049600000</v>
      </c>
      <c r="G157" s="10">
        <f>'GMT Glossary'!$B$2</f>
        <v>6</v>
      </c>
      <c r="H157" s="2" t="str">
        <f t="shared" si="4"/>
        <v>2024-09-23</v>
      </c>
      <c r="I157" s="2" t="str">
        <f t="shared" si="5"/>
        <v>19:00</v>
      </c>
    </row>
    <row r="158" spans="1:9" x14ac:dyDescent="0.25">
      <c r="A158" s="12">
        <v>45558</v>
      </c>
      <c r="B158" s="15">
        <v>0.625</v>
      </c>
      <c r="C158" s="14" t="s">
        <v>26</v>
      </c>
      <c r="D158" s="19" t="s">
        <v>128</v>
      </c>
      <c r="E158" s="11" t="s">
        <v>22</v>
      </c>
      <c r="F158" s="8">
        <f>(INT(Table_Kyrgyzstan2[[#This Row],[Date]]) - DATE(1970, 1, 1)) * 86400000</f>
        <v>1727049600000</v>
      </c>
      <c r="G158" s="10">
        <f>'GMT Glossary'!$B$2</f>
        <v>6</v>
      </c>
      <c r="H158" s="2" t="str">
        <f t="shared" si="4"/>
        <v>2024-09-23</v>
      </c>
      <c r="I158" s="2" t="str">
        <f t="shared" si="5"/>
        <v>21:00</v>
      </c>
    </row>
    <row r="159" spans="1:9" x14ac:dyDescent="0.25">
      <c r="A159" s="12">
        <v>45558</v>
      </c>
      <c r="B159" s="15">
        <v>0.70833333333333337</v>
      </c>
      <c r="C159" s="14" t="s">
        <v>26</v>
      </c>
      <c r="D159" s="19" t="s">
        <v>129</v>
      </c>
      <c r="E159" s="11" t="s">
        <v>22</v>
      </c>
      <c r="F159" s="8">
        <f>(INT(Table_Kyrgyzstan2[[#This Row],[Date]]) - DATE(1970, 1, 1)) * 86400000</f>
        <v>1727049600000</v>
      </c>
      <c r="G159" s="10">
        <f>'GMT Glossary'!$B$2</f>
        <v>6</v>
      </c>
      <c r="H159" s="2" t="str">
        <f t="shared" si="4"/>
        <v>2024-09-23</v>
      </c>
      <c r="I159" s="2" t="str">
        <f t="shared" si="5"/>
        <v>23:00</v>
      </c>
    </row>
    <row r="160" spans="1:9" x14ac:dyDescent="0.25">
      <c r="A160" s="12">
        <v>45558</v>
      </c>
      <c r="B160" s="15">
        <v>0.79166666666666663</v>
      </c>
      <c r="C160" s="14" t="s">
        <v>26</v>
      </c>
      <c r="D160" s="19" t="s">
        <v>119</v>
      </c>
      <c r="E160" s="11" t="s">
        <v>22</v>
      </c>
      <c r="F160" s="8">
        <f>(INT(Table_Kyrgyzstan2[[#This Row],[Date]]) - DATE(1970, 1, 1)) * 86400000</f>
        <v>1727049600000</v>
      </c>
      <c r="G160" s="10">
        <f>'GMT Glossary'!$B$2</f>
        <v>6</v>
      </c>
      <c r="H160" s="2" t="str">
        <f t="shared" si="4"/>
        <v>2024-09-24</v>
      </c>
      <c r="I160" s="2" t="str">
        <f t="shared" si="5"/>
        <v>01:00</v>
      </c>
    </row>
    <row r="161" spans="1:9" x14ac:dyDescent="0.25">
      <c r="A161" s="12">
        <v>45558</v>
      </c>
      <c r="B161" s="15">
        <v>0.875</v>
      </c>
      <c r="C161" s="14" t="s">
        <v>26</v>
      </c>
      <c r="D161" s="19" t="s">
        <v>112</v>
      </c>
      <c r="E161" s="11" t="s">
        <v>22</v>
      </c>
      <c r="F161" s="8">
        <f>(INT(Table_Kyrgyzstan2[[#This Row],[Date]]) - DATE(1970, 1, 1)) * 86400000</f>
        <v>1727049600000</v>
      </c>
      <c r="G161" s="10">
        <f>'GMT Glossary'!$B$2</f>
        <v>6</v>
      </c>
      <c r="H161" s="2" t="str">
        <f t="shared" si="4"/>
        <v>2024-09-24</v>
      </c>
      <c r="I161" s="2" t="str">
        <f t="shared" si="5"/>
        <v>03:00</v>
      </c>
    </row>
    <row r="162" spans="1:9" x14ac:dyDescent="0.25">
      <c r="A162" s="12">
        <v>45558</v>
      </c>
      <c r="B162" s="15">
        <v>0.95833333333333337</v>
      </c>
      <c r="C162" s="14" t="s">
        <v>18</v>
      </c>
      <c r="D162" s="19" t="s">
        <v>124</v>
      </c>
      <c r="E162" s="11" t="s">
        <v>22</v>
      </c>
      <c r="F162" s="8">
        <f>(INT(Table_Kyrgyzstan2[[#This Row],[Date]]) - DATE(1970, 1, 1)) * 86400000</f>
        <v>1727049600000</v>
      </c>
      <c r="G162" s="10">
        <f>'GMT Glossary'!$B$2</f>
        <v>6</v>
      </c>
      <c r="H162" s="2" t="str">
        <f t="shared" si="4"/>
        <v>2024-09-24</v>
      </c>
      <c r="I162" s="2" t="str">
        <f t="shared" si="5"/>
        <v>05:00</v>
      </c>
    </row>
    <row r="163" spans="1:9" x14ac:dyDescent="0.25">
      <c r="A163" s="12">
        <v>45559</v>
      </c>
      <c r="B163" s="15">
        <v>8.3333333333333329E-2</v>
      </c>
      <c r="C163" s="14" t="s">
        <v>37</v>
      </c>
      <c r="D163" s="19" t="s">
        <v>46</v>
      </c>
      <c r="E163" s="11" t="s">
        <v>22</v>
      </c>
      <c r="F163" s="8">
        <f>(INT(Table_Kyrgyzstan2[[#This Row],[Date]]) - DATE(1970, 1, 1)) * 86400000</f>
        <v>1727136000000</v>
      </c>
      <c r="G163" s="10">
        <f>'GMT Glossary'!$B$2</f>
        <v>6</v>
      </c>
      <c r="H163" s="2" t="str">
        <f t="shared" si="4"/>
        <v>2024-09-24</v>
      </c>
      <c r="I163" s="2" t="str">
        <f t="shared" si="5"/>
        <v>08:00</v>
      </c>
    </row>
    <row r="164" spans="1:9" x14ac:dyDescent="0.25">
      <c r="A164" s="12">
        <v>45559</v>
      </c>
      <c r="B164" s="15">
        <v>0.20833333333333334</v>
      </c>
      <c r="C164" s="14" t="s">
        <v>36</v>
      </c>
      <c r="D164" s="19" t="s">
        <v>47</v>
      </c>
      <c r="E164" s="11" t="s">
        <v>22</v>
      </c>
      <c r="F164" s="8">
        <f>(INT(Table_Kyrgyzstan2[[#This Row],[Date]]) - DATE(1970, 1, 1)) * 86400000</f>
        <v>1727136000000</v>
      </c>
      <c r="G164" s="10">
        <f>'GMT Glossary'!$B$2</f>
        <v>6</v>
      </c>
      <c r="H164" s="2" t="str">
        <f t="shared" si="4"/>
        <v>2024-09-24</v>
      </c>
      <c r="I164" s="2" t="str">
        <f t="shared" si="5"/>
        <v>11:00</v>
      </c>
    </row>
    <row r="165" spans="1:9" x14ac:dyDescent="0.25">
      <c r="A165" s="12">
        <v>45559</v>
      </c>
      <c r="B165" s="15">
        <v>0.29166666666666669</v>
      </c>
      <c r="C165" s="14" t="s">
        <v>26</v>
      </c>
      <c r="D165" s="19" t="s">
        <v>127</v>
      </c>
      <c r="E165" s="11" t="s">
        <v>22</v>
      </c>
      <c r="F165" s="8">
        <f>(INT(Table_Kyrgyzstan2[[#This Row],[Date]]) - DATE(1970, 1, 1)) * 86400000</f>
        <v>1727136000000</v>
      </c>
      <c r="G165" s="10">
        <f>'GMT Glossary'!$B$2</f>
        <v>6</v>
      </c>
      <c r="H165" s="2" t="str">
        <f t="shared" si="4"/>
        <v>2024-09-24</v>
      </c>
      <c r="I165" s="2" t="str">
        <f t="shared" si="5"/>
        <v>13:00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63EF9-22E2-44C3-9046-6143BD30FB8C}">
  <dimension ref="A1:I251"/>
  <sheetViews>
    <sheetView tabSelected="1" topLeftCell="A228" workbookViewId="0">
      <selection activeCell="E250" sqref="E250"/>
    </sheetView>
  </sheetViews>
  <sheetFormatPr defaultRowHeight="15" x14ac:dyDescent="0.25"/>
  <cols>
    <col min="1" max="1" width="27.28515625" style="1" customWidth="1"/>
    <col min="2" max="2" width="25.5703125" customWidth="1"/>
    <col min="3" max="3" width="26.7109375" customWidth="1"/>
    <col min="4" max="4" width="50.5703125" customWidth="1"/>
    <col min="5" max="5" width="32.7109375" customWidth="1"/>
    <col min="6" max="6" width="46.28515625" style="8" customWidth="1"/>
    <col min="7" max="7" width="44.42578125" customWidth="1"/>
    <col min="8" max="8" width="28.5703125" style="5" customWidth="1"/>
    <col min="9" max="9" width="31.28515625" customWidth="1"/>
    <col min="10" max="10" width="8.85546875" customWidth="1"/>
  </cols>
  <sheetData>
    <row r="1" spans="1:9" x14ac:dyDescent="0.25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5" t="s">
        <v>19</v>
      </c>
      <c r="I1" t="s">
        <v>7</v>
      </c>
    </row>
    <row r="2" spans="1:9" x14ac:dyDescent="0.25">
      <c r="A2" s="23">
        <v>45552</v>
      </c>
      <c r="B2" s="20">
        <v>0.375</v>
      </c>
      <c r="C2" s="24" t="s">
        <v>26</v>
      </c>
      <c r="D2" s="22" t="s">
        <v>58</v>
      </c>
      <c r="E2" s="9" t="s">
        <v>20</v>
      </c>
      <c r="F2" s="8">
        <f>(INT(Table_Moldova[[#This Row],[Date]]) - DATE(1970, 1, 1)) * 86400000</f>
        <v>1726531200000</v>
      </c>
      <c r="G2">
        <f>'GMT Glossary'!$B$2</f>
        <v>6</v>
      </c>
      <c r="H2" s="2" t="str">
        <f t="shared" ref="H2:H65" si="0">TEXT(IF(B2&lt;0, A2+1+((B2+(G2/24))-(INT(B2+(G2/24)))), A2+(B2+(G2/24))), "yyyy-mm-dd")</f>
        <v>2024-09-17</v>
      </c>
      <c r="I2" s="2" t="str">
        <f t="shared" ref="I2:I65" si="1">TEXT(IF(B2&lt;0, A2+1+((B2+(G2/24))-(INT(B2+(G2/24)))), A2+(B2+(G2/24))), "hh:mm")</f>
        <v>15:00</v>
      </c>
    </row>
    <row r="3" spans="1:9" x14ac:dyDescent="0.25">
      <c r="A3" s="23">
        <v>45552</v>
      </c>
      <c r="B3" s="20">
        <v>0.45833333333333331</v>
      </c>
      <c r="C3" s="24" t="s">
        <v>26</v>
      </c>
      <c r="D3" s="22" t="s">
        <v>59</v>
      </c>
      <c r="E3" s="9" t="s">
        <v>20</v>
      </c>
      <c r="F3" s="8">
        <f>(INT(Table_Moldova[[#This Row],[Date]]) - DATE(1970, 1, 1)) * 86400000</f>
        <v>1726531200000</v>
      </c>
      <c r="G3">
        <f>'GMT Glossary'!$B$2</f>
        <v>6</v>
      </c>
      <c r="H3" s="2" t="str">
        <f t="shared" si="0"/>
        <v>2024-09-17</v>
      </c>
      <c r="I3" s="2" t="str">
        <f t="shared" si="1"/>
        <v>17:00</v>
      </c>
    </row>
    <row r="4" spans="1:9" x14ac:dyDescent="0.25">
      <c r="A4" s="23">
        <v>45552</v>
      </c>
      <c r="B4" s="20">
        <v>0.54166666666666663</v>
      </c>
      <c r="C4" s="24" t="s">
        <v>26</v>
      </c>
      <c r="D4" s="22" t="s">
        <v>60</v>
      </c>
      <c r="E4" s="9" t="s">
        <v>20</v>
      </c>
      <c r="F4" s="8">
        <f>(INT(Table_Moldova[[#This Row],[Date]]) - DATE(1970, 1, 1)) * 86400000</f>
        <v>1726531200000</v>
      </c>
      <c r="G4">
        <f>'GMT Glossary'!$B$2</f>
        <v>6</v>
      </c>
      <c r="H4" s="2" t="str">
        <f t="shared" si="0"/>
        <v>2024-09-17</v>
      </c>
      <c r="I4" s="2" t="str">
        <f t="shared" si="1"/>
        <v>19:00</v>
      </c>
    </row>
    <row r="5" spans="1:9" x14ac:dyDescent="0.25">
      <c r="A5" s="23">
        <v>45552</v>
      </c>
      <c r="B5" s="20">
        <v>0.625</v>
      </c>
      <c r="C5" s="24" t="s">
        <v>26</v>
      </c>
      <c r="D5" s="22" t="s">
        <v>33</v>
      </c>
      <c r="E5" s="9" t="s">
        <v>20</v>
      </c>
      <c r="F5" s="8">
        <f>(INT(Table_Moldova[[#This Row],[Date]]) - DATE(1970, 1, 1)) * 86400000</f>
        <v>1726531200000</v>
      </c>
      <c r="G5">
        <f>'GMT Glossary'!$B$2</f>
        <v>6</v>
      </c>
      <c r="H5" s="2" t="str">
        <f t="shared" si="0"/>
        <v>2024-09-17</v>
      </c>
      <c r="I5" s="2" t="str">
        <f t="shared" si="1"/>
        <v>21:00</v>
      </c>
    </row>
    <row r="6" spans="1:9" x14ac:dyDescent="0.25">
      <c r="A6" s="23">
        <v>45552</v>
      </c>
      <c r="B6" s="20">
        <v>0.70833333333333337</v>
      </c>
      <c r="C6" s="24" t="s">
        <v>26</v>
      </c>
      <c r="D6" s="22" t="s">
        <v>34</v>
      </c>
      <c r="E6" s="9" t="s">
        <v>20</v>
      </c>
      <c r="F6" s="8">
        <f>(INT(Table_Moldova[[#This Row],[Date]]) - DATE(1970, 1, 1)) * 86400000</f>
        <v>1726531200000</v>
      </c>
      <c r="G6">
        <f>'GMT Glossary'!$B$2</f>
        <v>6</v>
      </c>
      <c r="H6" s="2" t="str">
        <f t="shared" si="0"/>
        <v>2024-09-17</v>
      </c>
      <c r="I6" s="2" t="str">
        <f t="shared" si="1"/>
        <v>23:00</v>
      </c>
    </row>
    <row r="7" spans="1:9" x14ac:dyDescent="0.25">
      <c r="A7" s="23">
        <v>45552</v>
      </c>
      <c r="B7" s="20">
        <v>0.79166666666666663</v>
      </c>
      <c r="C7" s="24" t="s">
        <v>26</v>
      </c>
      <c r="D7" s="21" t="s">
        <v>61</v>
      </c>
      <c r="E7" s="9" t="s">
        <v>20</v>
      </c>
      <c r="F7" s="8">
        <f>(INT(Table_Moldova[[#This Row],[Date]]) - DATE(1970, 1, 1)) * 86400000</f>
        <v>1726531200000</v>
      </c>
      <c r="G7">
        <f>'GMT Glossary'!$B$2</f>
        <v>6</v>
      </c>
      <c r="H7" s="2" t="str">
        <f t="shared" si="0"/>
        <v>2024-09-18</v>
      </c>
      <c r="I7" s="2" t="str">
        <f t="shared" si="1"/>
        <v>01:00</v>
      </c>
    </row>
    <row r="8" spans="1:9" x14ac:dyDescent="0.25">
      <c r="A8" s="23">
        <v>45552</v>
      </c>
      <c r="B8" s="20">
        <v>0.875</v>
      </c>
      <c r="C8" s="24" t="s">
        <v>26</v>
      </c>
      <c r="D8" s="22" t="s">
        <v>62</v>
      </c>
      <c r="E8" s="9" t="s">
        <v>20</v>
      </c>
      <c r="F8" s="8">
        <f>(INT(Table_Moldova[[#This Row],[Date]]) - DATE(1970, 1, 1)) * 86400000</f>
        <v>1726531200000</v>
      </c>
      <c r="G8">
        <f>'GMT Glossary'!$B$2</f>
        <v>6</v>
      </c>
      <c r="H8" s="2" t="str">
        <f t="shared" si="0"/>
        <v>2024-09-18</v>
      </c>
      <c r="I8" s="2" t="str">
        <f t="shared" si="1"/>
        <v>03:00</v>
      </c>
    </row>
    <row r="9" spans="1:9" x14ac:dyDescent="0.25">
      <c r="A9" s="23">
        <v>45552</v>
      </c>
      <c r="B9" s="20">
        <v>0.95833333333333337</v>
      </c>
      <c r="C9" s="24" t="s">
        <v>26</v>
      </c>
      <c r="D9" s="22" t="s">
        <v>56</v>
      </c>
      <c r="E9" s="9" t="s">
        <v>20</v>
      </c>
      <c r="F9" s="8">
        <f>(INT(Table_Moldova[[#This Row],[Date]]) - DATE(1970, 1, 1)) * 86400000</f>
        <v>1726531200000</v>
      </c>
      <c r="G9">
        <f>'GMT Glossary'!$B$2</f>
        <v>6</v>
      </c>
      <c r="H9" s="2" t="str">
        <f t="shared" si="0"/>
        <v>2024-09-18</v>
      </c>
      <c r="I9" s="2" t="str">
        <f t="shared" si="1"/>
        <v>05:00</v>
      </c>
    </row>
    <row r="10" spans="1:9" x14ac:dyDescent="0.25">
      <c r="A10" s="23">
        <v>45553</v>
      </c>
      <c r="B10" s="20">
        <v>4.1666666666666664E-2</v>
      </c>
      <c r="C10" s="24" t="s">
        <v>26</v>
      </c>
      <c r="D10" s="22" t="s">
        <v>29</v>
      </c>
      <c r="E10" s="9" t="s">
        <v>20</v>
      </c>
      <c r="F10" s="8">
        <f>(INT(Table_Moldova[[#This Row],[Date]]) - DATE(1970, 1, 1)) * 86400000</f>
        <v>1726617600000</v>
      </c>
      <c r="G10">
        <f>'GMT Glossary'!$B$2</f>
        <v>6</v>
      </c>
      <c r="H10" s="2" t="str">
        <f t="shared" si="0"/>
        <v>2024-09-18</v>
      </c>
      <c r="I10" s="2" t="str">
        <f t="shared" si="1"/>
        <v>07:00</v>
      </c>
    </row>
    <row r="11" spans="1:9" x14ac:dyDescent="0.25">
      <c r="A11" s="23">
        <v>45553</v>
      </c>
      <c r="B11" s="20">
        <v>0.125</v>
      </c>
      <c r="C11" s="24" t="s">
        <v>26</v>
      </c>
      <c r="D11" s="22" t="s">
        <v>32</v>
      </c>
      <c r="E11" s="9" t="s">
        <v>20</v>
      </c>
      <c r="F11" s="8">
        <f>(INT(Table_Moldova[[#This Row],[Date]]) - DATE(1970, 1, 1)) * 86400000</f>
        <v>1726617600000</v>
      </c>
      <c r="G11">
        <f>'GMT Glossary'!$B$2</f>
        <v>6</v>
      </c>
      <c r="H11" s="2" t="str">
        <f t="shared" si="0"/>
        <v>2024-09-18</v>
      </c>
      <c r="I11" s="2" t="str">
        <f t="shared" si="1"/>
        <v>09:00</v>
      </c>
    </row>
    <row r="12" spans="1:9" x14ac:dyDescent="0.25">
      <c r="A12" s="23">
        <v>45553</v>
      </c>
      <c r="B12" s="20">
        <v>0.20833333333333334</v>
      </c>
      <c r="C12" s="24" t="s">
        <v>26</v>
      </c>
      <c r="D12" s="22" t="s">
        <v>35</v>
      </c>
      <c r="E12" s="9" t="s">
        <v>20</v>
      </c>
      <c r="F12" s="8">
        <f>(INT(Table_Moldova[[#This Row],[Date]]) - DATE(1970, 1, 1)) * 86400000</f>
        <v>1726617600000</v>
      </c>
      <c r="G12">
        <f>'GMT Glossary'!$B$2</f>
        <v>6</v>
      </c>
      <c r="H12" s="2" t="str">
        <f t="shared" si="0"/>
        <v>2024-09-18</v>
      </c>
      <c r="I12" s="2" t="str">
        <f t="shared" si="1"/>
        <v>11:00</v>
      </c>
    </row>
    <row r="13" spans="1:9" x14ac:dyDescent="0.25">
      <c r="A13" s="23">
        <v>45553</v>
      </c>
      <c r="B13" s="20">
        <v>0.29166666666666669</v>
      </c>
      <c r="C13" s="24" t="s">
        <v>26</v>
      </c>
      <c r="D13" s="22" t="s">
        <v>63</v>
      </c>
      <c r="E13" s="9" t="s">
        <v>20</v>
      </c>
      <c r="F13" s="8">
        <f>(INT(Table_Moldova[[#This Row],[Date]]) - DATE(1970, 1, 1)) * 86400000</f>
        <v>1726617600000</v>
      </c>
      <c r="G13">
        <f>'GMT Glossary'!$B$2</f>
        <v>6</v>
      </c>
      <c r="H13" s="2" t="str">
        <f t="shared" si="0"/>
        <v>2024-09-18</v>
      </c>
      <c r="I13" s="2" t="str">
        <f t="shared" si="1"/>
        <v>13:00</v>
      </c>
    </row>
    <row r="14" spans="1:9" x14ac:dyDescent="0.25">
      <c r="A14" s="23">
        <v>45553</v>
      </c>
      <c r="B14" s="20">
        <v>0.375</v>
      </c>
      <c r="C14" s="24" t="s">
        <v>26</v>
      </c>
      <c r="D14" s="22" t="s">
        <v>64</v>
      </c>
      <c r="E14" s="9" t="s">
        <v>20</v>
      </c>
      <c r="F14" s="8">
        <f>(INT(Table_Moldova[[#This Row],[Date]]) - DATE(1970, 1, 1)) * 86400000</f>
        <v>1726617600000</v>
      </c>
      <c r="G14">
        <f>'GMT Glossary'!$B$2</f>
        <v>6</v>
      </c>
      <c r="H14" s="2" t="str">
        <f t="shared" si="0"/>
        <v>2024-09-18</v>
      </c>
      <c r="I14" s="2" t="str">
        <f t="shared" si="1"/>
        <v>15:00</v>
      </c>
    </row>
    <row r="15" spans="1:9" x14ac:dyDescent="0.25">
      <c r="A15" s="23">
        <v>45553</v>
      </c>
      <c r="B15" s="20">
        <v>0.41666666666666669</v>
      </c>
      <c r="C15" s="24" t="s">
        <v>26</v>
      </c>
      <c r="D15" s="22" t="s">
        <v>65</v>
      </c>
      <c r="E15" s="9" t="s">
        <v>20</v>
      </c>
      <c r="F15" s="8">
        <f>(INT(Table_Moldova[[#This Row],[Date]]) - DATE(1970, 1, 1)) * 86400000</f>
        <v>1726617600000</v>
      </c>
      <c r="G15">
        <f>'GMT Glossary'!$B$2</f>
        <v>6</v>
      </c>
      <c r="H15" s="2" t="str">
        <f t="shared" si="0"/>
        <v>2024-09-18</v>
      </c>
      <c r="I15" s="2" t="str">
        <f t="shared" si="1"/>
        <v>16:00</v>
      </c>
    </row>
    <row r="16" spans="1:9" x14ac:dyDescent="0.25">
      <c r="A16" s="23">
        <v>45553</v>
      </c>
      <c r="B16" s="20">
        <v>0.45833333333333331</v>
      </c>
      <c r="C16" s="24" t="s">
        <v>26</v>
      </c>
      <c r="D16" s="22" t="s">
        <v>66</v>
      </c>
      <c r="E16" s="9" t="s">
        <v>20</v>
      </c>
      <c r="F16" s="8">
        <f>(INT(Table_Moldova[[#This Row],[Date]]) - DATE(1970, 1, 1)) * 86400000</f>
        <v>1726617600000</v>
      </c>
      <c r="G16">
        <f>'GMT Glossary'!$B$2</f>
        <v>6</v>
      </c>
      <c r="H16" s="2" t="str">
        <f t="shared" si="0"/>
        <v>2024-09-18</v>
      </c>
      <c r="I16" s="2" t="str">
        <f t="shared" si="1"/>
        <v>17:00</v>
      </c>
    </row>
    <row r="17" spans="1:9" x14ac:dyDescent="0.25">
      <c r="A17" s="23">
        <v>45553</v>
      </c>
      <c r="B17" s="20">
        <v>0.5</v>
      </c>
      <c r="C17" s="24" t="s">
        <v>26</v>
      </c>
      <c r="D17" s="22" t="s">
        <v>67</v>
      </c>
      <c r="E17" s="9" t="s">
        <v>20</v>
      </c>
      <c r="F17" s="8">
        <f>(INT(Table_Moldova[[#This Row],[Date]]) - DATE(1970, 1, 1)) * 86400000</f>
        <v>1726617600000</v>
      </c>
      <c r="G17">
        <f>'GMT Glossary'!$B$2</f>
        <v>6</v>
      </c>
      <c r="H17" s="2" t="str">
        <f t="shared" si="0"/>
        <v>2024-09-18</v>
      </c>
      <c r="I17" s="2" t="str">
        <f t="shared" si="1"/>
        <v>18:00</v>
      </c>
    </row>
    <row r="18" spans="1:9" x14ac:dyDescent="0.25">
      <c r="A18" s="23">
        <v>45553</v>
      </c>
      <c r="B18" s="20">
        <v>0.54166666666666663</v>
      </c>
      <c r="C18" s="24" t="s">
        <v>26</v>
      </c>
      <c r="D18" s="22" t="s">
        <v>68</v>
      </c>
      <c r="E18" s="9" t="s">
        <v>20</v>
      </c>
      <c r="F18" s="8">
        <f>(INT(Table_Moldova[[#This Row],[Date]]) - DATE(1970, 1, 1)) * 86400000</f>
        <v>1726617600000</v>
      </c>
      <c r="G18">
        <f>'GMT Glossary'!$B$2</f>
        <v>6</v>
      </c>
      <c r="H18" s="2" t="str">
        <f t="shared" si="0"/>
        <v>2024-09-18</v>
      </c>
      <c r="I18" s="2" t="str">
        <f t="shared" si="1"/>
        <v>19:00</v>
      </c>
    </row>
    <row r="19" spans="1:9" x14ac:dyDescent="0.25">
      <c r="A19" s="23">
        <v>45553</v>
      </c>
      <c r="B19" s="20">
        <v>0.625</v>
      </c>
      <c r="C19" s="24" t="s">
        <v>26</v>
      </c>
      <c r="D19" s="22" t="s">
        <v>29</v>
      </c>
      <c r="E19" s="9" t="s">
        <v>20</v>
      </c>
      <c r="F19" s="8">
        <f>(INT(Table_Moldova[[#This Row],[Date]]) - DATE(1970, 1, 1)) * 86400000</f>
        <v>1726617600000</v>
      </c>
      <c r="G19">
        <f>'GMT Glossary'!$B$2</f>
        <v>6</v>
      </c>
      <c r="H19" s="2" t="str">
        <f t="shared" si="0"/>
        <v>2024-09-18</v>
      </c>
      <c r="I19" s="2" t="str">
        <f t="shared" si="1"/>
        <v>21:00</v>
      </c>
    </row>
    <row r="20" spans="1:9" x14ac:dyDescent="0.25">
      <c r="A20" s="23">
        <v>45553</v>
      </c>
      <c r="B20" s="20">
        <v>0.70833333333333337</v>
      </c>
      <c r="C20" s="24" t="s">
        <v>26</v>
      </c>
      <c r="D20" s="22" t="s">
        <v>69</v>
      </c>
      <c r="E20" s="9" t="s">
        <v>20</v>
      </c>
      <c r="F20" s="8">
        <f>(INT(Table_Moldova[[#This Row],[Date]]) - DATE(1970, 1, 1)) * 86400000</f>
        <v>1726617600000</v>
      </c>
      <c r="G20">
        <f>'GMT Glossary'!$B$2</f>
        <v>6</v>
      </c>
      <c r="H20" s="2" t="str">
        <f t="shared" si="0"/>
        <v>2024-09-18</v>
      </c>
      <c r="I20" s="2" t="str">
        <f t="shared" si="1"/>
        <v>23:00</v>
      </c>
    </row>
    <row r="21" spans="1:9" x14ac:dyDescent="0.25">
      <c r="A21" s="23">
        <v>45553</v>
      </c>
      <c r="B21" s="20">
        <v>0.79166666666666663</v>
      </c>
      <c r="C21" s="24" t="s">
        <v>26</v>
      </c>
      <c r="D21" s="21" t="s">
        <v>70</v>
      </c>
      <c r="E21" s="9" t="s">
        <v>20</v>
      </c>
      <c r="F21" s="8">
        <f>(INT(Table_Moldova[[#This Row],[Date]]) - DATE(1970, 1, 1)) * 86400000</f>
        <v>1726617600000</v>
      </c>
      <c r="G21">
        <f>'GMT Glossary'!$B$2</f>
        <v>6</v>
      </c>
      <c r="H21" s="2" t="str">
        <f t="shared" si="0"/>
        <v>2024-09-19</v>
      </c>
      <c r="I21" s="2" t="str">
        <f t="shared" si="1"/>
        <v>01:00</v>
      </c>
    </row>
    <row r="22" spans="1:9" x14ac:dyDescent="0.25">
      <c r="A22" s="23">
        <v>45553</v>
      </c>
      <c r="B22" s="20">
        <v>0.875</v>
      </c>
      <c r="C22" s="24" t="s">
        <v>26</v>
      </c>
      <c r="D22" s="22" t="s">
        <v>71</v>
      </c>
      <c r="E22" s="9" t="s">
        <v>20</v>
      </c>
      <c r="F22" s="8">
        <f>(INT(Table_Moldova[[#This Row],[Date]]) - DATE(1970, 1, 1)) * 86400000</f>
        <v>1726617600000</v>
      </c>
      <c r="G22">
        <f>'GMT Glossary'!$B$2</f>
        <v>6</v>
      </c>
      <c r="H22" s="2" t="str">
        <f t="shared" si="0"/>
        <v>2024-09-19</v>
      </c>
      <c r="I22" s="2" t="str">
        <f t="shared" si="1"/>
        <v>03:00</v>
      </c>
    </row>
    <row r="23" spans="1:9" x14ac:dyDescent="0.25">
      <c r="A23" s="23">
        <v>45553</v>
      </c>
      <c r="B23" s="20">
        <v>0.95833333333333337</v>
      </c>
      <c r="C23" s="24" t="s">
        <v>26</v>
      </c>
      <c r="D23" s="22" t="s">
        <v>28</v>
      </c>
      <c r="E23" s="9" t="s">
        <v>20</v>
      </c>
      <c r="F23" s="8">
        <f>(INT(Table_Moldova[[#This Row],[Date]]) - DATE(1970, 1, 1)) * 86400000</f>
        <v>1726617600000</v>
      </c>
      <c r="G23">
        <f>'GMT Glossary'!$B$2</f>
        <v>6</v>
      </c>
      <c r="H23" s="2" t="str">
        <f t="shared" si="0"/>
        <v>2024-09-19</v>
      </c>
      <c r="I23" s="2" t="str">
        <f t="shared" si="1"/>
        <v>05:00</v>
      </c>
    </row>
    <row r="24" spans="1:9" x14ac:dyDescent="0.25">
      <c r="A24" s="23">
        <v>45553</v>
      </c>
      <c r="B24" s="20">
        <v>4.1666666666666664E-2</v>
      </c>
      <c r="C24" s="24" t="s">
        <v>26</v>
      </c>
      <c r="D24" s="22" t="s">
        <v>30</v>
      </c>
      <c r="E24" s="9" t="s">
        <v>20</v>
      </c>
      <c r="F24" s="8">
        <f>(INT(Table_Moldova[[#This Row],[Date]]) - DATE(1970, 1, 1)) * 86400000</f>
        <v>1726617600000</v>
      </c>
      <c r="G24">
        <f>'GMT Glossary'!$B$2</f>
        <v>6</v>
      </c>
      <c r="H24" s="2" t="str">
        <f t="shared" si="0"/>
        <v>2024-09-18</v>
      </c>
      <c r="I24" s="2" t="str">
        <f t="shared" si="1"/>
        <v>07:00</v>
      </c>
    </row>
    <row r="25" spans="1:9" x14ac:dyDescent="0.25">
      <c r="A25" s="23">
        <v>45554</v>
      </c>
      <c r="B25" s="20">
        <v>0.125</v>
      </c>
      <c r="C25" s="24" t="s">
        <v>26</v>
      </c>
      <c r="D25" s="22" t="s">
        <v>58</v>
      </c>
      <c r="E25" s="9" t="s">
        <v>20</v>
      </c>
      <c r="F25" s="8">
        <f>(INT(Table_Moldova[[#This Row],[Date]]) - DATE(1970, 1, 1)) * 86400000</f>
        <v>1726704000000</v>
      </c>
      <c r="G25">
        <f>'GMT Glossary'!$B$2</f>
        <v>6</v>
      </c>
      <c r="H25" s="2" t="str">
        <f t="shared" si="0"/>
        <v>2024-09-19</v>
      </c>
      <c r="I25" s="2" t="str">
        <f t="shared" si="1"/>
        <v>09:00</v>
      </c>
    </row>
    <row r="26" spans="1:9" x14ac:dyDescent="0.25">
      <c r="A26" s="23">
        <v>45554</v>
      </c>
      <c r="B26" s="20">
        <v>0.20833333333333334</v>
      </c>
      <c r="C26" s="24" t="s">
        <v>26</v>
      </c>
      <c r="D26" s="22" t="s">
        <v>59</v>
      </c>
      <c r="E26" s="9" t="s">
        <v>20</v>
      </c>
      <c r="F26" s="8">
        <f>(INT(Table_Moldova[[#This Row],[Date]]) - DATE(1970, 1, 1)) * 86400000</f>
        <v>1726704000000</v>
      </c>
      <c r="G26">
        <f>'GMT Glossary'!$B$2</f>
        <v>6</v>
      </c>
      <c r="H26" s="2" t="str">
        <f t="shared" si="0"/>
        <v>2024-09-19</v>
      </c>
      <c r="I26" s="2" t="str">
        <f t="shared" si="1"/>
        <v>11:00</v>
      </c>
    </row>
    <row r="27" spans="1:9" x14ac:dyDescent="0.25">
      <c r="A27" s="23">
        <v>45554</v>
      </c>
      <c r="B27" s="20">
        <v>0.29166666666666669</v>
      </c>
      <c r="C27" s="24" t="s">
        <v>26</v>
      </c>
      <c r="D27" s="22" t="s">
        <v>33</v>
      </c>
      <c r="E27" s="9" t="s">
        <v>20</v>
      </c>
      <c r="F27" s="8">
        <f>(INT(Table_Moldova[[#This Row],[Date]]) - DATE(1970, 1, 1)) * 86400000</f>
        <v>1726704000000</v>
      </c>
      <c r="G27">
        <f>'GMT Glossary'!$B$2</f>
        <v>6</v>
      </c>
      <c r="H27" s="2" t="str">
        <f t="shared" si="0"/>
        <v>2024-09-19</v>
      </c>
      <c r="I27" s="2" t="str">
        <f t="shared" si="1"/>
        <v>13:00</v>
      </c>
    </row>
    <row r="28" spans="1:9" x14ac:dyDescent="0.25">
      <c r="A28" s="23">
        <v>45554</v>
      </c>
      <c r="B28" s="20">
        <v>0.375</v>
      </c>
      <c r="C28" s="24" t="s">
        <v>26</v>
      </c>
      <c r="D28" s="22" t="s">
        <v>64</v>
      </c>
      <c r="E28" s="9" t="s">
        <v>20</v>
      </c>
      <c r="F28" s="8">
        <f>(INT(Table_Moldova[[#This Row],[Date]]) - DATE(1970, 1, 1)) * 86400000</f>
        <v>1726704000000</v>
      </c>
      <c r="G28">
        <f>'GMT Glossary'!$B$2</f>
        <v>6</v>
      </c>
      <c r="H28" s="2" t="str">
        <f t="shared" si="0"/>
        <v>2024-09-19</v>
      </c>
      <c r="I28" s="2" t="str">
        <f t="shared" si="1"/>
        <v>15:00</v>
      </c>
    </row>
    <row r="29" spans="1:9" x14ac:dyDescent="0.25">
      <c r="A29" s="23">
        <v>45554</v>
      </c>
      <c r="B29" s="20">
        <v>0.41666666666666669</v>
      </c>
      <c r="C29" s="24" t="s">
        <v>26</v>
      </c>
      <c r="D29" s="22" t="s">
        <v>65</v>
      </c>
      <c r="E29" s="9" t="s">
        <v>20</v>
      </c>
      <c r="F29" s="8">
        <f>(INT(Table_Moldova[[#This Row],[Date]]) - DATE(1970, 1, 1)) * 86400000</f>
        <v>1726704000000</v>
      </c>
      <c r="G29">
        <f>'GMT Glossary'!$B$2</f>
        <v>6</v>
      </c>
      <c r="H29" s="2" t="str">
        <f t="shared" si="0"/>
        <v>2024-09-19</v>
      </c>
      <c r="I29" s="2" t="str">
        <f t="shared" si="1"/>
        <v>16:00</v>
      </c>
    </row>
    <row r="30" spans="1:9" x14ac:dyDescent="0.25">
      <c r="A30" s="23">
        <v>45554</v>
      </c>
      <c r="B30" s="20">
        <v>0.45833333333333331</v>
      </c>
      <c r="C30" s="24" t="s">
        <v>26</v>
      </c>
      <c r="D30" s="22" t="s">
        <v>66</v>
      </c>
      <c r="E30" s="9" t="s">
        <v>20</v>
      </c>
      <c r="F30" s="8">
        <f>(INT(Table_Moldova[[#This Row],[Date]]) - DATE(1970, 1, 1)) * 86400000</f>
        <v>1726704000000</v>
      </c>
      <c r="G30">
        <f>'GMT Glossary'!$B$2</f>
        <v>6</v>
      </c>
      <c r="H30" s="2" t="str">
        <f t="shared" si="0"/>
        <v>2024-09-19</v>
      </c>
      <c r="I30" s="2" t="str">
        <f t="shared" si="1"/>
        <v>17:00</v>
      </c>
    </row>
    <row r="31" spans="1:9" x14ac:dyDescent="0.25">
      <c r="A31" s="23">
        <v>45554</v>
      </c>
      <c r="B31" s="20">
        <v>0.5</v>
      </c>
      <c r="C31" s="24" t="s">
        <v>26</v>
      </c>
      <c r="D31" s="22" t="s">
        <v>67</v>
      </c>
      <c r="E31" s="9" t="s">
        <v>20</v>
      </c>
      <c r="F31" s="8">
        <f>(INT(Table_Moldova[[#This Row],[Date]]) - DATE(1970, 1, 1)) * 86400000</f>
        <v>1726704000000</v>
      </c>
      <c r="G31">
        <f>'GMT Glossary'!$B$2</f>
        <v>6</v>
      </c>
      <c r="H31" s="2" t="str">
        <f t="shared" si="0"/>
        <v>2024-09-19</v>
      </c>
      <c r="I31" s="2" t="str">
        <f t="shared" si="1"/>
        <v>18:00</v>
      </c>
    </row>
    <row r="32" spans="1:9" x14ac:dyDescent="0.25">
      <c r="A32" s="23">
        <v>45554</v>
      </c>
      <c r="B32" s="20">
        <v>0.54166666666666663</v>
      </c>
      <c r="C32" s="24" t="s">
        <v>26</v>
      </c>
      <c r="D32" s="22" t="s">
        <v>72</v>
      </c>
      <c r="E32" s="9" t="s">
        <v>20</v>
      </c>
      <c r="F32" s="8">
        <f>(INT(Table_Moldova[[#This Row],[Date]]) - DATE(1970, 1, 1)) * 86400000</f>
        <v>1726704000000</v>
      </c>
      <c r="G32">
        <f>'GMT Glossary'!$B$2</f>
        <v>6</v>
      </c>
      <c r="H32" s="2" t="str">
        <f t="shared" si="0"/>
        <v>2024-09-19</v>
      </c>
      <c r="I32" s="2" t="str">
        <f t="shared" si="1"/>
        <v>19:00</v>
      </c>
    </row>
    <row r="33" spans="1:9" x14ac:dyDescent="0.25">
      <c r="A33" s="23">
        <v>45554</v>
      </c>
      <c r="B33" s="20">
        <v>0.625</v>
      </c>
      <c r="C33" s="24" t="s">
        <v>26</v>
      </c>
      <c r="D33" s="22" t="s">
        <v>34</v>
      </c>
      <c r="E33" s="9" t="s">
        <v>20</v>
      </c>
      <c r="F33" s="8">
        <f>(INT(Table_Moldova[[#This Row],[Date]]) - DATE(1970, 1, 1)) * 86400000</f>
        <v>1726704000000</v>
      </c>
      <c r="G33">
        <f>'GMT Glossary'!$B$2</f>
        <v>6</v>
      </c>
      <c r="H33" s="2" t="str">
        <f t="shared" si="0"/>
        <v>2024-09-19</v>
      </c>
      <c r="I33" s="2" t="str">
        <f t="shared" si="1"/>
        <v>21:00</v>
      </c>
    </row>
    <row r="34" spans="1:9" x14ac:dyDescent="0.25">
      <c r="A34" s="23">
        <v>45554</v>
      </c>
      <c r="B34" s="20">
        <v>0.70833333333333337</v>
      </c>
      <c r="C34" s="24" t="s">
        <v>26</v>
      </c>
      <c r="D34" s="21" t="s">
        <v>73</v>
      </c>
      <c r="E34" s="9" t="s">
        <v>20</v>
      </c>
      <c r="F34" s="8">
        <f>(INT(Table_Moldova[[#This Row],[Date]]) - DATE(1970, 1, 1)) * 86400000</f>
        <v>1726704000000</v>
      </c>
      <c r="G34">
        <f>'GMT Glossary'!$B$2</f>
        <v>6</v>
      </c>
      <c r="H34" s="2" t="str">
        <f t="shared" si="0"/>
        <v>2024-09-19</v>
      </c>
      <c r="I34" s="2" t="str">
        <f t="shared" si="1"/>
        <v>23:00</v>
      </c>
    </row>
    <row r="35" spans="1:9" x14ac:dyDescent="0.25">
      <c r="A35" s="23">
        <v>45554</v>
      </c>
      <c r="B35" s="20">
        <v>0.79166666666666663</v>
      </c>
      <c r="C35" s="24" t="s">
        <v>26</v>
      </c>
      <c r="D35" s="22" t="s">
        <v>62</v>
      </c>
      <c r="E35" s="9" t="s">
        <v>20</v>
      </c>
      <c r="F35" s="8">
        <f>(INT(Table_Moldova[[#This Row],[Date]]) - DATE(1970, 1, 1)) * 86400000</f>
        <v>1726704000000</v>
      </c>
      <c r="G35">
        <f>'GMT Glossary'!$B$2</f>
        <v>6</v>
      </c>
      <c r="H35" s="2" t="str">
        <f t="shared" si="0"/>
        <v>2024-09-20</v>
      </c>
      <c r="I35" s="2" t="str">
        <f t="shared" si="1"/>
        <v>01:00</v>
      </c>
    </row>
    <row r="36" spans="1:9" x14ac:dyDescent="0.25">
      <c r="A36" s="23">
        <v>45554</v>
      </c>
      <c r="B36" s="20">
        <v>0.875</v>
      </c>
      <c r="C36" s="24" t="s">
        <v>26</v>
      </c>
      <c r="D36" s="22" t="s">
        <v>32</v>
      </c>
      <c r="E36" s="9" t="s">
        <v>20</v>
      </c>
      <c r="F36" s="8">
        <f>(INT(Table_Moldova[[#This Row],[Date]]) - DATE(1970, 1, 1)) * 86400000</f>
        <v>1726704000000</v>
      </c>
      <c r="G36">
        <f>'GMT Glossary'!$B$2</f>
        <v>6</v>
      </c>
      <c r="H36" s="2" t="str">
        <f t="shared" si="0"/>
        <v>2024-09-20</v>
      </c>
      <c r="I36" s="2" t="str">
        <f t="shared" si="1"/>
        <v>03:00</v>
      </c>
    </row>
    <row r="37" spans="1:9" x14ac:dyDescent="0.25">
      <c r="A37" s="23">
        <v>45554</v>
      </c>
      <c r="B37" s="20">
        <v>0.95833333333333337</v>
      </c>
      <c r="C37" s="24" t="s">
        <v>26</v>
      </c>
      <c r="D37" s="22" t="s">
        <v>31</v>
      </c>
      <c r="E37" s="9" t="s">
        <v>20</v>
      </c>
      <c r="F37" s="8">
        <f>(INT(Table_Moldova[[#This Row],[Date]]) - DATE(1970, 1, 1)) * 86400000</f>
        <v>1726704000000</v>
      </c>
      <c r="G37">
        <f>'GMT Glossary'!$B$2</f>
        <v>6</v>
      </c>
      <c r="H37" s="2" t="str">
        <f t="shared" si="0"/>
        <v>2024-09-20</v>
      </c>
      <c r="I37" s="2" t="str">
        <f t="shared" si="1"/>
        <v>05:00</v>
      </c>
    </row>
    <row r="38" spans="1:9" x14ac:dyDescent="0.25">
      <c r="A38" s="23">
        <v>45555</v>
      </c>
      <c r="B38" s="20">
        <v>4.1666666666666664E-2</v>
      </c>
      <c r="C38" s="24" t="s">
        <v>26</v>
      </c>
      <c r="D38" s="22" t="s">
        <v>56</v>
      </c>
      <c r="E38" s="9" t="s">
        <v>20</v>
      </c>
      <c r="F38" s="8">
        <f>(INT(Table_Moldova[[#This Row],[Date]]) - DATE(1970, 1, 1)) * 86400000</f>
        <v>1726790400000</v>
      </c>
      <c r="G38">
        <f>'GMT Glossary'!$B$2</f>
        <v>6</v>
      </c>
      <c r="H38" s="2" t="str">
        <f t="shared" si="0"/>
        <v>2024-09-20</v>
      </c>
      <c r="I38" s="2" t="str">
        <f t="shared" si="1"/>
        <v>07:00</v>
      </c>
    </row>
    <row r="39" spans="1:9" x14ac:dyDescent="0.25">
      <c r="A39" s="23">
        <v>45555</v>
      </c>
      <c r="B39" s="20">
        <v>0.125</v>
      </c>
      <c r="C39" s="24" t="s">
        <v>26</v>
      </c>
      <c r="D39" s="22" t="s">
        <v>29</v>
      </c>
      <c r="E39" s="9" t="s">
        <v>20</v>
      </c>
      <c r="F39" s="8">
        <f>(INT(Table_Moldova[[#This Row],[Date]]) - DATE(1970, 1, 1)) * 86400000</f>
        <v>1726790400000</v>
      </c>
      <c r="G39">
        <f>'GMT Glossary'!$B$2</f>
        <v>6</v>
      </c>
      <c r="H39" s="2" t="str">
        <f t="shared" si="0"/>
        <v>2024-09-20</v>
      </c>
      <c r="I39" s="2" t="str">
        <f t="shared" si="1"/>
        <v>09:00</v>
      </c>
    </row>
    <row r="40" spans="1:9" x14ac:dyDescent="0.25">
      <c r="A40" s="23">
        <v>45555</v>
      </c>
      <c r="B40" s="20">
        <v>0.20833333333333334</v>
      </c>
      <c r="C40" s="24" t="s">
        <v>26</v>
      </c>
      <c r="D40" s="22" t="s">
        <v>35</v>
      </c>
      <c r="E40" s="9" t="s">
        <v>20</v>
      </c>
      <c r="F40" s="8">
        <f>(INT(Table_Moldova[[#This Row],[Date]]) - DATE(1970, 1, 1)) * 86400000</f>
        <v>1726790400000</v>
      </c>
      <c r="G40">
        <f>'GMT Glossary'!$B$2</f>
        <v>6</v>
      </c>
      <c r="H40" s="2" t="str">
        <f t="shared" si="0"/>
        <v>2024-09-20</v>
      </c>
      <c r="I40" s="2" t="str">
        <f t="shared" si="1"/>
        <v>11:00</v>
      </c>
    </row>
    <row r="41" spans="1:9" x14ac:dyDescent="0.25">
      <c r="A41" s="23">
        <v>45555</v>
      </c>
      <c r="B41" s="20">
        <v>0.29166666666666669</v>
      </c>
      <c r="C41" s="24" t="s">
        <v>26</v>
      </c>
      <c r="D41" s="22" t="s">
        <v>71</v>
      </c>
      <c r="E41" s="9" t="s">
        <v>20</v>
      </c>
      <c r="F41" s="8">
        <f>(INT(Table_Moldova[[#This Row],[Date]]) - DATE(1970, 1, 1)) * 86400000</f>
        <v>1726790400000</v>
      </c>
      <c r="G41">
        <f>'GMT Glossary'!$B$2</f>
        <v>6</v>
      </c>
      <c r="H41" s="2" t="str">
        <f t="shared" si="0"/>
        <v>2024-09-20</v>
      </c>
      <c r="I41" s="2" t="str">
        <f t="shared" si="1"/>
        <v>13:00</v>
      </c>
    </row>
    <row r="42" spans="1:9" x14ac:dyDescent="0.25">
      <c r="A42" s="23">
        <v>45555</v>
      </c>
      <c r="B42" s="20">
        <v>0.375</v>
      </c>
      <c r="C42" s="24" t="s">
        <v>26</v>
      </c>
      <c r="D42" s="22" t="s">
        <v>68</v>
      </c>
      <c r="E42" s="9" t="s">
        <v>20</v>
      </c>
      <c r="F42" s="8">
        <f>(INT(Table_Moldova[[#This Row],[Date]]) - DATE(1970, 1, 1)) * 86400000</f>
        <v>1726790400000</v>
      </c>
      <c r="G42">
        <f>'GMT Glossary'!$B$2</f>
        <v>6</v>
      </c>
      <c r="H42" s="2" t="str">
        <f t="shared" si="0"/>
        <v>2024-09-20</v>
      </c>
      <c r="I42" s="2" t="str">
        <f t="shared" si="1"/>
        <v>15:00</v>
      </c>
    </row>
    <row r="43" spans="1:9" x14ac:dyDescent="0.25">
      <c r="A43" s="23">
        <v>45555</v>
      </c>
      <c r="B43" s="20">
        <v>0.45833333333333331</v>
      </c>
      <c r="C43" s="24" t="s">
        <v>26</v>
      </c>
      <c r="D43" s="22" t="s">
        <v>28</v>
      </c>
      <c r="E43" s="9" t="s">
        <v>20</v>
      </c>
      <c r="F43" s="8">
        <f>(INT(Table_Moldova[[#This Row],[Date]]) - DATE(1970, 1, 1)) * 86400000</f>
        <v>1726790400000</v>
      </c>
      <c r="G43">
        <f>'GMT Glossary'!$B$2</f>
        <v>6</v>
      </c>
      <c r="H43" s="2" t="str">
        <f t="shared" si="0"/>
        <v>2024-09-20</v>
      </c>
      <c r="I43" s="2" t="str">
        <f t="shared" si="1"/>
        <v>17:00</v>
      </c>
    </row>
    <row r="44" spans="1:9" x14ac:dyDescent="0.25">
      <c r="A44" s="23">
        <v>45555</v>
      </c>
      <c r="B44" s="20">
        <v>0.54166666666666663</v>
      </c>
      <c r="C44" s="24" t="s">
        <v>26</v>
      </c>
      <c r="D44" s="22" t="s">
        <v>58</v>
      </c>
      <c r="E44" s="9" t="s">
        <v>20</v>
      </c>
      <c r="F44" s="8">
        <f>(INT(Table_Moldova[[#This Row],[Date]]) - DATE(1970, 1, 1)) * 86400000</f>
        <v>1726790400000</v>
      </c>
      <c r="G44">
        <f>'GMT Glossary'!$B$2</f>
        <v>6</v>
      </c>
      <c r="H44" s="2" t="str">
        <f t="shared" si="0"/>
        <v>2024-09-20</v>
      </c>
      <c r="I44" s="2" t="str">
        <f t="shared" si="1"/>
        <v>19:00</v>
      </c>
    </row>
    <row r="45" spans="1:9" x14ac:dyDescent="0.25">
      <c r="A45" s="23">
        <v>45555</v>
      </c>
      <c r="B45" s="20">
        <v>0.625</v>
      </c>
      <c r="C45" s="24" t="s">
        <v>26</v>
      </c>
      <c r="D45" s="22" t="s">
        <v>27</v>
      </c>
      <c r="E45" s="9" t="s">
        <v>20</v>
      </c>
      <c r="F45" s="8">
        <f>(INT(Table_Moldova[[#This Row],[Date]]) - DATE(1970, 1, 1)) * 86400000</f>
        <v>1726790400000</v>
      </c>
      <c r="G45">
        <f>'GMT Glossary'!$B$2</f>
        <v>6</v>
      </c>
      <c r="H45" s="2" t="str">
        <f t="shared" si="0"/>
        <v>2024-09-20</v>
      </c>
      <c r="I45" s="2" t="str">
        <f t="shared" si="1"/>
        <v>21:00</v>
      </c>
    </row>
    <row r="46" spans="1:9" x14ac:dyDescent="0.25">
      <c r="A46" s="23">
        <v>45555</v>
      </c>
      <c r="B46" s="20">
        <v>0.6875</v>
      </c>
      <c r="C46" s="24" t="s">
        <v>26</v>
      </c>
      <c r="D46" s="21" t="s">
        <v>74</v>
      </c>
      <c r="E46" s="9" t="s">
        <v>20</v>
      </c>
      <c r="F46" s="8">
        <f>(INT(Table_Moldova[[#This Row],[Date]]) - DATE(1970, 1, 1)) * 86400000</f>
        <v>1726790400000</v>
      </c>
      <c r="G46">
        <f>'GMT Glossary'!$B$2</f>
        <v>6</v>
      </c>
      <c r="H46" s="2" t="str">
        <f t="shared" si="0"/>
        <v>2024-09-20</v>
      </c>
      <c r="I46" s="2" t="str">
        <f t="shared" si="1"/>
        <v>22:30</v>
      </c>
    </row>
    <row r="47" spans="1:9" x14ac:dyDescent="0.25">
      <c r="A47" s="23">
        <v>45555</v>
      </c>
      <c r="B47" s="20">
        <v>0.78125</v>
      </c>
      <c r="C47" s="24" t="s">
        <v>26</v>
      </c>
      <c r="D47" s="21" t="s">
        <v>75</v>
      </c>
      <c r="E47" s="9" t="s">
        <v>20</v>
      </c>
      <c r="F47" s="8">
        <f>(INT(Table_Moldova[[#This Row],[Date]]) - DATE(1970, 1, 1)) * 86400000</f>
        <v>1726790400000</v>
      </c>
      <c r="G47">
        <f>'GMT Glossary'!$B$2</f>
        <v>6</v>
      </c>
      <c r="H47" s="2" t="str">
        <f t="shared" si="0"/>
        <v>2024-09-21</v>
      </c>
      <c r="I47" s="2" t="str">
        <f t="shared" si="1"/>
        <v>00:45</v>
      </c>
    </row>
    <row r="48" spans="1:9" x14ac:dyDescent="0.25">
      <c r="A48" s="23">
        <v>45555</v>
      </c>
      <c r="B48" s="20">
        <v>0.875</v>
      </c>
      <c r="C48" s="24" t="s">
        <v>26</v>
      </c>
      <c r="D48" s="22" t="s">
        <v>33</v>
      </c>
      <c r="E48" s="9" t="s">
        <v>20</v>
      </c>
      <c r="F48" s="8">
        <f>(INT(Table_Moldova[[#This Row],[Date]]) - DATE(1970, 1, 1)) * 86400000</f>
        <v>1726790400000</v>
      </c>
      <c r="G48">
        <f>'GMT Glossary'!$B$2</f>
        <v>6</v>
      </c>
      <c r="H48" s="2" t="str">
        <f t="shared" si="0"/>
        <v>2024-09-21</v>
      </c>
      <c r="I48" s="2" t="str">
        <f t="shared" si="1"/>
        <v>03:00</v>
      </c>
    </row>
    <row r="49" spans="1:9" x14ac:dyDescent="0.25">
      <c r="A49" s="23">
        <v>45555</v>
      </c>
      <c r="B49" s="20">
        <v>0.95833333333333337</v>
      </c>
      <c r="C49" s="24" t="s">
        <v>26</v>
      </c>
      <c r="D49" s="22" t="s">
        <v>72</v>
      </c>
      <c r="E49" s="9" t="s">
        <v>20</v>
      </c>
      <c r="F49" s="8">
        <f>(INT(Table_Moldova[[#This Row],[Date]]) - DATE(1970, 1, 1)) * 86400000</f>
        <v>1726790400000</v>
      </c>
      <c r="G49">
        <f>'GMT Glossary'!$B$2</f>
        <v>6</v>
      </c>
      <c r="H49" s="2" t="str">
        <f t="shared" si="0"/>
        <v>2024-09-21</v>
      </c>
      <c r="I49" s="2" t="str">
        <f t="shared" si="1"/>
        <v>05:00</v>
      </c>
    </row>
    <row r="50" spans="1:9" x14ac:dyDescent="0.25">
      <c r="A50" s="23">
        <v>45556</v>
      </c>
      <c r="B50" s="20">
        <v>4.1666666666666664E-2</v>
      </c>
      <c r="C50" s="24" t="s">
        <v>26</v>
      </c>
      <c r="D50" s="22" t="s">
        <v>63</v>
      </c>
      <c r="E50" s="9" t="s">
        <v>20</v>
      </c>
      <c r="F50" s="8">
        <f>(INT(Table_Moldova[[#This Row],[Date]]) - DATE(1970, 1, 1)) * 86400000</f>
        <v>1726876800000</v>
      </c>
      <c r="G50">
        <f>'GMT Glossary'!$B$2</f>
        <v>6</v>
      </c>
      <c r="H50" s="2" t="str">
        <f t="shared" si="0"/>
        <v>2024-09-21</v>
      </c>
      <c r="I50" s="2" t="str">
        <f t="shared" si="1"/>
        <v>07:00</v>
      </c>
    </row>
    <row r="51" spans="1:9" x14ac:dyDescent="0.25">
      <c r="A51" s="23">
        <v>45556</v>
      </c>
      <c r="B51" s="20">
        <v>0.125</v>
      </c>
      <c r="C51" s="24" t="s">
        <v>26</v>
      </c>
      <c r="D51" s="22" t="s">
        <v>32</v>
      </c>
      <c r="E51" s="9" t="s">
        <v>20</v>
      </c>
      <c r="F51" s="8">
        <f>(INT(Table_Moldova[[#This Row],[Date]]) - DATE(1970, 1, 1)) * 86400000</f>
        <v>1726876800000</v>
      </c>
      <c r="G51">
        <f>'GMT Glossary'!$B$2</f>
        <v>6</v>
      </c>
      <c r="H51" s="2" t="str">
        <f t="shared" si="0"/>
        <v>2024-09-21</v>
      </c>
      <c r="I51" s="2" t="str">
        <f t="shared" si="1"/>
        <v>09:00</v>
      </c>
    </row>
    <row r="52" spans="1:9" x14ac:dyDescent="0.25">
      <c r="A52" s="23">
        <v>45556</v>
      </c>
      <c r="B52" s="20">
        <v>0.20833333333333334</v>
      </c>
      <c r="C52" s="24" t="s">
        <v>26</v>
      </c>
      <c r="D52" s="22" t="s">
        <v>30</v>
      </c>
      <c r="E52" s="9" t="s">
        <v>20</v>
      </c>
      <c r="F52" s="8">
        <f>(INT(Table_Moldova[[#This Row],[Date]]) - DATE(1970, 1, 1)) * 86400000</f>
        <v>1726876800000</v>
      </c>
      <c r="G52">
        <f>'GMT Glossary'!$B$2</f>
        <v>6</v>
      </c>
      <c r="H52" s="2" t="str">
        <f t="shared" si="0"/>
        <v>2024-09-21</v>
      </c>
      <c r="I52" s="2" t="str">
        <f t="shared" si="1"/>
        <v>11:00</v>
      </c>
    </row>
    <row r="53" spans="1:9" x14ac:dyDescent="0.25">
      <c r="A53" s="23">
        <v>45556</v>
      </c>
      <c r="B53" s="20">
        <v>0.29166666666666669</v>
      </c>
      <c r="C53" s="24" t="s">
        <v>26</v>
      </c>
      <c r="D53" s="22" t="s">
        <v>31</v>
      </c>
      <c r="E53" s="9" t="s">
        <v>20</v>
      </c>
      <c r="F53" s="8">
        <f>(INT(Table_Moldova[[#This Row],[Date]]) - DATE(1970, 1, 1)) * 86400000</f>
        <v>1726876800000</v>
      </c>
      <c r="G53">
        <f>'GMT Glossary'!$B$2</f>
        <v>6</v>
      </c>
      <c r="H53" s="2" t="str">
        <f t="shared" si="0"/>
        <v>2024-09-21</v>
      </c>
      <c r="I53" s="2" t="str">
        <f t="shared" si="1"/>
        <v>13:00</v>
      </c>
    </row>
    <row r="54" spans="1:9" x14ac:dyDescent="0.25">
      <c r="A54" s="23">
        <v>45556</v>
      </c>
      <c r="B54" s="20">
        <v>0.375</v>
      </c>
      <c r="C54" s="24" t="s">
        <v>26</v>
      </c>
      <c r="D54" s="22" t="s">
        <v>29</v>
      </c>
      <c r="E54" s="9" t="s">
        <v>20</v>
      </c>
      <c r="F54" s="8">
        <f>(INT(Table_Moldova[[#This Row],[Date]]) - DATE(1970, 1, 1)) * 86400000</f>
        <v>1726876800000</v>
      </c>
      <c r="G54">
        <f>'GMT Glossary'!$B$2</f>
        <v>6</v>
      </c>
      <c r="H54" s="2" t="str">
        <f t="shared" si="0"/>
        <v>2024-09-21</v>
      </c>
      <c r="I54" s="2" t="str">
        <f t="shared" si="1"/>
        <v>15:00</v>
      </c>
    </row>
    <row r="55" spans="1:9" x14ac:dyDescent="0.25">
      <c r="A55" s="23">
        <v>45556</v>
      </c>
      <c r="B55" s="20">
        <v>0.47916666666666669</v>
      </c>
      <c r="C55" s="24" t="s">
        <v>26</v>
      </c>
      <c r="D55" s="21" t="s">
        <v>76</v>
      </c>
      <c r="E55" s="9" t="s">
        <v>20</v>
      </c>
      <c r="F55" s="8">
        <f>(INT(Table_Moldova[[#This Row],[Date]]) - DATE(1970, 1, 1)) * 86400000</f>
        <v>1726876800000</v>
      </c>
      <c r="G55">
        <f>'GMT Glossary'!$B$2</f>
        <v>6</v>
      </c>
      <c r="H55" s="2" t="str">
        <f t="shared" si="0"/>
        <v>2024-09-21</v>
      </c>
      <c r="I55" s="2" t="str">
        <f t="shared" si="1"/>
        <v>17:30</v>
      </c>
    </row>
    <row r="56" spans="1:9" x14ac:dyDescent="0.25">
      <c r="A56" s="23">
        <v>45556</v>
      </c>
      <c r="B56" s="20">
        <v>0.58333333333333337</v>
      </c>
      <c r="C56" s="24" t="s">
        <v>26</v>
      </c>
      <c r="D56" s="21" t="s">
        <v>77</v>
      </c>
      <c r="E56" s="9" t="s">
        <v>20</v>
      </c>
      <c r="F56" s="8">
        <f>(INT(Table_Moldova[[#This Row],[Date]]) - DATE(1970, 1, 1)) * 86400000</f>
        <v>1726876800000</v>
      </c>
      <c r="G56">
        <f>'GMT Glossary'!$B$2</f>
        <v>6</v>
      </c>
      <c r="H56" s="2" t="str">
        <f t="shared" si="0"/>
        <v>2024-09-21</v>
      </c>
      <c r="I56" s="2" t="str">
        <f t="shared" si="1"/>
        <v>20:00</v>
      </c>
    </row>
    <row r="57" spans="1:9" x14ac:dyDescent="0.25">
      <c r="A57" s="23">
        <v>45556</v>
      </c>
      <c r="B57" s="20">
        <v>0.6875</v>
      </c>
      <c r="C57" s="24" t="s">
        <v>26</v>
      </c>
      <c r="D57" s="21" t="s">
        <v>78</v>
      </c>
      <c r="E57" s="9" t="s">
        <v>20</v>
      </c>
      <c r="F57" s="8">
        <f>(INT(Table_Moldova[[#This Row],[Date]]) - DATE(1970, 1, 1)) * 86400000</f>
        <v>1726876800000</v>
      </c>
      <c r="G57">
        <f>'GMT Glossary'!$B$2</f>
        <v>6</v>
      </c>
      <c r="H57" s="2" t="str">
        <f t="shared" si="0"/>
        <v>2024-09-21</v>
      </c>
      <c r="I57" s="2" t="str">
        <f t="shared" si="1"/>
        <v>22:30</v>
      </c>
    </row>
    <row r="58" spans="1:9" x14ac:dyDescent="0.25">
      <c r="A58" s="23">
        <v>45556</v>
      </c>
      <c r="B58" s="20">
        <v>0.79166666666666663</v>
      </c>
      <c r="C58" s="24" t="s">
        <v>26</v>
      </c>
      <c r="D58" s="21" t="s">
        <v>79</v>
      </c>
      <c r="E58" s="9" t="s">
        <v>20</v>
      </c>
      <c r="F58" s="8">
        <f>(INT(Table_Moldova[[#This Row],[Date]]) - DATE(1970, 1, 1)) * 86400000</f>
        <v>1726876800000</v>
      </c>
      <c r="G58">
        <f>'GMT Glossary'!$B$2</f>
        <v>6</v>
      </c>
      <c r="H58" s="2" t="str">
        <f t="shared" si="0"/>
        <v>2024-09-22</v>
      </c>
      <c r="I58" s="2" t="str">
        <f t="shared" si="1"/>
        <v>01:00</v>
      </c>
    </row>
    <row r="59" spans="1:9" x14ac:dyDescent="0.25">
      <c r="A59" s="23">
        <v>45556</v>
      </c>
      <c r="B59" s="20">
        <v>0.875</v>
      </c>
      <c r="C59" s="24" t="s">
        <v>26</v>
      </c>
      <c r="D59" s="22" t="s">
        <v>33</v>
      </c>
      <c r="E59" s="9" t="s">
        <v>20</v>
      </c>
      <c r="F59" s="8">
        <f>(INT(Table_Moldova[[#This Row],[Date]]) - DATE(1970, 1, 1)) * 86400000</f>
        <v>1726876800000</v>
      </c>
      <c r="G59">
        <f>'GMT Glossary'!$B$2</f>
        <v>6</v>
      </c>
      <c r="H59" s="2" t="str">
        <f t="shared" si="0"/>
        <v>2024-09-22</v>
      </c>
      <c r="I59" s="2" t="str">
        <f t="shared" si="1"/>
        <v>03:00</v>
      </c>
    </row>
    <row r="60" spans="1:9" x14ac:dyDescent="0.25">
      <c r="A60" s="23">
        <v>45556</v>
      </c>
      <c r="B60" s="20">
        <v>0.95833333333333337</v>
      </c>
      <c r="C60" s="24" t="s">
        <v>26</v>
      </c>
      <c r="D60" s="22" t="s">
        <v>80</v>
      </c>
      <c r="E60" s="9" t="s">
        <v>20</v>
      </c>
      <c r="F60" s="8">
        <f>(INT(Table_Moldova[[#This Row],[Date]]) - DATE(1970, 1, 1)) * 86400000</f>
        <v>1726876800000</v>
      </c>
      <c r="G60">
        <f>'GMT Glossary'!$B$2</f>
        <v>6</v>
      </c>
      <c r="H60" s="2" t="str">
        <f t="shared" si="0"/>
        <v>2024-09-22</v>
      </c>
      <c r="I60" s="2" t="str">
        <f t="shared" si="1"/>
        <v>05:00</v>
      </c>
    </row>
    <row r="61" spans="1:9" x14ac:dyDescent="0.25">
      <c r="A61" s="23">
        <v>45557</v>
      </c>
      <c r="B61" s="20">
        <v>4.1666666666666664E-2</v>
      </c>
      <c r="C61" s="24" t="s">
        <v>26</v>
      </c>
      <c r="D61" s="22" t="s">
        <v>32</v>
      </c>
      <c r="E61" s="9" t="s">
        <v>20</v>
      </c>
      <c r="F61" s="8">
        <f>(INT(Table_Moldova[[#This Row],[Date]]) - DATE(1970, 1, 1)) * 86400000</f>
        <v>1726963200000</v>
      </c>
      <c r="G61">
        <f>'GMT Glossary'!$B$2</f>
        <v>6</v>
      </c>
      <c r="H61" s="2" t="str">
        <f t="shared" si="0"/>
        <v>2024-09-22</v>
      </c>
      <c r="I61" s="2" t="str">
        <f t="shared" si="1"/>
        <v>07:00</v>
      </c>
    </row>
    <row r="62" spans="1:9" x14ac:dyDescent="0.25">
      <c r="A62" s="23">
        <v>45557</v>
      </c>
      <c r="B62" s="20">
        <v>0.125</v>
      </c>
      <c r="C62" s="24" t="s">
        <v>26</v>
      </c>
      <c r="D62" s="22" t="s">
        <v>59</v>
      </c>
      <c r="E62" s="9" t="s">
        <v>20</v>
      </c>
      <c r="F62" s="8">
        <f>(INT(Table_Moldova[[#This Row],[Date]]) - DATE(1970, 1, 1)) * 86400000</f>
        <v>1726963200000</v>
      </c>
      <c r="G62">
        <f>'GMT Glossary'!$B$2</f>
        <v>6</v>
      </c>
      <c r="H62" s="2" t="str">
        <f t="shared" si="0"/>
        <v>2024-09-22</v>
      </c>
      <c r="I62" s="2" t="str">
        <f t="shared" si="1"/>
        <v>09:00</v>
      </c>
    </row>
    <row r="63" spans="1:9" x14ac:dyDescent="0.25">
      <c r="A63" s="23">
        <v>45557</v>
      </c>
      <c r="B63" s="20">
        <v>0.20833333333333334</v>
      </c>
      <c r="C63" s="24" t="s">
        <v>26</v>
      </c>
      <c r="D63" s="22" t="s">
        <v>60</v>
      </c>
      <c r="E63" s="9" t="s">
        <v>20</v>
      </c>
      <c r="F63" s="8">
        <f>(INT(Table_Moldova[[#This Row],[Date]]) - DATE(1970, 1, 1)) * 86400000</f>
        <v>1726963200000</v>
      </c>
      <c r="G63">
        <f>'GMT Glossary'!$B$2</f>
        <v>6</v>
      </c>
      <c r="H63" s="2" t="str">
        <f t="shared" si="0"/>
        <v>2024-09-22</v>
      </c>
      <c r="I63" s="2" t="str">
        <f t="shared" si="1"/>
        <v>11:00</v>
      </c>
    </row>
    <row r="64" spans="1:9" x14ac:dyDescent="0.25">
      <c r="A64" s="23">
        <v>45557</v>
      </c>
      <c r="B64" s="20">
        <v>0.29166666666666669</v>
      </c>
      <c r="C64" s="24" t="s">
        <v>26</v>
      </c>
      <c r="D64" s="22" t="s">
        <v>29</v>
      </c>
      <c r="E64" s="9" t="s">
        <v>20</v>
      </c>
      <c r="F64" s="8">
        <f>(INT(Table_Moldova[[#This Row],[Date]]) - DATE(1970, 1, 1)) * 86400000</f>
        <v>1726963200000</v>
      </c>
      <c r="G64">
        <f>'GMT Glossary'!$B$2</f>
        <v>6</v>
      </c>
      <c r="H64" s="2" t="str">
        <f t="shared" si="0"/>
        <v>2024-09-22</v>
      </c>
      <c r="I64" s="2" t="str">
        <f t="shared" si="1"/>
        <v>13:00</v>
      </c>
    </row>
    <row r="65" spans="1:9" x14ac:dyDescent="0.25">
      <c r="A65" s="23">
        <v>45557</v>
      </c>
      <c r="B65" s="20">
        <v>0.375</v>
      </c>
      <c r="C65" s="24" t="s">
        <v>26</v>
      </c>
      <c r="D65" s="22" t="s">
        <v>27</v>
      </c>
      <c r="E65" s="9" t="s">
        <v>20</v>
      </c>
      <c r="F65" s="8">
        <f>(INT(Table_Moldova[[#This Row],[Date]]) - DATE(1970, 1, 1)) * 86400000</f>
        <v>1726963200000</v>
      </c>
      <c r="G65">
        <f>'GMT Glossary'!$B$2</f>
        <v>6</v>
      </c>
      <c r="H65" s="2" t="str">
        <f t="shared" si="0"/>
        <v>2024-09-22</v>
      </c>
      <c r="I65" s="2" t="str">
        <f t="shared" si="1"/>
        <v>15:00</v>
      </c>
    </row>
    <row r="66" spans="1:9" x14ac:dyDescent="0.25">
      <c r="A66" s="23">
        <v>45557</v>
      </c>
      <c r="B66" s="20">
        <v>0.4375</v>
      </c>
      <c r="C66" s="24" t="s">
        <v>26</v>
      </c>
      <c r="D66" s="21" t="s">
        <v>81</v>
      </c>
      <c r="E66" s="9" t="s">
        <v>20</v>
      </c>
      <c r="F66" s="8">
        <f>(INT(Table_Moldova[[#This Row],[Date]]) - DATE(1970, 1, 1)) * 86400000</f>
        <v>1726963200000</v>
      </c>
      <c r="G66">
        <f>'GMT Glossary'!$B$2</f>
        <v>6</v>
      </c>
      <c r="H66" s="2" t="str">
        <f t="shared" ref="H66:H129" si="2">TEXT(IF(B66&lt;0, A66+1+((B66+(G66/24))-(INT(B66+(G66/24)))), A66+(B66+(G66/24))), "yyyy-mm-dd")</f>
        <v>2024-09-22</v>
      </c>
      <c r="I66" s="2" t="str">
        <f t="shared" ref="I66:I129" si="3">TEXT(IF(B66&lt;0, A66+1+((B66+(G66/24))-(INT(B66+(G66/24)))), A66+(B66+(G66/24))), "hh:mm")</f>
        <v>16:30</v>
      </c>
    </row>
    <row r="67" spans="1:9" x14ac:dyDescent="0.25">
      <c r="A67" s="23">
        <v>45557</v>
      </c>
      <c r="B67" s="20">
        <v>0.54166666666666663</v>
      </c>
      <c r="C67" s="24" t="s">
        <v>26</v>
      </c>
      <c r="D67" s="21" t="s">
        <v>82</v>
      </c>
      <c r="E67" s="9" t="s">
        <v>20</v>
      </c>
      <c r="F67" s="8">
        <f>(INT(Table_Moldova[[#This Row],[Date]]) - DATE(1970, 1, 1)) * 86400000</f>
        <v>1726963200000</v>
      </c>
      <c r="G67">
        <f>'GMT Glossary'!$B$2</f>
        <v>6</v>
      </c>
      <c r="H67" s="2" t="str">
        <f t="shared" si="2"/>
        <v>2024-09-22</v>
      </c>
      <c r="I67" s="2" t="str">
        <f t="shared" si="3"/>
        <v>19:00</v>
      </c>
    </row>
    <row r="68" spans="1:9" x14ac:dyDescent="0.25">
      <c r="A68" s="23">
        <v>45557</v>
      </c>
      <c r="B68" s="20">
        <v>0.64583333333333337</v>
      </c>
      <c r="C68" s="24" t="s">
        <v>26</v>
      </c>
      <c r="D68" s="21" t="s">
        <v>83</v>
      </c>
      <c r="E68" s="9" t="s">
        <v>20</v>
      </c>
      <c r="F68" s="8">
        <f>(INT(Table_Moldova[[#This Row],[Date]]) - DATE(1970, 1, 1)) * 86400000</f>
        <v>1726963200000</v>
      </c>
      <c r="G68">
        <f>'GMT Glossary'!$B$2</f>
        <v>6</v>
      </c>
      <c r="H68" s="2" t="str">
        <f t="shared" si="2"/>
        <v>2024-09-22</v>
      </c>
      <c r="I68" s="2" t="str">
        <f t="shared" si="3"/>
        <v>21:30</v>
      </c>
    </row>
    <row r="69" spans="1:9" x14ac:dyDescent="0.25">
      <c r="A69" s="23">
        <v>45557</v>
      </c>
      <c r="B69" s="20">
        <v>0.78125</v>
      </c>
      <c r="C69" s="24" t="s">
        <v>26</v>
      </c>
      <c r="D69" s="21" t="s">
        <v>84</v>
      </c>
      <c r="E69" s="9" t="s">
        <v>20</v>
      </c>
      <c r="F69" s="8">
        <f>(INT(Table_Moldova[[#This Row],[Date]]) - DATE(1970, 1, 1)) * 86400000</f>
        <v>1726963200000</v>
      </c>
      <c r="G69">
        <f>'GMT Glossary'!$B$2</f>
        <v>6</v>
      </c>
      <c r="H69" s="2" t="str">
        <f t="shared" si="2"/>
        <v>2024-09-23</v>
      </c>
      <c r="I69" s="2" t="str">
        <f t="shared" si="3"/>
        <v>00:45</v>
      </c>
    </row>
    <row r="70" spans="1:9" x14ac:dyDescent="0.25">
      <c r="A70" s="23">
        <v>45557</v>
      </c>
      <c r="B70" s="20">
        <v>0.875</v>
      </c>
      <c r="C70" s="24" t="s">
        <v>26</v>
      </c>
      <c r="D70" s="22" t="s">
        <v>85</v>
      </c>
      <c r="E70" s="9" t="s">
        <v>20</v>
      </c>
      <c r="F70" s="8">
        <f>(INT(Table_Moldova[[#This Row],[Date]]) - DATE(1970, 1, 1)) * 86400000</f>
        <v>1726963200000</v>
      </c>
      <c r="G70">
        <f>'GMT Glossary'!$B$2</f>
        <v>6</v>
      </c>
      <c r="H70" s="2" t="str">
        <f t="shared" si="2"/>
        <v>2024-09-23</v>
      </c>
      <c r="I70" s="2" t="str">
        <f t="shared" si="3"/>
        <v>03:00</v>
      </c>
    </row>
    <row r="71" spans="1:9" x14ac:dyDescent="0.25">
      <c r="A71" s="23">
        <v>45557</v>
      </c>
      <c r="B71" s="20">
        <v>0.95833333333333337</v>
      </c>
      <c r="C71" s="24" t="s">
        <v>26</v>
      </c>
      <c r="D71" s="22" t="s">
        <v>86</v>
      </c>
      <c r="E71" s="9" t="s">
        <v>20</v>
      </c>
      <c r="F71" s="8">
        <f>(INT(Table_Moldova[[#This Row],[Date]]) - DATE(1970, 1, 1)) * 86400000</f>
        <v>1726963200000</v>
      </c>
      <c r="G71">
        <f>'GMT Glossary'!$B$2</f>
        <v>6</v>
      </c>
      <c r="H71" s="2" t="str">
        <f t="shared" si="2"/>
        <v>2024-09-23</v>
      </c>
      <c r="I71" s="2" t="str">
        <f t="shared" si="3"/>
        <v>05:00</v>
      </c>
    </row>
    <row r="72" spans="1:9" x14ac:dyDescent="0.25">
      <c r="A72" s="23">
        <v>45558</v>
      </c>
      <c r="B72" s="20">
        <v>4.1666666666666664E-2</v>
      </c>
      <c r="C72" s="24" t="s">
        <v>26</v>
      </c>
      <c r="D72" s="22" t="s">
        <v>87</v>
      </c>
      <c r="E72" s="9" t="s">
        <v>20</v>
      </c>
      <c r="F72" s="8">
        <f>(INT(Table_Moldova[[#This Row],[Date]]) - DATE(1970, 1, 1)) * 86400000</f>
        <v>1727049600000</v>
      </c>
      <c r="G72">
        <f>'GMT Glossary'!$B$2</f>
        <v>6</v>
      </c>
      <c r="H72" s="2" t="str">
        <f t="shared" si="2"/>
        <v>2024-09-23</v>
      </c>
      <c r="I72" s="2" t="str">
        <f t="shared" si="3"/>
        <v>07:00</v>
      </c>
    </row>
    <row r="73" spans="1:9" x14ac:dyDescent="0.25">
      <c r="A73" s="23">
        <v>45558</v>
      </c>
      <c r="B73" s="20">
        <v>0.125</v>
      </c>
      <c r="C73" s="24" t="s">
        <v>26</v>
      </c>
      <c r="D73" s="22" t="s">
        <v>88</v>
      </c>
      <c r="E73" s="9" t="s">
        <v>20</v>
      </c>
      <c r="F73" s="8">
        <f>(INT(Table_Moldova[[#This Row],[Date]]) - DATE(1970, 1, 1)) * 86400000</f>
        <v>1727049600000</v>
      </c>
      <c r="G73">
        <f>'GMT Glossary'!$B$2</f>
        <v>6</v>
      </c>
      <c r="H73" s="2" t="str">
        <f t="shared" si="2"/>
        <v>2024-09-23</v>
      </c>
      <c r="I73" s="2" t="str">
        <f t="shared" si="3"/>
        <v>09:00</v>
      </c>
    </row>
    <row r="74" spans="1:9" x14ac:dyDescent="0.25">
      <c r="A74" s="23">
        <v>45558</v>
      </c>
      <c r="B74" s="20">
        <v>0.20833333333333334</v>
      </c>
      <c r="C74" s="24" t="s">
        <v>26</v>
      </c>
      <c r="D74" s="22" t="s">
        <v>89</v>
      </c>
      <c r="E74" s="9" t="s">
        <v>20</v>
      </c>
      <c r="F74" s="8">
        <f>(INT(Table_Moldova[[#This Row],[Date]]) - DATE(1970, 1, 1)) * 86400000</f>
        <v>1727049600000</v>
      </c>
      <c r="G74">
        <f>'GMT Glossary'!$B$2</f>
        <v>6</v>
      </c>
      <c r="H74" s="2" t="str">
        <f t="shared" si="2"/>
        <v>2024-09-23</v>
      </c>
      <c r="I74" s="2" t="str">
        <f t="shared" si="3"/>
        <v>11:00</v>
      </c>
    </row>
    <row r="75" spans="1:9" x14ac:dyDescent="0.25">
      <c r="A75" s="23">
        <v>45558</v>
      </c>
      <c r="B75" s="20">
        <v>0.29166666666666669</v>
      </c>
      <c r="C75" s="24" t="s">
        <v>26</v>
      </c>
      <c r="D75" s="22" t="s">
        <v>85</v>
      </c>
      <c r="E75" s="9" t="s">
        <v>20</v>
      </c>
      <c r="F75" s="8">
        <f>(INT(Table_Moldova[[#This Row],[Date]]) - DATE(1970, 1, 1)) * 86400000</f>
        <v>1727049600000</v>
      </c>
      <c r="G75">
        <f>'GMT Glossary'!$B$2</f>
        <v>6</v>
      </c>
      <c r="H75" s="2" t="str">
        <f t="shared" si="2"/>
        <v>2024-09-23</v>
      </c>
      <c r="I75" s="2" t="str">
        <f t="shared" si="3"/>
        <v>13:00</v>
      </c>
    </row>
    <row r="76" spans="1:9" x14ac:dyDescent="0.25">
      <c r="A76" s="23">
        <v>45558</v>
      </c>
      <c r="B76" s="20">
        <v>0.375</v>
      </c>
      <c r="C76" s="24" t="s">
        <v>26</v>
      </c>
      <c r="D76" s="22" t="s">
        <v>90</v>
      </c>
      <c r="E76" s="9" t="s">
        <v>20</v>
      </c>
      <c r="F76" s="8">
        <f>(INT(Table_Moldova[[#This Row],[Date]]) - DATE(1970, 1, 1)) * 86400000</f>
        <v>1727049600000</v>
      </c>
      <c r="G76">
        <f>'GMT Glossary'!$B$2</f>
        <v>6</v>
      </c>
      <c r="H76" s="2" t="str">
        <f t="shared" si="2"/>
        <v>2024-09-23</v>
      </c>
      <c r="I76" s="2" t="str">
        <f t="shared" si="3"/>
        <v>15:00</v>
      </c>
    </row>
    <row r="77" spans="1:9" x14ac:dyDescent="0.25">
      <c r="A77" s="23">
        <v>45558</v>
      </c>
      <c r="B77" s="20">
        <v>0.45833333333333331</v>
      </c>
      <c r="C77" s="24" t="s">
        <v>26</v>
      </c>
      <c r="D77" s="22" t="s">
        <v>91</v>
      </c>
      <c r="E77" s="9" t="s">
        <v>20</v>
      </c>
      <c r="F77" s="8">
        <f>(INT(Table_Moldova[[#This Row],[Date]]) - DATE(1970, 1, 1)) * 86400000</f>
        <v>1727049600000</v>
      </c>
      <c r="G77">
        <f>'GMT Glossary'!$B$2</f>
        <v>6</v>
      </c>
      <c r="H77" s="2" t="str">
        <f t="shared" si="2"/>
        <v>2024-09-23</v>
      </c>
      <c r="I77" s="2" t="str">
        <f t="shared" si="3"/>
        <v>17:00</v>
      </c>
    </row>
    <row r="78" spans="1:9" x14ac:dyDescent="0.25">
      <c r="A78" s="23">
        <v>45558</v>
      </c>
      <c r="B78" s="20">
        <v>0.54166666666666663</v>
      </c>
      <c r="C78" s="24" t="s">
        <v>26</v>
      </c>
      <c r="D78" s="22" t="s">
        <v>92</v>
      </c>
      <c r="E78" s="9" t="s">
        <v>20</v>
      </c>
      <c r="F78" s="8">
        <f>(INT(Table_Moldova[[#This Row],[Date]]) - DATE(1970, 1, 1)) * 86400000</f>
        <v>1727049600000</v>
      </c>
      <c r="G78">
        <f>'GMT Glossary'!$B$2</f>
        <v>6</v>
      </c>
      <c r="H78" s="2" t="str">
        <f t="shared" si="2"/>
        <v>2024-09-23</v>
      </c>
      <c r="I78" s="2" t="str">
        <f t="shared" si="3"/>
        <v>19:00</v>
      </c>
    </row>
    <row r="79" spans="1:9" x14ac:dyDescent="0.25">
      <c r="A79" s="23">
        <v>45558</v>
      </c>
      <c r="B79" s="20">
        <v>0.625</v>
      </c>
      <c r="C79" s="24" t="s">
        <v>26</v>
      </c>
      <c r="D79" s="22" t="s">
        <v>89</v>
      </c>
      <c r="E79" s="9" t="s">
        <v>20</v>
      </c>
      <c r="F79" s="8">
        <f>(INT(Table_Moldova[[#This Row],[Date]]) - DATE(1970, 1, 1)) * 86400000</f>
        <v>1727049600000</v>
      </c>
      <c r="G79">
        <f>'GMT Glossary'!$B$2</f>
        <v>6</v>
      </c>
      <c r="H79" s="2" t="str">
        <f t="shared" si="2"/>
        <v>2024-09-23</v>
      </c>
      <c r="I79" s="2" t="str">
        <f t="shared" si="3"/>
        <v>21:00</v>
      </c>
    </row>
    <row r="80" spans="1:9" x14ac:dyDescent="0.25">
      <c r="A80" s="23">
        <v>45558</v>
      </c>
      <c r="B80" s="20">
        <v>0.70833333333333337</v>
      </c>
      <c r="C80" s="24" t="s">
        <v>26</v>
      </c>
      <c r="D80" s="22" t="s">
        <v>87</v>
      </c>
      <c r="E80" s="9" t="s">
        <v>20</v>
      </c>
      <c r="F80" s="8">
        <f>(INT(Table_Moldova[[#This Row],[Date]]) - DATE(1970, 1, 1)) * 86400000</f>
        <v>1727049600000</v>
      </c>
      <c r="G80">
        <f>'GMT Glossary'!$B$2</f>
        <v>6</v>
      </c>
      <c r="H80" s="2" t="str">
        <f t="shared" si="2"/>
        <v>2024-09-23</v>
      </c>
      <c r="I80" s="2" t="str">
        <f t="shared" si="3"/>
        <v>23:00</v>
      </c>
    </row>
    <row r="81" spans="1:9" x14ac:dyDescent="0.25">
      <c r="A81" s="23">
        <v>45558</v>
      </c>
      <c r="B81" s="20">
        <v>0.78125</v>
      </c>
      <c r="C81" s="24" t="s">
        <v>26</v>
      </c>
      <c r="D81" s="21" t="s">
        <v>93</v>
      </c>
      <c r="E81" s="9" t="s">
        <v>20</v>
      </c>
      <c r="F81" s="8">
        <f>(INT(Table_Moldova[[#This Row],[Date]]) - DATE(1970, 1, 1)) * 86400000</f>
        <v>1727049600000</v>
      </c>
      <c r="G81">
        <f>'GMT Glossary'!$B$2</f>
        <v>6</v>
      </c>
      <c r="H81" s="2" t="str">
        <f t="shared" si="2"/>
        <v>2024-09-24</v>
      </c>
      <c r="I81" s="2" t="str">
        <f t="shared" si="3"/>
        <v>00:45</v>
      </c>
    </row>
    <row r="82" spans="1:9" x14ac:dyDescent="0.25">
      <c r="A82" s="23">
        <v>45558</v>
      </c>
      <c r="B82" s="20">
        <v>0.875</v>
      </c>
      <c r="C82" s="24" t="s">
        <v>26</v>
      </c>
      <c r="D82" s="22" t="s">
        <v>91</v>
      </c>
      <c r="E82" s="9" t="s">
        <v>20</v>
      </c>
      <c r="F82" s="8">
        <f>(INT(Table_Moldova[[#This Row],[Date]]) - DATE(1970, 1, 1)) * 86400000</f>
        <v>1727049600000</v>
      </c>
      <c r="G82">
        <f>'GMT Glossary'!$B$2</f>
        <v>6</v>
      </c>
      <c r="H82" s="2" t="str">
        <f t="shared" si="2"/>
        <v>2024-09-24</v>
      </c>
      <c r="I82" s="2" t="str">
        <f t="shared" si="3"/>
        <v>03:00</v>
      </c>
    </row>
    <row r="83" spans="1:9" x14ac:dyDescent="0.25">
      <c r="A83" s="23">
        <v>45558</v>
      </c>
      <c r="B83" s="20">
        <v>0.95833333333333337</v>
      </c>
      <c r="C83" s="24" t="s">
        <v>26</v>
      </c>
      <c r="D83" s="22" t="s">
        <v>94</v>
      </c>
      <c r="E83" s="9" t="s">
        <v>20</v>
      </c>
      <c r="F83" s="8">
        <f>(INT(Table_Moldova[[#This Row],[Date]]) - DATE(1970, 1, 1)) * 86400000</f>
        <v>1727049600000</v>
      </c>
      <c r="G83">
        <f>'GMT Glossary'!$B$2</f>
        <v>6</v>
      </c>
      <c r="H83" s="2" t="str">
        <f t="shared" si="2"/>
        <v>2024-09-24</v>
      </c>
      <c r="I83" s="2" t="str">
        <f t="shared" si="3"/>
        <v>05:00</v>
      </c>
    </row>
    <row r="84" spans="1:9" x14ac:dyDescent="0.25">
      <c r="A84" s="23">
        <v>45559</v>
      </c>
      <c r="B84" s="20">
        <v>4.1666666666666664E-2</v>
      </c>
      <c r="C84" s="24" t="s">
        <v>26</v>
      </c>
      <c r="D84" s="22" t="s">
        <v>90</v>
      </c>
      <c r="E84" s="9" t="s">
        <v>20</v>
      </c>
      <c r="F84" s="8">
        <f>(INT(Table_Moldova[[#This Row],[Date]]) - DATE(1970, 1, 1)) * 86400000</f>
        <v>1727136000000</v>
      </c>
      <c r="G84">
        <f>'GMT Glossary'!$B$2</f>
        <v>6</v>
      </c>
      <c r="H84" s="2" t="str">
        <f t="shared" si="2"/>
        <v>2024-09-24</v>
      </c>
      <c r="I84" s="2" t="str">
        <f t="shared" si="3"/>
        <v>07:00</v>
      </c>
    </row>
    <row r="85" spans="1:9" x14ac:dyDescent="0.25">
      <c r="A85" s="23">
        <v>45559</v>
      </c>
      <c r="B85" s="20">
        <v>0.125</v>
      </c>
      <c r="C85" s="24" t="s">
        <v>26</v>
      </c>
      <c r="D85" s="22" t="s">
        <v>86</v>
      </c>
      <c r="E85" s="9" t="s">
        <v>20</v>
      </c>
      <c r="F85" s="8">
        <f>(INT(Table_Moldova[[#This Row],[Date]]) - DATE(1970, 1, 1)) * 86400000</f>
        <v>1727136000000</v>
      </c>
      <c r="G85">
        <f>'GMT Glossary'!$B$2</f>
        <v>6</v>
      </c>
      <c r="H85" s="2" t="str">
        <f t="shared" si="2"/>
        <v>2024-09-24</v>
      </c>
      <c r="I85" s="2" t="str">
        <f t="shared" si="3"/>
        <v>09:00</v>
      </c>
    </row>
    <row r="86" spans="1:9" x14ac:dyDescent="0.25">
      <c r="A86" s="23">
        <v>45559</v>
      </c>
      <c r="B86" s="20">
        <v>0.20833333333333334</v>
      </c>
      <c r="C86" s="24" t="s">
        <v>26</v>
      </c>
      <c r="D86" s="22" t="s">
        <v>88</v>
      </c>
      <c r="E86" s="9" t="s">
        <v>20</v>
      </c>
      <c r="F86" s="8">
        <f>(INT(Table_Moldova[[#This Row],[Date]]) - DATE(1970, 1, 1)) * 86400000</f>
        <v>1727136000000</v>
      </c>
      <c r="G86">
        <f>'GMT Glossary'!$B$2</f>
        <v>6</v>
      </c>
      <c r="H86" s="2" t="str">
        <f t="shared" si="2"/>
        <v>2024-09-24</v>
      </c>
      <c r="I86" s="2" t="str">
        <f t="shared" si="3"/>
        <v>11:00</v>
      </c>
    </row>
    <row r="87" spans="1:9" x14ac:dyDescent="0.25">
      <c r="A87" s="23">
        <v>45559</v>
      </c>
      <c r="B87" s="20">
        <v>0.29166666666666669</v>
      </c>
      <c r="C87" s="24" t="s">
        <v>26</v>
      </c>
      <c r="D87" s="22" t="s">
        <v>85</v>
      </c>
      <c r="E87" s="11" t="s">
        <v>20</v>
      </c>
      <c r="F87" s="8">
        <f>(INT(Table_Moldova[[#This Row],[Date]]) - DATE(1970, 1, 1)) * 86400000</f>
        <v>1727136000000</v>
      </c>
      <c r="G87" s="10">
        <f>'GMT Glossary'!$B$2</f>
        <v>6</v>
      </c>
      <c r="H87" s="2" t="str">
        <f t="shared" si="2"/>
        <v>2024-09-24</v>
      </c>
      <c r="I87" s="2" t="str">
        <f t="shared" si="3"/>
        <v>13:00</v>
      </c>
    </row>
    <row r="88" spans="1:9" x14ac:dyDescent="0.25">
      <c r="A88" s="12">
        <v>45552</v>
      </c>
      <c r="B88" s="15">
        <v>0.375</v>
      </c>
      <c r="C88" s="14" t="s">
        <v>26</v>
      </c>
      <c r="D88" s="19" t="s">
        <v>57</v>
      </c>
      <c r="E88" s="11" t="s">
        <v>22</v>
      </c>
      <c r="F88" s="8">
        <f>(INT(Table_Moldova[[#This Row],[Date]]) - DATE(1970, 1, 1)) * 86400000</f>
        <v>1726531200000</v>
      </c>
      <c r="G88" s="10">
        <f>'GMT Glossary'!$B$2</f>
        <v>6</v>
      </c>
      <c r="H88" s="2" t="str">
        <f t="shared" si="2"/>
        <v>2024-09-17</v>
      </c>
      <c r="I88" s="2" t="str">
        <f t="shared" si="3"/>
        <v>15:00</v>
      </c>
    </row>
    <row r="89" spans="1:9" x14ac:dyDescent="0.25">
      <c r="A89" s="12">
        <v>45552</v>
      </c>
      <c r="B89" s="15">
        <v>0.45833333333333331</v>
      </c>
      <c r="C89" s="14" t="s">
        <v>26</v>
      </c>
      <c r="D89" s="19" t="s">
        <v>95</v>
      </c>
      <c r="E89" s="11" t="s">
        <v>22</v>
      </c>
      <c r="F89" s="8">
        <f>(INT(Table_Moldova[[#This Row],[Date]]) - DATE(1970, 1, 1)) * 86400000</f>
        <v>1726531200000</v>
      </c>
      <c r="G89" s="10">
        <f>'GMT Glossary'!$B$2</f>
        <v>6</v>
      </c>
      <c r="H89" s="2" t="str">
        <f t="shared" si="2"/>
        <v>2024-09-17</v>
      </c>
      <c r="I89" s="2" t="str">
        <f t="shared" si="3"/>
        <v>17:00</v>
      </c>
    </row>
    <row r="90" spans="1:9" x14ac:dyDescent="0.25">
      <c r="A90" s="12">
        <v>45552</v>
      </c>
      <c r="B90" s="15">
        <v>0.54166666666666663</v>
      </c>
      <c r="C90" s="14" t="s">
        <v>26</v>
      </c>
      <c r="D90" s="19" t="s">
        <v>96</v>
      </c>
      <c r="E90" s="11" t="s">
        <v>22</v>
      </c>
      <c r="F90" s="8">
        <f>(INT(Table_Moldova[[#This Row],[Date]]) - DATE(1970, 1, 1)) * 86400000</f>
        <v>1726531200000</v>
      </c>
      <c r="G90" s="10">
        <f>'GMT Glossary'!$B$2</f>
        <v>6</v>
      </c>
      <c r="H90" s="2" t="str">
        <f t="shared" si="2"/>
        <v>2024-09-17</v>
      </c>
      <c r="I90" s="2" t="str">
        <f t="shared" si="3"/>
        <v>19:00</v>
      </c>
    </row>
    <row r="91" spans="1:9" x14ac:dyDescent="0.25">
      <c r="A91" s="12">
        <v>45552</v>
      </c>
      <c r="B91" s="15">
        <v>0.625</v>
      </c>
      <c r="C91" s="14" t="s">
        <v>26</v>
      </c>
      <c r="D91" s="19" t="s">
        <v>43</v>
      </c>
      <c r="E91" s="11" t="s">
        <v>22</v>
      </c>
      <c r="F91" s="8">
        <f>(INT(Table_Moldova[[#This Row],[Date]]) - DATE(1970, 1, 1)) * 86400000</f>
        <v>1726531200000</v>
      </c>
      <c r="G91" s="10">
        <f>'GMT Glossary'!$B$2</f>
        <v>6</v>
      </c>
      <c r="H91" s="2" t="str">
        <f t="shared" si="2"/>
        <v>2024-09-17</v>
      </c>
      <c r="I91" s="2" t="str">
        <f t="shared" si="3"/>
        <v>21:00</v>
      </c>
    </row>
    <row r="92" spans="1:9" x14ac:dyDescent="0.25">
      <c r="A92" s="12">
        <v>45552</v>
      </c>
      <c r="B92" s="15">
        <v>0.70833333333333337</v>
      </c>
      <c r="C92" s="14" t="s">
        <v>26</v>
      </c>
      <c r="D92" s="19" t="s">
        <v>48</v>
      </c>
      <c r="E92" s="11" t="s">
        <v>22</v>
      </c>
      <c r="F92" s="8">
        <f>(INT(Table_Moldova[[#This Row],[Date]]) - DATE(1970, 1, 1)) * 86400000</f>
        <v>1726531200000</v>
      </c>
      <c r="G92" s="10">
        <f>'GMT Glossary'!$B$2</f>
        <v>6</v>
      </c>
      <c r="H92" s="2" t="str">
        <f t="shared" si="2"/>
        <v>2024-09-17</v>
      </c>
      <c r="I92" s="2" t="str">
        <f t="shared" si="3"/>
        <v>23:00</v>
      </c>
    </row>
    <row r="93" spans="1:9" x14ac:dyDescent="0.25">
      <c r="A93" s="12">
        <v>45552</v>
      </c>
      <c r="B93" s="15">
        <v>0.78125</v>
      </c>
      <c r="C93" s="14" t="s">
        <v>26</v>
      </c>
      <c r="D93" s="19" t="s">
        <v>97</v>
      </c>
      <c r="E93" s="11" t="s">
        <v>22</v>
      </c>
      <c r="F93" s="8">
        <f>(INT(Table_Moldova[[#This Row],[Date]]) - DATE(1970, 1, 1)) * 86400000</f>
        <v>1726531200000</v>
      </c>
      <c r="G93" s="10">
        <f>'GMT Glossary'!$B$2</f>
        <v>6</v>
      </c>
      <c r="H93" s="2" t="str">
        <f t="shared" si="2"/>
        <v>2024-09-18</v>
      </c>
      <c r="I93" s="2" t="str">
        <f t="shared" si="3"/>
        <v>00:45</v>
      </c>
    </row>
    <row r="94" spans="1:9" x14ac:dyDescent="0.25">
      <c r="A94" s="12">
        <v>45552</v>
      </c>
      <c r="B94" s="15">
        <v>0.875</v>
      </c>
      <c r="C94" s="14" t="s">
        <v>26</v>
      </c>
      <c r="D94" s="19" t="s">
        <v>44</v>
      </c>
      <c r="E94" s="11" t="s">
        <v>22</v>
      </c>
      <c r="F94" s="8">
        <f>(INT(Table_Moldova[[#This Row],[Date]]) - DATE(1970, 1, 1)) * 86400000</f>
        <v>1726531200000</v>
      </c>
      <c r="G94" s="10">
        <f>'GMT Glossary'!$B$2</f>
        <v>6</v>
      </c>
      <c r="H94" s="2" t="str">
        <f t="shared" si="2"/>
        <v>2024-09-18</v>
      </c>
      <c r="I94" s="2" t="str">
        <f t="shared" si="3"/>
        <v>03:00</v>
      </c>
    </row>
    <row r="95" spans="1:9" x14ac:dyDescent="0.25">
      <c r="A95" s="12">
        <v>45552</v>
      </c>
      <c r="B95" s="15">
        <v>0.95833333333333337</v>
      </c>
      <c r="C95" s="14" t="s">
        <v>26</v>
      </c>
      <c r="D95" s="19" t="s">
        <v>98</v>
      </c>
      <c r="E95" s="11" t="s">
        <v>22</v>
      </c>
      <c r="F95" s="8">
        <f>(INT(Table_Moldova[[#This Row],[Date]]) - DATE(1970, 1, 1)) * 86400000</f>
        <v>1726531200000</v>
      </c>
      <c r="G95" s="10">
        <f>'GMT Glossary'!$B$2</f>
        <v>6</v>
      </c>
      <c r="H95" s="2" t="str">
        <f t="shared" si="2"/>
        <v>2024-09-18</v>
      </c>
      <c r="I95" s="2" t="str">
        <f t="shared" si="3"/>
        <v>05:00</v>
      </c>
    </row>
    <row r="96" spans="1:9" x14ac:dyDescent="0.25">
      <c r="A96" s="12">
        <v>45553</v>
      </c>
      <c r="B96" s="15">
        <v>4.1666666666666664E-2</v>
      </c>
      <c r="C96" s="14" t="s">
        <v>26</v>
      </c>
      <c r="D96" s="19" t="s">
        <v>52</v>
      </c>
      <c r="E96" s="11" t="s">
        <v>22</v>
      </c>
      <c r="F96" s="8">
        <f>(INT(Table_Moldova[[#This Row],[Date]]) - DATE(1970, 1, 1)) * 86400000</f>
        <v>1726617600000</v>
      </c>
      <c r="G96" s="10">
        <f>'GMT Glossary'!$B$2</f>
        <v>6</v>
      </c>
      <c r="H96" s="2" t="str">
        <f t="shared" si="2"/>
        <v>2024-09-18</v>
      </c>
      <c r="I96" s="2" t="str">
        <f t="shared" si="3"/>
        <v>07:00</v>
      </c>
    </row>
    <row r="97" spans="1:9" x14ac:dyDescent="0.25">
      <c r="A97" s="12">
        <v>45553</v>
      </c>
      <c r="B97" s="15">
        <v>0.125</v>
      </c>
      <c r="C97" s="14" t="s">
        <v>18</v>
      </c>
      <c r="D97" s="19" t="s">
        <v>99</v>
      </c>
      <c r="E97" s="11" t="s">
        <v>22</v>
      </c>
      <c r="F97" s="8">
        <f>(INT(Table_Moldova[[#This Row],[Date]]) - DATE(1970, 1, 1)) * 86400000</f>
        <v>1726617600000</v>
      </c>
      <c r="G97" s="10">
        <f>'GMT Glossary'!$B$2</f>
        <v>6</v>
      </c>
      <c r="H97" s="2" t="str">
        <f t="shared" si="2"/>
        <v>2024-09-18</v>
      </c>
      <c r="I97" s="2" t="str">
        <f t="shared" si="3"/>
        <v>09:00</v>
      </c>
    </row>
    <row r="98" spans="1:9" x14ac:dyDescent="0.25">
      <c r="A98" s="12">
        <v>45553</v>
      </c>
      <c r="B98" s="15">
        <v>0.25</v>
      </c>
      <c r="C98" s="14" t="s">
        <v>37</v>
      </c>
      <c r="D98" s="19" t="s">
        <v>38</v>
      </c>
      <c r="E98" s="11" t="s">
        <v>22</v>
      </c>
      <c r="F98" s="8">
        <f>(INT(Table_Moldova[[#This Row],[Date]]) - DATE(1970, 1, 1)) * 86400000</f>
        <v>1726617600000</v>
      </c>
      <c r="G98" s="10">
        <f>'GMT Glossary'!$B$2</f>
        <v>6</v>
      </c>
      <c r="H98" s="2" t="str">
        <f t="shared" si="2"/>
        <v>2024-09-18</v>
      </c>
      <c r="I98" s="2" t="str">
        <f t="shared" si="3"/>
        <v>12:00</v>
      </c>
    </row>
    <row r="99" spans="1:9" x14ac:dyDescent="0.25">
      <c r="A99" s="12">
        <v>45553</v>
      </c>
      <c r="B99" s="15">
        <v>0.375</v>
      </c>
      <c r="C99" s="14" t="s">
        <v>26</v>
      </c>
      <c r="D99" s="19" t="s">
        <v>45</v>
      </c>
      <c r="E99" s="11" t="s">
        <v>22</v>
      </c>
      <c r="F99" s="8">
        <f>(INT(Table_Moldova[[#This Row],[Date]]) - DATE(1970, 1, 1)) * 86400000</f>
        <v>1726617600000</v>
      </c>
      <c r="G99" s="10">
        <f>'GMT Glossary'!$B$2</f>
        <v>6</v>
      </c>
      <c r="H99" s="2" t="str">
        <f t="shared" si="2"/>
        <v>2024-09-18</v>
      </c>
      <c r="I99" s="2" t="str">
        <f t="shared" si="3"/>
        <v>15:00</v>
      </c>
    </row>
    <row r="100" spans="1:9" x14ac:dyDescent="0.25">
      <c r="A100" s="12">
        <v>45553</v>
      </c>
      <c r="B100" s="15">
        <v>0.45833333333333331</v>
      </c>
      <c r="C100" s="14" t="s">
        <v>26</v>
      </c>
      <c r="D100" s="19" t="s">
        <v>57</v>
      </c>
      <c r="E100" s="11" t="s">
        <v>22</v>
      </c>
      <c r="F100" s="8">
        <f>(INT(Table_Moldova[[#This Row],[Date]]) - DATE(1970, 1, 1)) * 86400000</f>
        <v>1726617600000</v>
      </c>
      <c r="G100" s="10">
        <f>'GMT Glossary'!$B$2</f>
        <v>6</v>
      </c>
      <c r="H100" s="2" t="str">
        <f t="shared" si="2"/>
        <v>2024-09-18</v>
      </c>
      <c r="I100" s="2" t="str">
        <f t="shared" si="3"/>
        <v>17:00</v>
      </c>
    </row>
    <row r="101" spans="1:9" x14ac:dyDescent="0.25">
      <c r="A101" s="12">
        <v>45553</v>
      </c>
      <c r="B101" s="15">
        <v>0.54166666666666663</v>
      </c>
      <c r="C101" s="14" t="s">
        <v>26</v>
      </c>
      <c r="D101" s="19" t="s">
        <v>100</v>
      </c>
      <c r="E101" s="11" t="s">
        <v>22</v>
      </c>
      <c r="F101" s="8">
        <f>(INT(Table_Moldova[[#This Row],[Date]]) - DATE(1970, 1, 1)) * 86400000</f>
        <v>1726617600000</v>
      </c>
      <c r="G101" s="10">
        <f>'GMT Glossary'!$B$2</f>
        <v>6</v>
      </c>
      <c r="H101" s="2" t="str">
        <f t="shared" si="2"/>
        <v>2024-09-18</v>
      </c>
      <c r="I101" s="2" t="str">
        <f t="shared" si="3"/>
        <v>19:00</v>
      </c>
    </row>
    <row r="102" spans="1:9" x14ac:dyDescent="0.25">
      <c r="A102" s="12">
        <v>45553</v>
      </c>
      <c r="B102" s="15">
        <v>0.625</v>
      </c>
      <c r="C102" s="14" t="s">
        <v>26</v>
      </c>
      <c r="D102" s="19" t="s">
        <v>42</v>
      </c>
      <c r="E102" s="11" t="s">
        <v>22</v>
      </c>
      <c r="F102" s="8">
        <f>(INT(Table_Moldova[[#This Row],[Date]]) - DATE(1970, 1, 1)) * 86400000</f>
        <v>1726617600000</v>
      </c>
      <c r="G102" s="10">
        <f>'GMT Glossary'!$B$2</f>
        <v>6</v>
      </c>
      <c r="H102" s="2" t="str">
        <f t="shared" si="2"/>
        <v>2024-09-18</v>
      </c>
      <c r="I102" s="2" t="str">
        <f t="shared" si="3"/>
        <v>21:00</v>
      </c>
    </row>
    <row r="103" spans="1:9" x14ac:dyDescent="0.25">
      <c r="A103" s="12">
        <v>45553</v>
      </c>
      <c r="B103" s="15">
        <v>0.70833333333333337</v>
      </c>
      <c r="C103" s="14" t="s">
        <v>26</v>
      </c>
      <c r="D103" s="19" t="s">
        <v>101</v>
      </c>
      <c r="E103" s="11" t="s">
        <v>22</v>
      </c>
      <c r="F103" s="8">
        <f>(INT(Table_Moldova[[#This Row],[Date]]) - DATE(1970, 1, 1)) * 86400000</f>
        <v>1726617600000</v>
      </c>
      <c r="G103" s="10">
        <f>'GMT Glossary'!$B$2</f>
        <v>6</v>
      </c>
      <c r="H103" s="2" t="str">
        <f t="shared" si="2"/>
        <v>2024-09-18</v>
      </c>
      <c r="I103" s="2" t="str">
        <f t="shared" si="3"/>
        <v>23:00</v>
      </c>
    </row>
    <row r="104" spans="1:9" x14ac:dyDescent="0.25">
      <c r="A104" s="12">
        <v>45553</v>
      </c>
      <c r="B104" s="15">
        <v>0.79166666666666663</v>
      </c>
      <c r="C104" s="14" t="s">
        <v>26</v>
      </c>
      <c r="D104" s="19" t="s">
        <v>49</v>
      </c>
      <c r="E104" s="11" t="s">
        <v>22</v>
      </c>
      <c r="F104" s="8">
        <f>(INT(Table_Moldova[[#This Row],[Date]]) - DATE(1970, 1, 1)) * 86400000</f>
        <v>1726617600000</v>
      </c>
      <c r="G104" s="10">
        <f>'GMT Glossary'!$B$2</f>
        <v>6</v>
      </c>
      <c r="H104" s="2" t="str">
        <f t="shared" si="2"/>
        <v>2024-09-19</v>
      </c>
      <c r="I104" s="2" t="str">
        <f t="shared" si="3"/>
        <v>01:00</v>
      </c>
    </row>
    <row r="105" spans="1:9" x14ac:dyDescent="0.25">
      <c r="A105" s="12">
        <v>45553</v>
      </c>
      <c r="B105" s="15">
        <v>0.875</v>
      </c>
      <c r="C105" s="14" t="s">
        <v>26</v>
      </c>
      <c r="D105" s="19" t="s">
        <v>43</v>
      </c>
      <c r="E105" s="11" t="s">
        <v>22</v>
      </c>
      <c r="F105" s="8">
        <f>(INT(Table_Moldova[[#This Row],[Date]]) - DATE(1970, 1, 1)) * 86400000</f>
        <v>1726617600000</v>
      </c>
      <c r="G105" s="10">
        <f>'GMT Glossary'!$B$2</f>
        <v>6</v>
      </c>
      <c r="H105" s="2" t="str">
        <f t="shared" si="2"/>
        <v>2024-09-19</v>
      </c>
      <c r="I105" s="2" t="str">
        <f t="shared" si="3"/>
        <v>03:00</v>
      </c>
    </row>
    <row r="106" spans="1:9" x14ac:dyDescent="0.25">
      <c r="A106" s="12">
        <v>45553</v>
      </c>
      <c r="B106" s="15">
        <v>0.95833333333333337</v>
      </c>
      <c r="C106" s="14" t="s">
        <v>26</v>
      </c>
      <c r="D106" s="19" t="s">
        <v>102</v>
      </c>
      <c r="E106" s="11" t="s">
        <v>22</v>
      </c>
      <c r="F106" s="8">
        <f>(INT(Table_Moldova[[#This Row],[Date]]) - DATE(1970, 1, 1)) * 86400000</f>
        <v>1726617600000</v>
      </c>
      <c r="G106" s="10">
        <f>'GMT Glossary'!$B$2</f>
        <v>6</v>
      </c>
      <c r="H106" s="2" t="str">
        <f t="shared" si="2"/>
        <v>2024-09-19</v>
      </c>
      <c r="I106" s="2" t="str">
        <f t="shared" si="3"/>
        <v>05:00</v>
      </c>
    </row>
    <row r="107" spans="1:9" x14ac:dyDescent="0.25">
      <c r="A107" s="12">
        <v>45554</v>
      </c>
      <c r="B107" s="15">
        <v>4.1666666666666664E-2</v>
      </c>
      <c r="C107" s="14" t="s">
        <v>37</v>
      </c>
      <c r="D107" s="19" t="s">
        <v>46</v>
      </c>
      <c r="E107" s="11" t="s">
        <v>22</v>
      </c>
      <c r="F107" s="8">
        <f>(INT(Table_Moldova[[#This Row],[Date]]) - DATE(1970, 1, 1)) * 86400000</f>
        <v>1726704000000</v>
      </c>
      <c r="G107" s="10">
        <f>'GMT Glossary'!$B$2</f>
        <v>6</v>
      </c>
      <c r="H107" s="2" t="str">
        <f t="shared" si="2"/>
        <v>2024-09-19</v>
      </c>
      <c r="I107" s="2" t="str">
        <f t="shared" si="3"/>
        <v>07:00</v>
      </c>
    </row>
    <row r="108" spans="1:9" x14ac:dyDescent="0.25">
      <c r="A108" s="12">
        <v>45554</v>
      </c>
      <c r="B108" s="15">
        <v>0.16666666666666666</v>
      </c>
      <c r="C108" s="14" t="s">
        <v>18</v>
      </c>
      <c r="D108" s="19" t="s">
        <v>99</v>
      </c>
      <c r="E108" s="11" t="s">
        <v>22</v>
      </c>
      <c r="F108" s="8">
        <f>(INT(Table_Moldova[[#This Row],[Date]]) - DATE(1970, 1, 1)) * 86400000</f>
        <v>1726704000000</v>
      </c>
      <c r="G108" s="10">
        <f>'GMT Glossary'!$B$2</f>
        <v>6</v>
      </c>
      <c r="H108" s="2" t="str">
        <f t="shared" si="2"/>
        <v>2024-09-19</v>
      </c>
      <c r="I108" s="2" t="str">
        <f t="shared" si="3"/>
        <v>10:00</v>
      </c>
    </row>
    <row r="109" spans="1:9" x14ac:dyDescent="0.25">
      <c r="A109" s="12">
        <v>45554</v>
      </c>
      <c r="B109" s="15">
        <v>0.29166666666666669</v>
      </c>
      <c r="C109" s="14" t="s">
        <v>26</v>
      </c>
      <c r="D109" s="19" t="s">
        <v>103</v>
      </c>
      <c r="E109" s="11" t="s">
        <v>22</v>
      </c>
      <c r="F109" s="8">
        <f>(INT(Table_Moldova[[#This Row],[Date]]) - DATE(1970, 1, 1)) * 86400000</f>
        <v>1726704000000</v>
      </c>
      <c r="G109" s="10">
        <f>'GMT Glossary'!$B$2</f>
        <v>6</v>
      </c>
      <c r="H109" s="2" t="str">
        <f t="shared" si="2"/>
        <v>2024-09-19</v>
      </c>
      <c r="I109" s="2" t="str">
        <f t="shared" si="3"/>
        <v>13:00</v>
      </c>
    </row>
    <row r="110" spans="1:9" x14ac:dyDescent="0.25">
      <c r="A110" s="12">
        <v>45554</v>
      </c>
      <c r="B110" s="15">
        <v>0.375</v>
      </c>
      <c r="C110" s="14" t="s">
        <v>26</v>
      </c>
      <c r="D110" s="19" t="s">
        <v>52</v>
      </c>
      <c r="E110" s="11" t="s">
        <v>22</v>
      </c>
      <c r="F110" s="8">
        <f>(INT(Table_Moldova[[#This Row],[Date]]) - DATE(1970, 1, 1)) * 86400000</f>
        <v>1726704000000</v>
      </c>
      <c r="G110" s="10">
        <f>'GMT Glossary'!$B$2</f>
        <v>6</v>
      </c>
      <c r="H110" s="2" t="str">
        <f t="shared" si="2"/>
        <v>2024-09-19</v>
      </c>
      <c r="I110" s="2" t="str">
        <f t="shared" si="3"/>
        <v>15:00</v>
      </c>
    </row>
    <row r="111" spans="1:9" x14ac:dyDescent="0.25">
      <c r="A111" s="12">
        <v>45554</v>
      </c>
      <c r="B111" s="15">
        <v>0.45833333333333331</v>
      </c>
      <c r="C111" s="14" t="s">
        <v>26</v>
      </c>
      <c r="D111" s="19" t="s">
        <v>40</v>
      </c>
      <c r="E111" s="11" t="s">
        <v>22</v>
      </c>
      <c r="F111" s="8">
        <f>(INT(Table_Moldova[[#This Row],[Date]]) - DATE(1970, 1, 1)) * 86400000</f>
        <v>1726704000000</v>
      </c>
      <c r="G111" s="10">
        <f>'GMT Glossary'!$B$2</f>
        <v>6</v>
      </c>
      <c r="H111" s="2" t="str">
        <f t="shared" si="2"/>
        <v>2024-09-19</v>
      </c>
      <c r="I111" s="2" t="str">
        <f t="shared" si="3"/>
        <v>17:00</v>
      </c>
    </row>
    <row r="112" spans="1:9" x14ac:dyDescent="0.25">
      <c r="A112" s="12">
        <v>45554</v>
      </c>
      <c r="B112" s="15">
        <v>0.54166666666666663</v>
      </c>
      <c r="C112" s="14" t="s">
        <v>26</v>
      </c>
      <c r="D112" s="19" t="s">
        <v>100</v>
      </c>
      <c r="E112" s="11" t="s">
        <v>22</v>
      </c>
      <c r="F112" s="8">
        <f>(INT(Table_Moldova[[#This Row],[Date]]) - DATE(1970, 1, 1)) * 86400000</f>
        <v>1726704000000</v>
      </c>
      <c r="G112" s="10">
        <f>'GMT Glossary'!$B$2</f>
        <v>6</v>
      </c>
      <c r="H112" s="2" t="str">
        <f t="shared" si="2"/>
        <v>2024-09-19</v>
      </c>
      <c r="I112" s="2" t="str">
        <f t="shared" si="3"/>
        <v>19:00</v>
      </c>
    </row>
    <row r="113" spans="1:9" x14ac:dyDescent="0.25">
      <c r="A113" s="12">
        <v>45554</v>
      </c>
      <c r="B113" s="15">
        <v>0.625</v>
      </c>
      <c r="C113" s="14" t="s">
        <v>26</v>
      </c>
      <c r="D113" s="19" t="s">
        <v>104</v>
      </c>
      <c r="E113" s="11" t="s">
        <v>22</v>
      </c>
      <c r="F113" s="8">
        <f>(INT(Table_Moldova[[#This Row],[Date]]) - DATE(1970, 1, 1)) * 86400000</f>
        <v>1726704000000</v>
      </c>
      <c r="G113" s="10">
        <f>'GMT Glossary'!$B$2</f>
        <v>6</v>
      </c>
      <c r="H113" s="2" t="str">
        <f t="shared" si="2"/>
        <v>2024-09-19</v>
      </c>
      <c r="I113" s="2" t="str">
        <f t="shared" si="3"/>
        <v>21:00</v>
      </c>
    </row>
    <row r="114" spans="1:9" x14ac:dyDescent="0.25">
      <c r="A114" s="12">
        <v>45554</v>
      </c>
      <c r="B114" s="15">
        <v>0.70833333333333337</v>
      </c>
      <c r="C114" s="14" t="s">
        <v>26</v>
      </c>
      <c r="D114" s="19" t="s">
        <v>44</v>
      </c>
      <c r="E114" s="11" t="s">
        <v>22</v>
      </c>
      <c r="F114" s="8">
        <f>(INT(Table_Moldova[[#This Row],[Date]]) - DATE(1970, 1, 1)) * 86400000</f>
        <v>1726704000000</v>
      </c>
      <c r="G114" s="10">
        <f>'GMT Glossary'!$B$2</f>
        <v>6</v>
      </c>
      <c r="H114" s="2" t="str">
        <f t="shared" si="2"/>
        <v>2024-09-19</v>
      </c>
      <c r="I114" s="2" t="str">
        <f t="shared" si="3"/>
        <v>23:00</v>
      </c>
    </row>
    <row r="115" spans="1:9" x14ac:dyDescent="0.25">
      <c r="A115" s="12">
        <v>45554</v>
      </c>
      <c r="B115" s="15">
        <v>0.79166666666666663</v>
      </c>
      <c r="C115" s="14" t="s">
        <v>26</v>
      </c>
      <c r="D115" s="19" t="s">
        <v>54</v>
      </c>
      <c r="E115" s="11" t="s">
        <v>22</v>
      </c>
      <c r="F115" s="8">
        <f>(INT(Table_Moldova[[#This Row],[Date]]) - DATE(1970, 1, 1)) * 86400000</f>
        <v>1726704000000</v>
      </c>
      <c r="G115" s="10">
        <f>'GMT Glossary'!$B$2</f>
        <v>6</v>
      </c>
      <c r="H115" s="2" t="str">
        <f t="shared" si="2"/>
        <v>2024-09-20</v>
      </c>
      <c r="I115" s="2" t="str">
        <f t="shared" si="3"/>
        <v>01:00</v>
      </c>
    </row>
    <row r="116" spans="1:9" x14ac:dyDescent="0.25">
      <c r="A116" s="12">
        <v>45554</v>
      </c>
      <c r="B116" s="15">
        <v>0.875</v>
      </c>
      <c r="C116" s="14" t="s">
        <v>26</v>
      </c>
      <c r="D116" s="19" t="s">
        <v>43</v>
      </c>
      <c r="E116" s="11" t="s">
        <v>22</v>
      </c>
      <c r="F116" s="8">
        <f>(INT(Table_Moldova[[#This Row],[Date]]) - DATE(1970, 1, 1)) * 86400000</f>
        <v>1726704000000</v>
      </c>
      <c r="G116" s="10">
        <f>'GMT Glossary'!$B$2</f>
        <v>6</v>
      </c>
      <c r="H116" s="2" t="str">
        <f t="shared" si="2"/>
        <v>2024-09-20</v>
      </c>
      <c r="I116" s="2" t="str">
        <f t="shared" si="3"/>
        <v>03:00</v>
      </c>
    </row>
    <row r="117" spans="1:9" x14ac:dyDescent="0.25">
      <c r="A117" s="12">
        <v>45554</v>
      </c>
      <c r="B117" s="15">
        <v>0.95833333333333337</v>
      </c>
      <c r="C117" s="14" t="s">
        <v>26</v>
      </c>
      <c r="D117" s="19" t="s">
        <v>48</v>
      </c>
      <c r="E117" s="11" t="s">
        <v>22</v>
      </c>
      <c r="F117" s="8">
        <f>(INT(Table_Moldova[[#This Row],[Date]]) - DATE(1970, 1, 1)) * 86400000</f>
        <v>1726704000000</v>
      </c>
      <c r="G117" s="10">
        <f>'GMT Glossary'!$B$2</f>
        <v>6</v>
      </c>
      <c r="H117" s="2" t="str">
        <f t="shared" si="2"/>
        <v>2024-09-20</v>
      </c>
      <c r="I117" s="2" t="str">
        <f t="shared" si="3"/>
        <v>05:00</v>
      </c>
    </row>
    <row r="118" spans="1:9" x14ac:dyDescent="0.25">
      <c r="A118" s="12">
        <v>45555</v>
      </c>
      <c r="B118" s="15">
        <v>4.1666666666666664E-2</v>
      </c>
      <c r="C118" s="14" t="s">
        <v>37</v>
      </c>
      <c r="D118" s="19" t="s">
        <v>39</v>
      </c>
      <c r="E118" s="11" t="s">
        <v>22</v>
      </c>
      <c r="F118" s="8">
        <f>(INT(Table_Moldova[[#This Row],[Date]]) - DATE(1970, 1, 1)) * 86400000</f>
        <v>1726790400000</v>
      </c>
      <c r="G118" s="10">
        <f>'GMT Glossary'!$B$2</f>
        <v>6</v>
      </c>
      <c r="H118" s="2" t="str">
        <f t="shared" si="2"/>
        <v>2024-09-20</v>
      </c>
      <c r="I118" s="2" t="str">
        <f t="shared" si="3"/>
        <v>07:00</v>
      </c>
    </row>
    <row r="119" spans="1:9" x14ac:dyDescent="0.25">
      <c r="A119" s="12">
        <v>45555</v>
      </c>
      <c r="B119" s="15">
        <v>0.125</v>
      </c>
      <c r="C119" s="14" t="s">
        <v>26</v>
      </c>
      <c r="D119" s="19" t="s">
        <v>53</v>
      </c>
      <c r="E119" s="11" t="s">
        <v>22</v>
      </c>
      <c r="F119" s="8">
        <f>(INT(Table_Moldova[[#This Row],[Date]]) - DATE(1970, 1, 1)) * 86400000</f>
        <v>1726790400000</v>
      </c>
      <c r="G119" s="10">
        <f>'GMT Glossary'!$B$2</f>
        <v>6</v>
      </c>
      <c r="H119" s="2" t="str">
        <f t="shared" si="2"/>
        <v>2024-09-20</v>
      </c>
      <c r="I119" s="2" t="str">
        <f t="shared" si="3"/>
        <v>09:00</v>
      </c>
    </row>
    <row r="120" spans="1:9" x14ac:dyDescent="0.25">
      <c r="A120" s="12">
        <v>45555</v>
      </c>
      <c r="B120" s="15">
        <v>0.20833333333333334</v>
      </c>
      <c r="C120" s="14" t="s">
        <v>36</v>
      </c>
      <c r="D120" s="19" t="s">
        <v>105</v>
      </c>
      <c r="E120" s="11" t="s">
        <v>22</v>
      </c>
      <c r="F120" s="8">
        <f>(INT(Table_Moldova[[#This Row],[Date]]) - DATE(1970, 1, 1)) * 86400000</f>
        <v>1726790400000</v>
      </c>
      <c r="G120" s="10">
        <f>'GMT Glossary'!$B$2</f>
        <v>6</v>
      </c>
      <c r="H120" s="2" t="str">
        <f t="shared" si="2"/>
        <v>2024-09-20</v>
      </c>
      <c r="I120" s="2" t="str">
        <f t="shared" si="3"/>
        <v>11:00</v>
      </c>
    </row>
    <row r="121" spans="1:9" x14ac:dyDescent="0.25">
      <c r="A121" s="12">
        <v>45555</v>
      </c>
      <c r="B121" s="15">
        <v>0.27083333333333331</v>
      </c>
      <c r="C121" s="14" t="s">
        <v>36</v>
      </c>
      <c r="D121" s="19" t="s">
        <v>106</v>
      </c>
      <c r="E121" s="11" t="s">
        <v>22</v>
      </c>
      <c r="F121" s="8">
        <f>(INT(Table_Moldova[[#This Row],[Date]]) - DATE(1970, 1, 1)) * 86400000</f>
        <v>1726790400000</v>
      </c>
      <c r="G121" s="10">
        <f>'GMT Glossary'!$B$2</f>
        <v>6</v>
      </c>
      <c r="H121" s="2" t="str">
        <f t="shared" si="2"/>
        <v>2024-09-20</v>
      </c>
      <c r="I121" s="2" t="str">
        <f t="shared" si="3"/>
        <v>12:30</v>
      </c>
    </row>
    <row r="122" spans="1:9" x14ac:dyDescent="0.25">
      <c r="A122" s="12">
        <v>45555</v>
      </c>
      <c r="B122" s="15">
        <v>0.33333333333333331</v>
      </c>
      <c r="C122" s="14" t="s">
        <v>36</v>
      </c>
      <c r="D122" s="19" t="s">
        <v>107</v>
      </c>
      <c r="E122" s="11" t="s">
        <v>22</v>
      </c>
      <c r="F122" s="8">
        <f>(INT(Table_Moldova[[#This Row],[Date]]) - DATE(1970, 1, 1)) * 86400000</f>
        <v>1726790400000</v>
      </c>
      <c r="G122" s="10">
        <f>'GMT Glossary'!$B$2</f>
        <v>6</v>
      </c>
      <c r="H122" s="2" t="str">
        <f t="shared" si="2"/>
        <v>2024-09-20</v>
      </c>
      <c r="I122" s="2" t="str">
        <f t="shared" si="3"/>
        <v>14:00</v>
      </c>
    </row>
    <row r="123" spans="1:9" x14ac:dyDescent="0.25">
      <c r="A123" s="12">
        <v>45555</v>
      </c>
      <c r="B123" s="15">
        <v>0.41666666666666669</v>
      </c>
      <c r="C123" s="14" t="s">
        <v>36</v>
      </c>
      <c r="D123" s="19" t="s">
        <v>108</v>
      </c>
      <c r="E123" s="11" t="s">
        <v>22</v>
      </c>
      <c r="F123" s="8">
        <f>(INT(Table_Moldova[[#This Row],[Date]]) - DATE(1970, 1, 1)) * 86400000</f>
        <v>1726790400000</v>
      </c>
      <c r="G123" s="10">
        <f>'GMT Glossary'!$B$2</f>
        <v>6</v>
      </c>
      <c r="H123" s="2" t="str">
        <f t="shared" si="2"/>
        <v>2024-09-20</v>
      </c>
      <c r="I123" s="2" t="str">
        <f t="shared" si="3"/>
        <v>16:00</v>
      </c>
    </row>
    <row r="124" spans="1:9" x14ac:dyDescent="0.25">
      <c r="A124" s="12">
        <v>45555</v>
      </c>
      <c r="B124" s="15">
        <v>0.54166666666666663</v>
      </c>
      <c r="C124" s="14" t="s">
        <v>26</v>
      </c>
      <c r="D124" s="19" t="s">
        <v>98</v>
      </c>
      <c r="E124" s="11" t="s">
        <v>22</v>
      </c>
      <c r="F124" s="8">
        <f>(INT(Table_Moldova[[#This Row],[Date]]) - DATE(1970, 1, 1)) * 86400000</f>
        <v>1726790400000</v>
      </c>
      <c r="G124" s="10">
        <f>'GMT Glossary'!$B$2</f>
        <v>6</v>
      </c>
      <c r="H124" s="2" t="str">
        <f t="shared" si="2"/>
        <v>2024-09-20</v>
      </c>
      <c r="I124" s="2" t="str">
        <f t="shared" si="3"/>
        <v>19:00</v>
      </c>
    </row>
    <row r="125" spans="1:9" x14ac:dyDescent="0.25">
      <c r="A125" s="12">
        <v>45555</v>
      </c>
      <c r="B125" s="15">
        <v>0.64583333333333337</v>
      </c>
      <c r="C125" s="14" t="s">
        <v>21</v>
      </c>
      <c r="D125" s="19" t="s">
        <v>109</v>
      </c>
      <c r="E125" s="11" t="s">
        <v>22</v>
      </c>
      <c r="F125" s="8">
        <f>(INT(Table_Moldova[[#This Row],[Date]]) - DATE(1970, 1, 1)) * 86400000</f>
        <v>1726790400000</v>
      </c>
      <c r="G125" s="10">
        <f>'GMT Glossary'!$B$2</f>
        <v>6</v>
      </c>
      <c r="H125" s="2" t="str">
        <f t="shared" si="2"/>
        <v>2024-09-20</v>
      </c>
      <c r="I125" s="2" t="str">
        <f t="shared" si="3"/>
        <v>21:30</v>
      </c>
    </row>
    <row r="126" spans="1:9" x14ac:dyDescent="0.25">
      <c r="A126" s="12">
        <v>45555</v>
      </c>
      <c r="B126" s="15">
        <v>0.79166666666666663</v>
      </c>
      <c r="C126" s="14" t="s">
        <v>26</v>
      </c>
      <c r="D126" s="19" t="s">
        <v>45</v>
      </c>
      <c r="E126" s="11" t="s">
        <v>22</v>
      </c>
      <c r="F126" s="8">
        <f>(INT(Table_Moldova[[#This Row],[Date]]) - DATE(1970, 1, 1)) * 86400000</f>
        <v>1726790400000</v>
      </c>
      <c r="G126" s="10">
        <f>'GMT Glossary'!$B$2</f>
        <v>6</v>
      </c>
      <c r="H126" s="2" t="str">
        <f t="shared" si="2"/>
        <v>2024-09-21</v>
      </c>
      <c r="I126" s="2" t="str">
        <f t="shared" si="3"/>
        <v>01:00</v>
      </c>
    </row>
    <row r="127" spans="1:9" x14ac:dyDescent="0.25">
      <c r="A127" s="12">
        <v>45555</v>
      </c>
      <c r="B127" s="15">
        <v>0.875</v>
      </c>
      <c r="C127" s="14" t="s">
        <v>26</v>
      </c>
      <c r="D127" s="19" t="s">
        <v>49</v>
      </c>
      <c r="E127" s="11" t="s">
        <v>22</v>
      </c>
      <c r="F127" s="8">
        <f>(INT(Table_Moldova[[#This Row],[Date]]) - DATE(1970, 1, 1)) * 86400000</f>
        <v>1726790400000</v>
      </c>
      <c r="G127" s="10">
        <f>'GMT Glossary'!$B$2</f>
        <v>6</v>
      </c>
      <c r="H127" s="2" t="str">
        <f t="shared" si="2"/>
        <v>2024-09-21</v>
      </c>
      <c r="I127" s="2" t="str">
        <f t="shared" si="3"/>
        <v>03:00</v>
      </c>
    </row>
    <row r="128" spans="1:9" x14ac:dyDescent="0.25">
      <c r="A128" s="12">
        <v>45555</v>
      </c>
      <c r="B128" s="15">
        <v>0.95833333333333337</v>
      </c>
      <c r="C128" s="14" t="s">
        <v>26</v>
      </c>
      <c r="D128" s="19" t="s">
        <v>43</v>
      </c>
      <c r="E128" s="11" t="s">
        <v>22</v>
      </c>
      <c r="F128" s="8">
        <f>(INT(Table_Moldova[[#This Row],[Date]]) - DATE(1970, 1, 1)) * 86400000</f>
        <v>1726790400000</v>
      </c>
      <c r="G128" s="10">
        <f>'GMT Glossary'!$B$2</f>
        <v>6</v>
      </c>
      <c r="H128" s="2" t="str">
        <f t="shared" si="2"/>
        <v>2024-09-21</v>
      </c>
      <c r="I128" s="2" t="str">
        <f t="shared" si="3"/>
        <v>05:00</v>
      </c>
    </row>
    <row r="129" spans="1:9" x14ac:dyDescent="0.25">
      <c r="A129" s="12">
        <v>45556</v>
      </c>
      <c r="B129" s="15">
        <v>4.1666666666666664E-2</v>
      </c>
      <c r="C129" s="14" t="s">
        <v>26</v>
      </c>
      <c r="D129" s="19" t="s">
        <v>42</v>
      </c>
      <c r="E129" s="11" t="s">
        <v>22</v>
      </c>
      <c r="F129" s="8">
        <f>(INT(Table_Moldova[[#This Row],[Date]]) - DATE(1970, 1, 1)) * 86400000</f>
        <v>1726876800000</v>
      </c>
      <c r="G129" s="10">
        <f>'GMT Glossary'!$B$2</f>
        <v>6</v>
      </c>
      <c r="H129" s="2" t="str">
        <f t="shared" si="2"/>
        <v>2024-09-21</v>
      </c>
      <c r="I129" s="2" t="str">
        <f t="shared" si="3"/>
        <v>07:00</v>
      </c>
    </row>
    <row r="130" spans="1:9" x14ac:dyDescent="0.25">
      <c r="A130" s="12">
        <v>45556</v>
      </c>
      <c r="B130" s="15">
        <v>0.125</v>
      </c>
      <c r="C130" s="14" t="s">
        <v>26</v>
      </c>
      <c r="D130" s="19" t="s">
        <v>102</v>
      </c>
      <c r="E130" s="11" t="s">
        <v>22</v>
      </c>
      <c r="F130" s="8">
        <f>(INT(Table_Moldova[[#This Row],[Date]]) - DATE(1970, 1, 1)) * 86400000</f>
        <v>1726876800000</v>
      </c>
      <c r="G130" s="10">
        <f>'GMT Glossary'!$B$2</f>
        <v>6</v>
      </c>
      <c r="H130" s="2" t="str">
        <f t="shared" ref="H130:H165" si="4">TEXT(IF(B130&lt;0, A130+1+((B130+(G130/24))-(INT(B130+(G130/24)))), A130+(B130+(G130/24))), "yyyy-mm-dd")</f>
        <v>2024-09-21</v>
      </c>
      <c r="I130" s="2" t="str">
        <f t="shared" ref="I130:I165" si="5">TEXT(IF(B130&lt;0, A130+1+((B130+(G130/24))-(INT(B130+(G130/24)))), A130+(B130+(G130/24))), "hh:mm")</f>
        <v>09:00</v>
      </c>
    </row>
    <row r="131" spans="1:9" x14ac:dyDescent="0.25">
      <c r="A131" s="12">
        <v>45556</v>
      </c>
      <c r="B131" s="15">
        <v>0.20833333333333334</v>
      </c>
      <c r="C131" s="14" t="s">
        <v>37</v>
      </c>
      <c r="D131" s="19" t="s">
        <v>46</v>
      </c>
      <c r="E131" s="11" t="s">
        <v>22</v>
      </c>
      <c r="F131" s="8">
        <f>(INT(Table_Moldova[[#This Row],[Date]]) - DATE(1970, 1, 1)) * 86400000</f>
        <v>1726876800000</v>
      </c>
      <c r="G131" s="10">
        <f>'GMT Glossary'!$B$2</f>
        <v>6</v>
      </c>
      <c r="H131" s="2" t="str">
        <f t="shared" si="4"/>
        <v>2024-09-21</v>
      </c>
      <c r="I131" s="2" t="str">
        <f t="shared" si="5"/>
        <v>11:00</v>
      </c>
    </row>
    <row r="132" spans="1:9" x14ac:dyDescent="0.25">
      <c r="A132" s="12">
        <v>45556</v>
      </c>
      <c r="B132" s="15">
        <v>0.29166666666666669</v>
      </c>
      <c r="C132" s="14" t="s">
        <v>36</v>
      </c>
      <c r="D132" s="19" t="s">
        <v>110</v>
      </c>
      <c r="E132" s="11" t="s">
        <v>22</v>
      </c>
      <c r="F132" s="8">
        <f>(INT(Table_Moldova[[#This Row],[Date]]) - DATE(1970, 1, 1)) * 86400000</f>
        <v>1726876800000</v>
      </c>
      <c r="G132" s="10">
        <f>'GMT Glossary'!$B$2</f>
        <v>6</v>
      </c>
      <c r="H132" s="2" t="str">
        <f t="shared" si="4"/>
        <v>2024-09-21</v>
      </c>
      <c r="I132" s="2" t="str">
        <f t="shared" si="5"/>
        <v>13:00</v>
      </c>
    </row>
    <row r="133" spans="1:9" x14ac:dyDescent="0.25">
      <c r="A133" s="12">
        <v>45556</v>
      </c>
      <c r="B133" s="15">
        <v>0.35416666666666669</v>
      </c>
      <c r="C133" s="14" t="s">
        <v>36</v>
      </c>
      <c r="D133" s="19" t="s">
        <v>111</v>
      </c>
      <c r="E133" s="11" t="s">
        <v>22</v>
      </c>
      <c r="F133" s="8">
        <f>(INT(Table_Moldova[[#This Row],[Date]]) - DATE(1970, 1, 1)) * 86400000</f>
        <v>1726876800000</v>
      </c>
      <c r="G133" s="10">
        <f>'GMT Glossary'!$B$2</f>
        <v>6</v>
      </c>
      <c r="H133" s="2" t="str">
        <f t="shared" si="4"/>
        <v>2024-09-21</v>
      </c>
      <c r="I133" s="2" t="str">
        <f t="shared" si="5"/>
        <v>14:30</v>
      </c>
    </row>
    <row r="134" spans="1:9" x14ac:dyDescent="0.25">
      <c r="A134" s="12">
        <v>45556</v>
      </c>
      <c r="B134" s="15">
        <v>0.45833333333333331</v>
      </c>
      <c r="C134" s="14" t="s">
        <v>26</v>
      </c>
      <c r="D134" s="19" t="s">
        <v>112</v>
      </c>
      <c r="E134" s="11" t="s">
        <v>22</v>
      </c>
      <c r="F134" s="8">
        <f>(INT(Table_Moldova[[#This Row],[Date]]) - DATE(1970, 1, 1)) * 86400000</f>
        <v>1726876800000</v>
      </c>
      <c r="G134" s="10">
        <f>'GMT Glossary'!$B$2</f>
        <v>6</v>
      </c>
      <c r="H134" s="2" t="str">
        <f t="shared" si="4"/>
        <v>2024-09-21</v>
      </c>
      <c r="I134" s="2" t="str">
        <f t="shared" si="5"/>
        <v>17:00</v>
      </c>
    </row>
    <row r="135" spans="1:9" x14ac:dyDescent="0.25">
      <c r="A135" s="12">
        <v>45556</v>
      </c>
      <c r="B135" s="15">
        <v>0.54166666666666663</v>
      </c>
      <c r="C135" s="14" t="s">
        <v>37</v>
      </c>
      <c r="D135" s="19" t="s">
        <v>113</v>
      </c>
      <c r="E135" s="11" t="s">
        <v>22</v>
      </c>
      <c r="F135" s="8">
        <f>(INT(Table_Moldova[[#This Row],[Date]]) - DATE(1970, 1, 1)) * 86400000</f>
        <v>1726876800000</v>
      </c>
      <c r="G135" s="10">
        <f>'GMT Glossary'!$B$2</f>
        <v>6</v>
      </c>
      <c r="H135" s="2" t="str">
        <f t="shared" si="4"/>
        <v>2024-09-21</v>
      </c>
      <c r="I135" s="2" t="str">
        <f t="shared" si="5"/>
        <v>19:00</v>
      </c>
    </row>
    <row r="136" spans="1:9" x14ac:dyDescent="0.25">
      <c r="A136" s="12">
        <v>45556</v>
      </c>
      <c r="B136" s="15">
        <v>0.58333333333333337</v>
      </c>
      <c r="C136" s="14" t="s">
        <v>26</v>
      </c>
      <c r="D136" s="19" t="s">
        <v>114</v>
      </c>
      <c r="E136" s="11" t="s">
        <v>22</v>
      </c>
      <c r="F136" s="8">
        <f>(INT(Table_Moldova[[#This Row],[Date]]) - DATE(1970, 1, 1)) * 86400000</f>
        <v>1726876800000</v>
      </c>
      <c r="G136" s="10">
        <f>'GMT Glossary'!$B$2</f>
        <v>6</v>
      </c>
      <c r="H136" s="2" t="str">
        <f t="shared" si="4"/>
        <v>2024-09-21</v>
      </c>
      <c r="I136" s="2" t="str">
        <f t="shared" si="5"/>
        <v>20:00</v>
      </c>
    </row>
    <row r="137" spans="1:9" x14ac:dyDescent="0.25">
      <c r="A137" s="12">
        <v>45556</v>
      </c>
      <c r="B137" s="15">
        <v>0.66666666666666663</v>
      </c>
      <c r="C137" s="14" t="s">
        <v>26</v>
      </c>
      <c r="D137" s="19" t="s">
        <v>115</v>
      </c>
      <c r="E137" s="11" t="s">
        <v>22</v>
      </c>
      <c r="F137" s="8">
        <f>(INT(Table_Moldova[[#This Row],[Date]]) - DATE(1970, 1, 1)) * 86400000</f>
        <v>1726876800000</v>
      </c>
      <c r="G137" s="10">
        <f>'GMT Glossary'!$B$2</f>
        <v>6</v>
      </c>
      <c r="H137" s="2" t="str">
        <f t="shared" si="4"/>
        <v>2024-09-21</v>
      </c>
      <c r="I137" s="2" t="str">
        <f t="shared" si="5"/>
        <v>22:00</v>
      </c>
    </row>
    <row r="138" spans="1:9" x14ac:dyDescent="0.25">
      <c r="A138" s="12">
        <v>45556</v>
      </c>
      <c r="B138" s="15">
        <v>0.79166666666666663</v>
      </c>
      <c r="C138" s="14" t="s">
        <v>26</v>
      </c>
      <c r="D138" s="19" t="s">
        <v>116</v>
      </c>
      <c r="E138" s="11" t="s">
        <v>22</v>
      </c>
      <c r="F138" s="8">
        <f>(INT(Table_Moldova[[#This Row],[Date]]) - DATE(1970, 1, 1)) * 86400000</f>
        <v>1726876800000</v>
      </c>
      <c r="G138" s="10">
        <f>'GMT Glossary'!$B$2</f>
        <v>6</v>
      </c>
      <c r="H138" s="2" t="str">
        <f t="shared" si="4"/>
        <v>2024-09-22</v>
      </c>
      <c r="I138" s="2" t="str">
        <f t="shared" si="5"/>
        <v>01:00</v>
      </c>
    </row>
    <row r="139" spans="1:9" x14ac:dyDescent="0.25">
      <c r="A139" s="12">
        <v>45556</v>
      </c>
      <c r="B139" s="15">
        <v>0.875</v>
      </c>
      <c r="C139" s="14" t="s">
        <v>26</v>
      </c>
      <c r="D139" s="19" t="s">
        <v>117</v>
      </c>
      <c r="E139" s="11" t="s">
        <v>22</v>
      </c>
      <c r="F139" s="8">
        <f>(INT(Table_Moldova[[#This Row],[Date]]) - DATE(1970, 1, 1)) * 86400000</f>
        <v>1726876800000</v>
      </c>
      <c r="G139" s="10">
        <f>'GMT Glossary'!$B$2</f>
        <v>6</v>
      </c>
      <c r="H139" s="2" t="str">
        <f t="shared" si="4"/>
        <v>2024-09-22</v>
      </c>
      <c r="I139" s="2" t="str">
        <f t="shared" si="5"/>
        <v>03:00</v>
      </c>
    </row>
    <row r="140" spans="1:9" x14ac:dyDescent="0.25">
      <c r="A140" s="12">
        <v>45556</v>
      </c>
      <c r="B140" s="15">
        <v>0.95833333333333337</v>
      </c>
      <c r="C140" s="14" t="s">
        <v>26</v>
      </c>
      <c r="D140" s="19" t="s">
        <v>49</v>
      </c>
      <c r="E140" s="11" t="s">
        <v>22</v>
      </c>
      <c r="F140" s="8">
        <f>(INT(Table_Moldova[[#This Row],[Date]]) - DATE(1970, 1, 1)) * 86400000</f>
        <v>1726876800000</v>
      </c>
      <c r="G140" s="10">
        <f>'GMT Glossary'!$B$2</f>
        <v>6</v>
      </c>
      <c r="H140" s="2" t="str">
        <f t="shared" si="4"/>
        <v>2024-09-22</v>
      </c>
      <c r="I140" s="2" t="str">
        <f t="shared" si="5"/>
        <v>05:00</v>
      </c>
    </row>
    <row r="141" spans="1:9" x14ac:dyDescent="0.25">
      <c r="A141" s="12">
        <v>45557</v>
      </c>
      <c r="B141" s="15">
        <v>4.1666666666666664E-2</v>
      </c>
      <c r="C141" s="14" t="s">
        <v>26</v>
      </c>
      <c r="D141" s="19" t="s">
        <v>112</v>
      </c>
      <c r="E141" s="11" t="s">
        <v>22</v>
      </c>
      <c r="F141" s="8">
        <f>(INT(Table_Moldova[[#This Row],[Date]]) - DATE(1970, 1, 1)) * 86400000</f>
        <v>1726963200000</v>
      </c>
      <c r="G141" s="10">
        <f>'GMT Glossary'!$B$2</f>
        <v>6</v>
      </c>
      <c r="H141" s="2" t="str">
        <f t="shared" si="4"/>
        <v>2024-09-22</v>
      </c>
      <c r="I141" s="2" t="str">
        <f t="shared" si="5"/>
        <v>07:00</v>
      </c>
    </row>
    <row r="142" spans="1:9" x14ac:dyDescent="0.25">
      <c r="A142" s="12">
        <v>45557</v>
      </c>
      <c r="B142" s="15">
        <v>0.125</v>
      </c>
      <c r="C142" s="14" t="s">
        <v>26</v>
      </c>
      <c r="D142" s="19" t="s">
        <v>117</v>
      </c>
      <c r="E142" s="11" t="s">
        <v>22</v>
      </c>
      <c r="F142" s="8">
        <f>(INT(Table_Moldova[[#This Row],[Date]]) - DATE(1970, 1, 1)) * 86400000</f>
        <v>1726963200000</v>
      </c>
      <c r="G142" s="10">
        <f>'GMT Glossary'!$B$2</f>
        <v>6</v>
      </c>
      <c r="H142" s="2" t="str">
        <f t="shared" si="4"/>
        <v>2024-09-22</v>
      </c>
      <c r="I142" s="2" t="str">
        <f t="shared" si="5"/>
        <v>09:00</v>
      </c>
    </row>
    <row r="143" spans="1:9" x14ac:dyDescent="0.25">
      <c r="A143" s="12">
        <v>45557</v>
      </c>
      <c r="B143" s="15">
        <v>0.20833333333333334</v>
      </c>
      <c r="C143" s="14" t="s">
        <v>37</v>
      </c>
      <c r="D143" s="19" t="s">
        <v>41</v>
      </c>
      <c r="E143" s="11" t="s">
        <v>22</v>
      </c>
      <c r="F143" s="8">
        <f>(INT(Table_Moldova[[#This Row],[Date]]) - DATE(1970, 1, 1)) * 86400000</f>
        <v>1726963200000</v>
      </c>
      <c r="G143" s="10">
        <f>'GMT Glossary'!$B$2</f>
        <v>6</v>
      </c>
      <c r="H143" s="2" t="str">
        <f t="shared" si="4"/>
        <v>2024-09-22</v>
      </c>
      <c r="I143" s="2" t="str">
        <f t="shared" si="5"/>
        <v>11:00</v>
      </c>
    </row>
    <row r="144" spans="1:9" x14ac:dyDescent="0.25">
      <c r="A144" s="12">
        <v>45557</v>
      </c>
      <c r="B144" s="15">
        <v>0.29166666666666669</v>
      </c>
      <c r="C144" s="14" t="s">
        <v>36</v>
      </c>
      <c r="D144" s="19" t="s">
        <v>118</v>
      </c>
      <c r="E144" s="11" t="s">
        <v>22</v>
      </c>
      <c r="F144" s="8">
        <f>(INT(Table_Moldova[[#This Row],[Date]]) - DATE(1970, 1, 1)) * 86400000</f>
        <v>1726963200000</v>
      </c>
      <c r="G144" s="10">
        <f>'GMT Glossary'!$B$2</f>
        <v>6</v>
      </c>
      <c r="H144" s="2" t="str">
        <f t="shared" si="4"/>
        <v>2024-09-22</v>
      </c>
      <c r="I144" s="2" t="str">
        <f t="shared" si="5"/>
        <v>13:00</v>
      </c>
    </row>
    <row r="145" spans="1:9" x14ac:dyDescent="0.25">
      <c r="A145" s="12">
        <v>45557</v>
      </c>
      <c r="B145" s="15">
        <v>0.375</v>
      </c>
      <c r="C145" s="14" t="s">
        <v>26</v>
      </c>
      <c r="D145" s="19" t="s">
        <v>119</v>
      </c>
      <c r="E145" s="11" t="s">
        <v>22</v>
      </c>
      <c r="F145" s="8">
        <f>(INT(Table_Moldova[[#This Row],[Date]]) - DATE(1970, 1, 1)) * 86400000</f>
        <v>1726963200000</v>
      </c>
      <c r="G145" s="10">
        <f>'GMT Glossary'!$B$2</f>
        <v>6</v>
      </c>
      <c r="H145" s="2" t="str">
        <f t="shared" si="4"/>
        <v>2024-09-22</v>
      </c>
      <c r="I145" s="2" t="str">
        <f t="shared" si="5"/>
        <v>15:00</v>
      </c>
    </row>
    <row r="146" spans="1:9" x14ac:dyDescent="0.25">
      <c r="A146" s="12">
        <v>45557</v>
      </c>
      <c r="B146" s="15">
        <v>0.5</v>
      </c>
      <c r="C146" s="14" t="s">
        <v>37</v>
      </c>
      <c r="D146" s="19" t="s">
        <v>120</v>
      </c>
      <c r="E146" s="11" t="s">
        <v>22</v>
      </c>
      <c r="F146" s="8">
        <f>(INT(Table_Moldova[[#This Row],[Date]]) - DATE(1970, 1, 1)) * 86400000</f>
        <v>1726963200000</v>
      </c>
      <c r="G146" s="10">
        <f>'GMT Glossary'!$B$2</f>
        <v>6</v>
      </c>
      <c r="H146" s="2" t="str">
        <f t="shared" si="4"/>
        <v>2024-09-22</v>
      </c>
      <c r="I146" s="2" t="str">
        <f t="shared" si="5"/>
        <v>18:00</v>
      </c>
    </row>
    <row r="147" spans="1:9" x14ac:dyDescent="0.25">
      <c r="A147" s="12">
        <v>45557</v>
      </c>
      <c r="B147" s="15">
        <v>0.59375</v>
      </c>
      <c r="C147" s="14" t="s">
        <v>26</v>
      </c>
      <c r="D147" s="19" t="s">
        <v>121</v>
      </c>
      <c r="E147" s="11" t="s">
        <v>22</v>
      </c>
      <c r="F147" s="8">
        <f>(INT(Table_Moldova[[#This Row],[Date]]) - DATE(1970, 1, 1)) * 86400000</f>
        <v>1726963200000</v>
      </c>
      <c r="G147" s="10">
        <f>'GMT Glossary'!$B$2</f>
        <v>6</v>
      </c>
      <c r="H147" s="2" t="str">
        <f t="shared" si="4"/>
        <v>2024-09-22</v>
      </c>
      <c r="I147" s="2" t="str">
        <f t="shared" si="5"/>
        <v>20:15</v>
      </c>
    </row>
    <row r="148" spans="1:9" x14ac:dyDescent="0.25">
      <c r="A148" s="12">
        <v>45557</v>
      </c>
      <c r="B148" s="15">
        <v>0.6875</v>
      </c>
      <c r="C148" s="14" t="s">
        <v>26</v>
      </c>
      <c r="D148" s="19" t="s">
        <v>122</v>
      </c>
      <c r="E148" s="11" t="s">
        <v>22</v>
      </c>
      <c r="F148" s="8">
        <f>(INT(Table_Moldova[[#This Row],[Date]]) - DATE(1970, 1, 1)) * 86400000</f>
        <v>1726963200000</v>
      </c>
      <c r="G148" s="10">
        <f>'GMT Glossary'!$B$2</f>
        <v>6</v>
      </c>
      <c r="H148" s="2" t="str">
        <f t="shared" si="4"/>
        <v>2024-09-22</v>
      </c>
      <c r="I148" s="2" t="str">
        <f t="shared" si="5"/>
        <v>22:30</v>
      </c>
    </row>
    <row r="149" spans="1:9" x14ac:dyDescent="0.25">
      <c r="A149" s="12">
        <v>45557</v>
      </c>
      <c r="B149" s="15">
        <v>0.78125</v>
      </c>
      <c r="C149" s="14" t="s">
        <v>26</v>
      </c>
      <c r="D149" s="19" t="s">
        <v>123</v>
      </c>
      <c r="E149" s="11" t="s">
        <v>22</v>
      </c>
      <c r="F149" s="8">
        <f>(INT(Table_Moldova[[#This Row],[Date]]) - DATE(1970, 1, 1)) * 86400000</f>
        <v>1726963200000</v>
      </c>
      <c r="G149" s="10">
        <f>'GMT Glossary'!$B$2</f>
        <v>6</v>
      </c>
      <c r="H149" s="2" t="str">
        <f t="shared" si="4"/>
        <v>2024-09-23</v>
      </c>
      <c r="I149" s="2" t="str">
        <f t="shared" si="5"/>
        <v>00:45</v>
      </c>
    </row>
    <row r="150" spans="1:9" x14ac:dyDescent="0.25">
      <c r="A150" s="12">
        <v>45557</v>
      </c>
      <c r="B150" s="15">
        <v>0.875</v>
      </c>
      <c r="C150" s="14" t="s">
        <v>26</v>
      </c>
      <c r="D150" s="19" t="s">
        <v>119</v>
      </c>
      <c r="E150" s="11" t="s">
        <v>22</v>
      </c>
      <c r="F150" s="8">
        <f>(INT(Table_Moldova[[#This Row],[Date]]) - DATE(1970, 1, 1)) * 86400000</f>
        <v>1726963200000</v>
      </c>
      <c r="G150" s="10">
        <f>'GMT Glossary'!$B$2</f>
        <v>6</v>
      </c>
      <c r="H150" s="2" t="str">
        <f t="shared" si="4"/>
        <v>2024-09-23</v>
      </c>
      <c r="I150" s="2" t="str">
        <f t="shared" si="5"/>
        <v>03:00</v>
      </c>
    </row>
    <row r="151" spans="1:9" x14ac:dyDescent="0.25">
      <c r="A151" s="12">
        <v>45557</v>
      </c>
      <c r="B151" s="15">
        <v>0.97916666666666663</v>
      </c>
      <c r="C151" s="14" t="s">
        <v>36</v>
      </c>
      <c r="D151" s="19" t="s">
        <v>47</v>
      </c>
      <c r="E151" s="11" t="s">
        <v>22</v>
      </c>
      <c r="F151" s="8">
        <f>(INT(Table_Moldova[[#This Row],[Date]]) - DATE(1970, 1, 1)) * 86400000</f>
        <v>1726963200000</v>
      </c>
      <c r="G151" s="10">
        <f>'GMT Glossary'!$B$2</f>
        <v>6</v>
      </c>
      <c r="H151" s="2" t="str">
        <f t="shared" si="4"/>
        <v>2024-09-23</v>
      </c>
      <c r="I151" s="2" t="str">
        <f t="shared" si="5"/>
        <v>05:30</v>
      </c>
    </row>
    <row r="152" spans="1:9" x14ac:dyDescent="0.25">
      <c r="A152" s="12">
        <v>45558</v>
      </c>
      <c r="B152" s="15">
        <v>8.3333333333333329E-2</v>
      </c>
      <c r="C152" s="14" t="s">
        <v>18</v>
      </c>
      <c r="D152" s="19" t="s">
        <v>124</v>
      </c>
      <c r="E152" s="11" t="s">
        <v>22</v>
      </c>
      <c r="F152" s="8">
        <f>(INT(Table_Moldova[[#This Row],[Date]]) - DATE(1970, 1, 1)) * 86400000</f>
        <v>1727049600000</v>
      </c>
      <c r="G152" s="10">
        <f>'GMT Glossary'!$B$2</f>
        <v>6</v>
      </c>
      <c r="H152" s="2" t="str">
        <f t="shared" si="4"/>
        <v>2024-09-23</v>
      </c>
      <c r="I152" s="2" t="str">
        <f t="shared" si="5"/>
        <v>08:00</v>
      </c>
    </row>
    <row r="153" spans="1:9" x14ac:dyDescent="0.25">
      <c r="A153" s="12">
        <v>45558</v>
      </c>
      <c r="B153" s="15">
        <v>0.20833333333333334</v>
      </c>
      <c r="C153" s="14" t="s">
        <v>26</v>
      </c>
      <c r="D153" s="19" t="s">
        <v>125</v>
      </c>
      <c r="E153" s="11" t="s">
        <v>22</v>
      </c>
      <c r="F153" s="8">
        <f>(INT(Table_Moldova[[#This Row],[Date]]) - DATE(1970, 1, 1)) * 86400000</f>
        <v>1727049600000</v>
      </c>
      <c r="G153" s="10">
        <f>'GMT Glossary'!$B$2</f>
        <v>6</v>
      </c>
      <c r="H153" s="2" t="str">
        <f t="shared" si="4"/>
        <v>2024-09-23</v>
      </c>
      <c r="I153" s="2" t="str">
        <f t="shared" si="5"/>
        <v>11:00</v>
      </c>
    </row>
    <row r="154" spans="1:9" x14ac:dyDescent="0.25">
      <c r="A154" s="12">
        <v>45558</v>
      </c>
      <c r="B154" s="15">
        <v>0.29166666666666669</v>
      </c>
      <c r="C154" s="14" t="s">
        <v>26</v>
      </c>
      <c r="D154" s="19" t="s">
        <v>126</v>
      </c>
      <c r="E154" s="11" t="s">
        <v>22</v>
      </c>
      <c r="F154" s="8">
        <f>(INT(Table_Moldova[[#This Row],[Date]]) - DATE(1970, 1, 1)) * 86400000</f>
        <v>1727049600000</v>
      </c>
      <c r="G154" s="10">
        <f>'GMT Glossary'!$B$2</f>
        <v>6</v>
      </c>
      <c r="H154" s="2" t="str">
        <f t="shared" si="4"/>
        <v>2024-09-23</v>
      </c>
      <c r="I154" s="2" t="str">
        <f t="shared" si="5"/>
        <v>13:00</v>
      </c>
    </row>
    <row r="155" spans="1:9" x14ac:dyDescent="0.25">
      <c r="A155" s="12">
        <v>45558</v>
      </c>
      <c r="B155" s="15">
        <v>0.375</v>
      </c>
      <c r="C155" s="14" t="s">
        <v>26</v>
      </c>
      <c r="D155" s="19" t="s">
        <v>127</v>
      </c>
      <c r="E155" s="11" t="s">
        <v>22</v>
      </c>
      <c r="F155" s="8">
        <f>(INT(Table_Moldova[[#This Row],[Date]]) - DATE(1970, 1, 1)) * 86400000</f>
        <v>1727049600000</v>
      </c>
      <c r="G155" s="10">
        <f>'GMT Glossary'!$B$2</f>
        <v>6</v>
      </c>
      <c r="H155" s="2" t="str">
        <f t="shared" si="4"/>
        <v>2024-09-23</v>
      </c>
      <c r="I155" s="2" t="str">
        <f t="shared" si="5"/>
        <v>15:00</v>
      </c>
    </row>
    <row r="156" spans="1:9" x14ac:dyDescent="0.25">
      <c r="A156" s="12">
        <v>45558</v>
      </c>
      <c r="B156" s="15">
        <v>0.45833333333333331</v>
      </c>
      <c r="C156" s="14" t="s">
        <v>37</v>
      </c>
      <c r="D156" s="19" t="s">
        <v>46</v>
      </c>
      <c r="E156" s="11" t="s">
        <v>22</v>
      </c>
      <c r="F156" s="8">
        <f>(INT(Table_Moldova[[#This Row],[Date]]) - DATE(1970, 1, 1)) * 86400000</f>
        <v>1727049600000</v>
      </c>
      <c r="G156" s="10">
        <f>'GMT Glossary'!$B$2</f>
        <v>6</v>
      </c>
      <c r="H156" s="2" t="str">
        <f t="shared" si="4"/>
        <v>2024-09-23</v>
      </c>
      <c r="I156" s="2" t="str">
        <f t="shared" si="5"/>
        <v>17:00</v>
      </c>
    </row>
    <row r="157" spans="1:9" x14ac:dyDescent="0.25">
      <c r="A157" s="12">
        <v>45558</v>
      </c>
      <c r="B157" s="15">
        <v>0.54166666666666663</v>
      </c>
      <c r="C157" s="14" t="s">
        <v>36</v>
      </c>
      <c r="D157" s="19" t="s">
        <v>47</v>
      </c>
      <c r="E157" s="11" t="s">
        <v>22</v>
      </c>
      <c r="F157" s="8">
        <f>(INT(Table_Moldova[[#This Row],[Date]]) - DATE(1970, 1, 1)) * 86400000</f>
        <v>1727049600000</v>
      </c>
      <c r="G157" s="10">
        <f>'GMT Glossary'!$B$2</f>
        <v>6</v>
      </c>
      <c r="H157" s="2" t="str">
        <f t="shared" si="4"/>
        <v>2024-09-23</v>
      </c>
      <c r="I157" s="2" t="str">
        <f t="shared" si="5"/>
        <v>19:00</v>
      </c>
    </row>
    <row r="158" spans="1:9" x14ac:dyDescent="0.25">
      <c r="A158" s="12">
        <v>45558</v>
      </c>
      <c r="B158" s="15">
        <v>0.625</v>
      </c>
      <c r="C158" s="14" t="s">
        <v>26</v>
      </c>
      <c r="D158" s="19" t="s">
        <v>128</v>
      </c>
      <c r="E158" s="11" t="s">
        <v>22</v>
      </c>
      <c r="F158" s="8">
        <f>(INT(Table_Moldova[[#This Row],[Date]]) - DATE(1970, 1, 1)) * 86400000</f>
        <v>1727049600000</v>
      </c>
      <c r="G158" s="10">
        <f>'GMT Glossary'!$B$2</f>
        <v>6</v>
      </c>
      <c r="H158" s="2" t="str">
        <f t="shared" si="4"/>
        <v>2024-09-23</v>
      </c>
      <c r="I158" s="2" t="str">
        <f t="shared" si="5"/>
        <v>21:00</v>
      </c>
    </row>
    <row r="159" spans="1:9" x14ac:dyDescent="0.25">
      <c r="A159" s="12">
        <v>45558</v>
      </c>
      <c r="B159" s="15">
        <v>0.70833333333333337</v>
      </c>
      <c r="C159" s="14" t="s">
        <v>26</v>
      </c>
      <c r="D159" s="19" t="s">
        <v>129</v>
      </c>
      <c r="E159" s="11" t="s">
        <v>22</v>
      </c>
      <c r="F159" s="8">
        <f>(INT(Table_Moldova[[#This Row],[Date]]) - DATE(1970, 1, 1)) * 86400000</f>
        <v>1727049600000</v>
      </c>
      <c r="G159" s="10">
        <f>'GMT Glossary'!$B$2</f>
        <v>6</v>
      </c>
      <c r="H159" s="2" t="str">
        <f t="shared" si="4"/>
        <v>2024-09-23</v>
      </c>
      <c r="I159" s="2" t="str">
        <f t="shared" si="5"/>
        <v>23:00</v>
      </c>
    </row>
    <row r="160" spans="1:9" x14ac:dyDescent="0.25">
      <c r="A160" s="12">
        <v>45558</v>
      </c>
      <c r="B160" s="15">
        <v>0.79166666666666663</v>
      </c>
      <c r="C160" s="14" t="s">
        <v>26</v>
      </c>
      <c r="D160" s="19" t="s">
        <v>119</v>
      </c>
      <c r="E160" s="11" t="s">
        <v>22</v>
      </c>
      <c r="F160" s="8">
        <f>(INT(Table_Moldova[[#This Row],[Date]]) - DATE(1970, 1, 1)) * 86400000</f>
        <v>1727049600000</v>
      </c>
      <c r="G160" s="10">
        <f>'GMT Glossary'!$B$2</f>
        <v>6</v>
      </c>
      <c r="H160" s="2" t="str">
        <f t="shared" si="4"/>
        <v>2024-09-24</v>
      </c>
      <c r="I160" s="2" t="str">
        <f t="shared" si="5"/>
        <v>01:00</v>
      </c>
    </row>
    <row r="161" spans="1:9" x14ac:dyDescent="0.25">
      <c r="A161" s="12">
        <v>45558</v>
      </c>
      <c r="B161" s="15">
        <v>0.875</v>
      </c>
      <c r="C161" s="14" t="s">
        <v>26</v>
      </c>
      <c r="D161" s="19" t="s">
        <v>112</v>
      </c>
      <c r="E161" s="11" t="s">
        <v>22</v>
      </c>
      <c r="F161" s="8">
        <f>(INT(Table_Moldova[[#This Row],[Date]]) - DATE(1970, 1, 1)) * 86400000</f>
        <v>1727049600000</v>
      </c>
      <c r="G161" s="10">
        <f>'GMT Glossary'!$B$2</f>
        <v>6</v>
      </c>
      <c r="H161" s="2" t="str">
        <f t="shared" si="4"/>
        <v>2024-09-24</v>
      </c>
      <c r="I161" s="2" t="str">
        <f t="shared" si="5"/>
        <v>03:00</v>
      </c>
    </row>
    <row r="162" spans="1:9" x14ac:dyDescent="0.25">
      <c r="A162" s="12">
        <v>45558</v>
      </c>
      <c r="B162" s="15">
        <v>0.95833333333333337</v>
      </c>
      <c r="C162" s="14" t="s">
        <v>18</v>
      </c>
      <c r="D162" s="19" t="s">
        <v>124</v>
      </c>
      <c r="E162" s="11" t="s">
        <v>22</v>
      </c>
      <c r="F162" s="8">
        <f>(INT(Table_Moldova[[#This Row],[Date]]) - DATE(1970, 1, 1)) * 86400000</f>
        <v>1727049600000</v>
      </c>
      <c r="G162" s="10">
        <f>'GMT Glossary'!$B$2</f>
        <v>6</v>
      </c>
      <c r="H162" s="2" t="str">
        <f t="shared" si="4"/>
        <v>2024-09-24</v>
      </c>
      <c r="I162" s="2" t="str">
        <f t="shared" si="5"/>
        <v>05:00</v>
      </c>
    </row>
    <row r="163" spans="1:9" x14ac:dyDescent="0.25">
      <c r="A163" s="12">
        <v>45559</v>
      </c>
      <c r="B163" s="15">
        <v>8.3333333333333329E-2</v>
      </c>
      <c r="C163" s="14" t="s">
        <v>37</v>
      </c>
      <c r="D163" s="19" t="s">
        <v>46</v>
      </c>
      <c r="E163" s="11" t="s">
        <v>22</v>
      </c>
      <c r="F163" s="8">
        <f>(INT(Table_Moldova[[#This Row],[Date]]) - DATE(1970, 1, 1)) * 86400000</f>
        <v>1727136000000</v>
      </c>
      <c r="G163" s="10">
        <f>'GMT Glossary'!$B$2</f>
        <v>6</v>
      </c>
      <c r="H163" s="2" t="str">
        <f t="shared" si="4"/>
        <v>2024-09-24</v>
      </c>
      <c r="I163" s="2" t="str">
        <f t="shared" si="5"/>
        <v>08:00</v>
      </c>
    </row>
    <row r="164" spans="1:9" x14ac:dyDescent="0.25">
      <c r="A164" s="12">
        <v>45559</v>
      </c>
      <c r="B164" s="15">
        <v>0.20833333333333334</v>
      </c>
      <c r="C164" s="14" t="s">
        <v>36</v>
      </c>
      <c r="D164" s="19" t="s">
        <v>47</v>
      </c>
      <c r="E164" s="11" t="s">
        <v>22</v>
      </c>
      <c r="F164" s="8">
        <f>(INT(Table_Moldova[[#This Row],[Date]]) - DATE(1970, 1, 1)) * 86400000</f>
        <v>1727136000000</v>
      </c>
      <c r="G164" s="10">
        <f>'GMT Glossary'!$B$2</f>
        <v>6</v>
      </c>
      <c r="H164" s="2" t="str">
        <f t="shared" si="4"/>
        <v>2024-09-24</v>
      </c>
      <c r="I164" s="2" t="str">
        <f t="shared" si="5"/>
        <v>11:00</v>
      </c>
    </row>
    <row r="165" spans="1:9" x14ac:dyDescent="0.25">
      <c r="A165" s="12">
        <v>45559</v>
      </c>
      <c r="B165" s="15">
        <v>0.29166666666666669</v>
      </c>
      <c r="C165" s="14" t="s">
        <v>26</v>
      </c>
      <c r="D165" s="19" t="s">
        <v>127</v>
      </c>
      <c r="E165" s="11" t="s">
        <v>22</v>
      </c>
      <c r="F165" s="8">
        <f>(INT(Table_Moldova[[#This Row],[Date]]) - DATE(1970, 1, 1)) * 86400000</f>
        <v>1727136000000</v>
      </c>
      <c r="G165" s="10">
        <f>'GMT Glossary'!$B$2</f>
        <v>6</v>
      </c>
      <c r="H165" s="2" t="str">
        <f t="shared" si="4"/>
        <v>2024-09-24</v>
      </c>
      <c r="I165" s="2" t="str">
        <f t="shared" si="5"/>
        <v>13:00</v>
      </c>
    </row>
    <row r="166" spans="1:9" x14ac:dyDescent="0.25">
      <c r="A166" s="12">
        <v>45552</v>
      </c>
      <c r="B166" s="15">
        <v>0.375</v>
      </c>
      <c r="C166" s="14" t="s">
        <v>50</v>
      </c>
      <c r="D166" s="13" t="s">
        <v>130</v>
      </c>
      <c r="E166" s="11" t="s">
        <v>23</v>
      </c>
      <c r="F166" s="8">
        <f>(INT(Table_Moldova[[#This Row],[Date]]) - DATE(1970, 1, 1)) * 86400000</f>
        <v>1726531200000</v>
      </c>
      <c r="G166" s="10">
        <f>'GMT Glossary'!$B$2</f>
        <v>6</v>
      </c>
      <c r="H166" s="2" t="str">
        <f t="shared" ref="H166:H197" si="6">TEXT(IF(B166&lt;0, A166+1+((B166+(G166/24))-(INT(B166+(G166/24)))), A166+(B166+(G166/24))), "yyyy-mm-dd")</f>
        <v>2024-09-17</v>
      </c>
      <c r="I166" s="2" t="str">
        <f t="shared" ref="I166:I197" si="7">TEXT(IF(B166&lt;0, A166+1+((B166+(G166/24))-(INT(B166+(G166/24)))), A166+(B166+(G166/24))), "hh:mm")</f>
        <v>15:00</v>
      </c>
    </row>
    <row r="167" spans="1:9" x14ac:dyDescent="0.25">
      <c r="A167" s="12">
        <v>45552</v>
      </c>
      <c r="B167" s="15">
        <v>0.39583333333333337</v>
      </c>
      <c r="C167" s="14" t="s">
        <v>50</v>
      </c>
      <c r="D167" s="13" t="s">
        <v>131</v>
      </c>
      <c r="E167" s="11" t="s">
        <v>23</v>
      </c>
      <c r="F167" s="8">
        <f>(INT(Table_Moldova[[#This Row],[Date]]) - DATE(1970, 1, 1)) * 86400000</f>
        <v>1726531200000</v>
      </c>
      <c r="G167" s="10">
        <f>'GMT Glossary'!$B$2</f>
        <v>6</v>
      </c>
      <c r="H167" s="2" t="str">
        <f t="shared" si="6"/>
        <v>2024-09-17</v>
      </c>
      <c r="I167" s="2" t="str">
        <f t="shared" si="7"/>
        <v>15:30</v>
      </c>
    </row>
    <row r="168" spans="1:9" x14ac:dyDescent="0.25">
      <c r="A168" s="12">
        <v>45552</v>
      </c>
      <c r="B168" s="15">
        <v>0.41666666666666674</v>
      </c>
      <c r="C168" s="14" t="s">
        <v>26</v>
      </c>
      <c r="D168" s="13" t="s">
        <v>132</v>
      </c>
      <c r="E168" s="11" t="s">
        <v>23</v>
      </c>
      <c r="F168" s="8">
        <f>(INT(Table_Moldova[[#This Row],[Date]]) - DATE(1970, 1, 1)) * 86400000</f>
        <v>1726531200000</v>
      </c>
      <c r="G168" s="10">
        <f>'GMT Glossary'!$B$2</f>
        <v>6</v>
      </c>
      <c r="H168" s="2" t="str">
        <f t="shared" si="6"/>
        <v>2024-09-17</v>
      </c>
      <c r="I168" s="2" t="str">
        <f t="shared" si="7"/>
        <v>16:00</v>
      </c>
    </row>
    <row r="169" spans="1:9" x14ac:dyDescent="0.25">
      <c r="A169" s="12">
        <v>45552</v>
      </c>
      <c r="B169" s="15">
        <v>0.5</v>
      </c>
      <c r="C169" s="14" t="s">
        <v>26</v>
      </c>
      <c r="D169" s="13" t="s">
        <v>133</v>
      </c>
      <c r="E169" s="11" t="s">
        <v>23</v>
      </c>
      <c r="F169" s="8">
        <f>(INT(Table_Moldova[[#This Row],[Date]]) - DATE(1970, 1, 1)) * 86400000</f>
        <v>1726531200000</v>
      </c>
      <c r="G169" s="10">
        <f>'GMT Glossary'!$B$2</f>
        <v>6</v>
      </c>
      <c r="H169" s="2" t="str">
        <f t="shared" si="6"/>
        <v>2024-09-17</v>
      </c>
      <c r="I169" s="2" t="str">
        <f t="shared" si="7"/>
        <v>18:00</v>
      </c>
    </row>
    <row r="170" spans="1:9" x14ac:dyDescent="0.25">
      <c r="A170" s="12">
        <v>45552</v>
      </c>
      <c r="B170" s="15">
        <v>0.58333333333333337</v>
      </c>
      <c r="C170" s="14" t="s">
        <v>26</v>
      </c>
      <c r="D170" s="13" t="s">
        <v>32</v>
      </c>
      <c r="E170" s="11" t="s">
        <v>23</v>
      </c>
      <c r="F170" s="8">
        <f>(INT(Table_Moldova[[#This Row],[Date]]) - DATE(1970, 1, 1)) * 86400000</f>
        <v>1726531200000</v>
      </c>
      <c r="G170" s="10">
        <f>'GMT Glossary'!$B$2</f>
        <v>6</v>
      </c>
      <c r="H170" s="2" t="str">
        <f t="shared" si="6"/>
        <v>2024-09-17</v>
      </c>
      <c r="I170" s="2" t="str">
        <f t="shared" si="7"/>
        <v>20:00</v>
      </c>
    </row>
    <row r="171" spans="1:9" x14ac:dyDescent="0.25">
      <c r="A171" s="12">
        <v>45552</v>
      </c>
      <c r="B171" s="15">
        <v>0.69791666666666663</v>
      </c>
      <c r="C171" s="14" t="s">
        <v>26</v>
      </c>
      <c r="D171" s="13" t="s">
        <v>134</v>
      </c>
      <c r="E171" s="11" t="s">
        <v>23</v>
      </c>
      <c r="F171" s="8">
        <f>(INT(Table_Moldova[[#This Row],[Date]]) - DATE(1970, 1, 1)) * 86400000</f>
        <v>1726531200000</v>
      </c>
      <c r="G171" s="10">
        <f>'GMT Glossary'!$B$2</f>
        <v>6</v>
      </c>
      <c r="H171" s="2" t="str">
        <f t="shared" si="6"/>
        <v>2024-09-17</v>
      </c>
      <c r="I171" s="2" t="str">
        <f t="shared" si="7"/>
        <v>22:45</v>
      </c>
    </row>
    <row r="172" spans="1:9" x14ac:dyDescent="0.25">
      <c r="A172" s="12">
        <v>45552</v>
      </c>
      <c r="B172" s="15">
        <v>0.79166666666666663</v>
      </c>
      <c r="C172" s="14" t="s">
        <v>26</v>
      </c>
      <c r="D172" s="13" t="s">
        <v>135</v>
      </c>
      <c r="E172" s="11" t="s">
        <v>23</v>
      </c>
      <c r="F172" s="8">
        <f>(INT(Table_Moldova[[#This Row],[Date]]) - DATE(1970, 1, 1)) * 86400000</f>
        <v>1726531200000</v>
      </c>
      <c r="G172" s="10">
        <f>'GMT Glossary'!$B$2</f>
        <v>6</v>
      </c>
      <c r="H172" s="2" t="str">
        <f t="shared" si="6"/>
        <v>2024-09-18</v>
      </c>
      <c r="I172" s="2" t="str">
        <f t="shared" si="7"/>
        <v>01:00</v>
      </c>
    </row>
    <row r="173" spans="1:9" x14ac:dyDescent="0.25">
      <c r="A173" s="12">
        <v>45552</v>
      </c>
      <c r="B173" s="15">
        <v>0.875</v>
      </c>
      <c r="C173" s="14" t="s">
        <v>36</v>
      </c>
      <c r="D173" s="13" t="s">
        <v>47</v>
      </c>
      <c r="E173" s="11" t="s">
        <v>23</v>
      </c>
      <c r="F173" s="8">
        <f>(INT(Table_Moldova[[#This Row],[Date]]) - DATE(1970, 1, 1)) * 86400000</f>
        <v>1726531200000</v>
      </c>
      <c r="G173" s="10">
        <f>'GMT Glossary'!$B$2</f>
        <v>6</v>
      </c>
      <c r="H173" s="2" t="str">
        <f t="shared" si="6"/>
        <v>2024-09-18</v>
      </c>
      <c r="I173" s="2" t="str">
        <f t="shared" si="7"/>
        <v>03:00</v>
      </c>
    </row>
    <row r="174" spans="1:9" x14ac:dyDescent="0.25">
      <c r="A174" s="12">
        <v>45553</v>
      </c>
      <c r="B174" s="15">
        <v>0</v>
      </c>
      <c r="C174" s="14" t="s">
        <v>26</v>
      </c>
      <c r="D174" s="13" t="s">
        <v>60</v>
      </c>
      <c r="E174" s="11" t="s">
        <v>23</v>
      </c>
      <c r="F174" s="8">
        <f>(INT(Table_Moldova[[#This Row],[Date]]) - DATE(1970, 1, 1)) * 86400000</f>
        <v>1726617600000</v>
      </c>
      <c r="G174" s="10">
        <f>'GMT Glossary'!$B$2</f>
        <v>6</v>
      </c>
      <c r="H174" s="2" t="str">
        <f t="shared" si="6"/>
        <v>2024-09-18</v>
      </c>
      <c r="I174" s="2" t="str">
        <f t="shared" si="7"/>
        <v>06:00</v>
      </c>
    </row>
    <row r="175" spans="1:9" x14ac:dyDescent="0.25">
      <c r="A175" s="12">
        <v>45553</v>
      </c>
      <c r="B175" s="15">
        <v>8.3333333333333329E-2</v>
      </c>
      <c r="C175" s="14" t="s">
        <v>26</v>
      </c>
      <c r="D175" s="13" t="s">
        <v>49</v>
      </c>
      <c r="E175" s="11" t="s">
        <v>23</v>
      </c>
      <c r="F175" s="8">
        <f>(INT(Table_Moldova[[#This Row],[Date]]) - DATE(1970, 1, 1)) * 86400000</f>
        <v>1726617600000</v>
      </c>
      <c r="G175" s="10">
        <f>'GMT Glossary'!$B$2</f>
        <v>6</v>
      </c>
      <c r="H175" s="2" t="str">
        <f t="shared" si="6"/>
        <v>2024-09-18</v>
      </c>
      <c r="I175" s="2" t="str">
        <f t="shared" si="7"/>
        <v>08:00</v>
      </c>
    </row>
    <row r="176" spans="1:9" x14ac:dyDescent="0.25">
      <c r="A176" s="12">
        <v>45553</v>
      </c>
      <c r="B176" s="15">
        <v>0.16666666666666666</v>
      </c>
      <c r="C176" s="14" t="s">
        <v>51</v>
      </c>
      <c r="D176" s="13" t="s">
        <v>55</v>
      </c>
      <c r="E176" s="11" t="s">
        <v>23</v>
      </c>
      <c r="F176" s="8">
        <f>(INT(Table_Moldova[[#This Row],[Date]]) - DATE(1970, 1, 1)) * 86400000</f>
        <v>1726617600000</v>
      </c>
      <c r="G176" s="10">
        <f>'GMT Glossary'!$B$2</f>
        <v>6</v>
      </c>
      <c r="H176" s="2" t="str">
        <f t="shared" si="6"/>
        <v>2024-09-18</v>
      </c>
      <c r="I176" s="2" t="str">
        <f t="shared" si="7"/>
        <v>10:00</v>
      </c>
    </row>
    <row r="177" spans="1:9" x14ac:dyDescent="0.25">
      <c r="A177" s="12">
        <v>45553</v>
      </c>
      <c r="B177" s="15">
        <v>0.29166666666666669</v>
      </c>
      <c r="C177" s="14" t="s">
        <v>26</v>
      </c>
      <c r="D177" s="13" t="s">
        <v>63</v>
      </c>
      <c r="E177" s="11" t="s">
        <v>23</v>
      </c>
      <c r="F177" s="8">
        <f>(INT(Table_Moldova[[#This Row],[Date]]) - DATE(1970, 1, 1)) * 86400000</f>
        <v>1726617600000</v>
      </c>
      <c r="G177" s="10">
        <f>'GMT Glossary'!$B$2</f>
        <v>6</v>
      </c>
      <c r="H177" s="2" t="str">
        <f t="shared" si="6"/>
        <v>2024-09-18</v>
      </c>
      <c r="I177" s="2" t="str">
        <f t="shared" si="7"/>
        <v>13:00</v>
      </c>
    </row>
    <row r="178" spans="1:9" x14ac:dyDescent="0.25">
      <c r="A178" s="12">
        <v>45553</v>
      </c>
      <c r="B178" s="15">
        <v>0.375</v>
      </c>
      <c r="C178" s="14" t="s">
        <v>26</v>
      </c>
      <c r="D178" s="13" t="s">
        <v>136</v>
      </c>
      <c r="E178" s="11" t="s">
        <v>23</v>
      </c>
      <c r="F178" s="8">
        <f>(INT(Table_Moldova[[#This Row],[Date]]) - DATE(1970, 1, 1)) * 86400000</f>
        <v>1726617600000</v>
      </c>
      <c r="G178" s="10">
        <f>'GMT Glossary'!$B$2</f>
        <v>6</v>
      </c>
      <c r="H178" s="2" t="str">
        <f t="shared" si="6"/>
        <v>2024-09-18</v>
      </c>
      <c r="I178" s="2" t="str">
        <f t="shared" si="7"/>
        <v>15:00</v>
      </c>
    </row>
    <row r="179" spans="1:9" x14ac:dyDescent="0.25">
      <c r="A179" s="12">
        <v>45553</v>
      </c>
      <c r="B179" s="15">
        <v>0.45833333333333331</v>
      </c>
      <c r="C179" s="14" t="s">
        <v>26</v>
      </c>
      <c r="D179" s="13" t="s">
        <v>62</v>
      </c>
      <c r="E179" s="11" t="s">
        <v>23</v>
      </c>
      <c r="F179" s="8">
        <f>(INT(Table_Moldova[[#This Row],[Date]]) - DATE(1970, 1, 1)) * 86400000</f>
        <v>1726617600000</v>
      </c>
      <c r="G179" s="10">
        <f>'GMT Glossary'!$B$2</f>
        <v>6</v>
      </c>
      <c r="H179" s="2" t="str">
        <f t="shared" si="6"/>
        <v>2024-09-18</v>
      </c>
      <c r="I179" s="2" t="str">
        <f t="shared" si="7"/>
        <v>17:00</v>
      </c>
    </row>
    <row r="180" spans="1:9" x14ac:dyDescent="0.25">
      <c r="A180" s="12">
        <v>45553</v>
      </c>
      <c r="B180" s="15">
        <v>0.54166666666666663</v>
      </c>
      <c r="C180" s="14" t="s">
        <v>26</v>
      </c>
      <c r="D180" s="13" t="s">
        <v>137</v>
      </c>
      <c r="E180" s="11" t="s">
        <v>23</v>
      </c>
      <c r="F180" s="8">
        <f>(INT(Table_Moldova[[#This Row],[Date]]) - DATE(1970, 1, 1)) * 86400000</f>
        <v>1726617600000</v>
      </c>
      <c r="G180" s="10">
        <f>'GMT Glossary'!$B$2</f>
        <v>6</v>
      </c>
      <c r="H180" s="2" t="str">
        <f t="shared" si="6"/>
        <v>2024-09-18</v>
      </c>
      <c r="I180" s="2" t="str">
        <f t="shared" si="7"/>
        <v>19:00</v>
      </c>
    </row>
    <row r="181" spans="1:9" x14ac:dyDescent="0.25">
      <c r="A181" s="12">
        <v>45553</v>
      </c>
      <c r="B181" s="15">
        <v>0.625</v>
      </c>
      <c r="C181" s="14" t="s">
        <v>26</v>
      </c>
      <c r="D181" s="13" t="s">
        <v>138</v>
      </c>
      <c r="E181" s="11" t="s">
        <v>23</v>
      </c>
      <c r="F181" s="8">
        <f>(INT(Table_Moldova[[#This Row],[Date]]) - DATE(1970, 1, 1)) * 86400000</f>
        <v>1726617600000</v>
      </c>
      <c r="G181" s="10">
        <f>'GMT Glossary'!$B$2</f>
        <v>6</v>
      </c>
      <c r="H181" s="2" t="str">
        <f t="shared" si="6"/>
        <v>2024-09-18</v>
      </c>
      <c r="I181" s="2" t="str">
        <f t="shared" si="7"/>
        <v>21:00</v>
      </c>
    </row>
    <row r="182" spans="1:9" x14ac:dyDescent="0.25">
      <c r="A182" s="12">
        <v>45553</v>
      </c>
      <c r="B182" s="15">
        <v>0.66666666666666663</v>
      </c>
      <c r="C182" s="14" t="s">
        <v>26</v>
      </c>
      <c r="D182" s="13" t="s">
        <v>139</v>
      </c>
      <c r="E182" s="11" t="s">
        <v>23</v>
      </c>
      <c r="F182" s="8">
        <f>(INT(Table_Moldova[[#This Row],[Date]]) - DATE(1970, 1, 1)) * 86400000</f>
        <v>1726617600000</v>
      </c>
      <c r="G182" s="10">
        <f>'GMT Glossary'!$B$2</f>
        <v>6</v>
      </c>
      <c r="H182" s="2" t="str">
        <f t="shared" si="6"/>
        <v>2024-09-18</v>
      </c>
      <c r="I182" s="2" t="str">
        <f t="shared" si="7"/>
        <v>22:00</v>
      </c>
    </row>
    <row r="183" spans="1:9" x14ac:dyDescent="0.25">
      <c r="A183" s="12">
        <v>45553</v>
      </c>
      <c r="B183" s="15">
        <v>0.69791666666666663</v>
      </c>
      <c r="C183" s="14" t="s">
        <v>26</v>
      </c>
      <c r="D183" s="13" t="s">
        <v>140</v>
      </c>
      <c r="E183" s="11" t="s">
        <v>23</v>
      </c>
      <c r="F183" s="8">
        <f>(INT(Table_Moldova[[#This Row],[Date]]) - DATE(1970, 1, 1)) * 86400000</f>
        <v>1726617600000</v>
      </c>
      <c r="G183" s="10">
        <f>'GMT Glossary'!$B$2</f>
        <v>6</v>
      </c>
      <c r="H183" s="2" t="str">
        <f t="shared" si="6"/>
        <v>2024-09-18</v>
      </c>
      <c r="I183" s="2" t="str">
        <f t="shared" si="7"/>
        <v>22:45</v>
      </c>
    </row>
    <row r="184" spans="1:9" x14ac:dyDescent="0.25">
      <c r="A184" s="12">
        <v>45553</v>
      </c>
      <c r="B184" s="15">
        <v>0.79166666666666663</v>
      </c>
      <c r="C184" s="14" t="s">
        <v>26</v>
      </c>
      <c r="D184" s="13" t="s">
        <v>141</v>
      </c>
      <c r="E184" s="11" t="s">
        <v>23</v>
      </c>
      <c r="F184" s="8">
        <f>(INT(Table_Moldova[[#This Row],[Date]]) - DATE(1970, 1, 1)) * 86400000</f>
        <v>1726617600000</v>
      </c>
      <c r="G184" s="10">
        <f>'GMT Glossary'!$B$2</f>
        <v>6</v>
      </c>
      <c r="H184" s="2" t="str">
        <f t="shared" si="6"/>
        <v>2024-09-19</v>
      </c>
      <c r="I184" s="2" t="str">
        <f t="shared" si="7"/>
        <v>01:00</v>
      </c>
    </row>
    <row r="185" spans="1:9" x14ac:dyDescent="0.25">
      <c r="A185" s="12">
        <v>45553</v>
      </c>
      <c r="B185" s="15">
        <v>0.875</v>
      </c>
      <c r="C185" s="14" t="s">
        <v>37</v>
      </c>
      <c r="D185" s="13" t="s">
        <v>46</v>
      </c>
      <c r="E185" s="11" t="s">
        <v>23</v>
      </c>
      <c r="F185" s="8">
        <f>(INT(Table_Moldova[[#This Row],[Date]]) - DATE(1970, 1, 1)) * 86400000</f>
        <v>1726617600000</v>
      </c>
      <c r="G185" s="10">
        <f>'GMT Glossary'!$B$2</f>
        <v>6</v>
      </c>
      <c r="H185" s="2" t="str">
        <f t="shared" si="6"/>
        <v>2024-09-19</v>
      </c>
      <c r="I185" s="2" t="str">
        <f t="shared" si="7"/>
        <v>03:00</v>
      </c>
    </row>
    <row r="186" spans="1:9" x14ac:dyDescent="0.25">
      <c r="A186" s="12">
        <v>45553</v>
      </c>
      <c r="B186" s="15">
        <v>0.95833333333333337</v>
      </c>
      <c r="C186" s="14" t="s">
        <v>26</v>
      </c>
      <c r="D186" s="13" t="s">
        <v>142</v>
      </c>
      <c r="E186" s="11" t="s">
        <v>23</v>
      </c>
      <c r="F186" s="8">
        <f>(INT(Table_Moldova[[#This Row],[Date]]) - DATE(1970, 1, 1)) * 86400000</f>
        <v>1726617600000</v>
      </c>
      <c r="G186" s="10">
        <f>'GMT Glossary'!$B$2</f>
        <v>6</v>
      </c>
      <c r="H186" s="2" t="str">
        <f t="shared" si="6"/>
        <v>2024-09-19</v>
      </c>
      <c r="I186" s="2" t="str">
        <f t="shared" si="7"/>
        <v>05:00</v>
      </c>
    </row>
    <row r="187" spans="1:9" x14ac:dyDescent="0.25">
      <c r="A187" s="12">
        <v>45554</v>
      </c>
      <c r="B187" s="15">
        <v>4.1666666666666664E-2</v>
      </c>
      <c r="C187" s="14" t="s">
        <v>26</v>
      </c>
      <c r="D187" s="13" t="s">
        <v>143</v>
      </c>
      <c r="E187" s="11" t="s">
        <v>23</v>
      </c>
      <c r="F187" s="8">
        <f>(INT(Table_Moldova[[#This Row],[Date]]) - DATE(1970, 1, 1)) * 86400000</f>
        <v>1726704000000</v>
      </c>
      <c r="G187" s="10">
        <f>'GMT Glossary'!$B$2</f>
        <v>6</v>
      </c>
      <c r="H187" s="2" t="str">
        <f t="shared" si="6"/>
        <v>2024-09-19</v>
      </c>
      <c r="I187" s="2" t="str">
        <f t="shared" si="7"/>
        <v>07:00</v>
      </c>
    </row>
    <row r="188" spans="1:9" x14ac:dyDescent="0.25">
      <c r="A188" s="12">
        <v>45554</v>
      </c>
      <c r="B188" s="15">
        <v>0.125</v>
      </c>
      <c r="C188" s="14" t="s">
        <v>26</v>
      </c>
      <c r="D188" s="13" t="s">
        <v>144</v>
      </c>
      <c r="E188" s="11" t="s">
        <v>23</v>
      </c>
      <c r="F188" s="8">
        <f>(INT(Table_Moldova[[#This Row],[Date]]) - DATE(1970, 1, 1)) * 86400000</f>
        <v>1726704000000</v>
      </c>
      <c r="G188" s="10">
        <f>'GMT Glossary'!$B$2</f>
        <v>6</v>
      </c>
      <c r="H188" s="2" t="str">
        <f t="shared" si="6"/>
        <v>2024-09-19</v>
      </c>
      <c r="I188" s="2" t="str">
        <f t="shared" si="7"/>
        <v>09:00</v>
      </c>
    </row>
    <row r="189" spans="1:9" x14ac:dyDescent="0.25">
      <c r="A189" s="12">
        <v>45554</v>
      </c>
      <c r="B189" s="15">
        <v>0.20833333333333334</v>
      </c>
      <c r="C189" s="14" t="s">
        <v>26</v>
      </c>
      <c r="D189" s="13" t="s">
        <v>145</v>
      </c>
      <c r="E189" s="11" t="s">
        <v>23</v>
      </c>
      <c r="F189" s="8">
        <f>(INT(Table_Moldova[[#This Row],[Date]]) - DATE(1970, 1, 1)) * 86400000</f>
        <v>1726704000000</v>
      </c>
      <c r="G189" s="10">
        <f>'GMT Glossary'!$B$2</f>
        <v>6</v>
      </c>
      <c r="H189" s="2" t="str">
        <f t="shared" si="6"/>
        <v>2024-09-19</v>
      </c>
      <c r="I189" s="2" t="str">
        <f t="shared" si="7"/>
        <v>11:00</v>
      </c>
    </row>
    <row r="190" spans="1:9" x14ac:dyDescent="0.25">
      <c r="A190" s="12">
        <v>45554</v>
      </c>
      <c r="B190" s="15">
        <v>0.29166666666666669</v>
      </c>
      <c r="C190" s="14" t="s">
        <v>26</v>
      </c>
      <c r="D190" s="13" t="s">
        <v>146</v>
      </c>
      <c r="E190" s="11" t="s">
        <v>23</v>
      </c>
      <c r="F190" s="8">
        <f>(INT(Table_Moldova[[#This Row],[Date]]) - DATE(1970, 1, 1)) * 86400000</f>
        <v>1726704000000</v>
      </c>
      <c r="G190" s="10">
        <f>'GMT Glossary'!$B$2</f>
        <v>6</v>
      </c>
      <c r="H190" s="2" t="str">
        <f t="shared" si="6"/>
        <v>2024-09-19</v>
      </c>
      <c r="I190" s="2" t="str">
        <f t="shared" si="7"/>
        <v>13:00</v>
      </c>
    </row>
    <row r="191" spans="1:9" x14ac:dyDescent="0.25">
      <c r="A191" s="12">
        <v>45554</v>
      </c>
      <c r="B191" s="15">
        <v>0.375</v>
      </c>
      <c r="C191" s="14" t="s">
        <v>26</v>
      </c>
      <c r="D191" s="13" t="s">
        <v>147</v>
      </c>
      <c r="E191" s="11" t="s">
        <v>23</v>
      </c>
      <c r="F191" s="8">
        <f>(INT(Table_Moldova[[#This Row],[Date]]) - DATE(1970, 1, 1)) * 86400000</f>
        <v>1726704000000</v>
      </c>
      <c r="G191" s="10">
        <f>'GMT Glossary'!$B$2</f>
        <v>6</v>
      </c>
      <c r="H191" s="2" t="str">
        <f t="shared" si="6"/>
        <v>2024-09-19</v>
      </c>
      <c r="I191" s="2" t="str">
        <f t="shared" si="7"/>
        <v>15:00</v>
      </c>
    </row>
    <row r="192" spans="1:9" x14ac:dyDescent="0.25">
      <c r="A192" s="12">
        <v>45554</v>
      </c>
      <c r="B192" s="15">
        <v>0.45833333333333331</v>
      </c>
      <c r="C192" s="14" t="s">
        <v>26</v>
      </c>
      <c r="D192" s="13" t="s">
        <v>148</v>
      </c>
      <c r="E192" s="11" t="s">
        <v>23</v>
      </c>
      <c r="F192" s="8">
        <f>(INT(Table_Moldova[[#This Row],[Date]]) - DATE(1970, 1, 1)) * 86400000</f>
        <v>1726704000000</v>
      </c>
      <c r="G192" s="10">
        <f>'GMT Glossary'!$B$2</f>
        <v>6</v>
      </c>
      <c r="H192" s="2" t="str">
        <f t="shared" si="6"/>
        <v>2024-09-19</v>
      </c>
      <c r="I192" s="2" t="str">
        <f t="shared" si="7"/>
        <v>17:00</v>
      </c>
    </row>
    <row r="193" spans="1:9" x14ac:dyDescent="0.25">
      <c r="A193" s="12">
        <v>45554</v>
      </c>
      <c r="B193" s="15">
        <v>0.54166666666666663</v>
      </c>
      <c r="C193" s="14" t="s">
        <v>26</v>
      </c>
      <c r="D193" s="13" t="s">
        <v>149</v>
      </c>
      <c r="E193" s="11" t="s">
        <v>23</v>
      </c>
      <c r="F193" s="8">
        <f>(INT(Table_Moldova[[#This Row],[Date]]) - DATE(1970, 1, 1)) * 86400000</f>
        <v>1726704000000</v>
      </c>
      <c r="G193" s="10">
        <f>'GMT Glossary'!$B$2</f>
        <v>6</v>
      </c>
      <c r="H193" s="2" t="str">
        <f t="shared" si="6"/>
        <v>2024-09-19</v>
      </c>
      <c r="I193" s="2" t="str">
        <f t="shared" si="7"/>
        <v>19:00</v>
      </c>
    </row>
    <row r="194" spans="1:9" x14ac:dyDescent="0.25">
      <c r="A194" s="12">
        <v>45554</v>
      </c>
      <c r="B194" s="15">
        <v>0.625</v>
      </c>
      <c r="C194" s="14" t="s">
        <v>26</v>
      </c>
      <c r="D194" s="13" t="s">
        <v>150</v>
      </c>
      <c r="E194" s="11" t="s">
        <v>23</v>
      </c>
      <c r="F194" s="8">
        <f>(INT(Table_Moldova[[#This Row],[Date]]) - DATE(1970, 1, 1)) * 86400000</f>
        <v>1726704000000</v>
      </c>
      <c r="G194" s="10">
        <f>'GMT Glossary'!$B$2</f>
        <v>6</v>
      </c>
      <c r="H194" s="2" t="str">
        <f t="shared" si="6"/>
        <v>2024-09-19</v>
      </c>
      <c r="I194" s="2" t="str">
        <f t="shared" si="7"/>
        <v>21:00</v>
      </c>
    </row>
    <row r="195" spans="1:9" x14ac:dyDescent="0.25">
      <c r="A195" s="12">
        <v>45554</v>
      </c>
      <c r="B195" s="15">
        <v>0.66666666666666663</v>
      </c>
      <c r="C195" s="14" t="s">
        <v>26</v>
      </c>
      <c r="D195" s="13" t="s">
        <v>151</v>
      </c>
      <c r="E195" s="11" t="s">
        <v>23</v>
      </c>
      <c r="F195" s="8">
        <f>(INT(Table_Moldova[[#This Row],[Date]]) - DATE(1970, 1, 1)) * 86400000</f>
        <v>1726704000000</v>
      </c>
      <c r="G195" s="10">
        <f>'GMT Glossary'!$B$2</f>
        <v>6</v>
      </c>
      <c r="H195" s="2" t="str">
        <f t="shared" si="6"/>
        <v>2024-09-19</v>
      </c>
      <c r="I195" s="2" t="str">
        <f t="shared" si="7"/>
        <v>22:00</v>
      </c>
    </row>
    <row r="196" spans="1:9" x14ac:dyDescent="0.25">
      <c r="A196" s="12">
        <v>45554</v>
      </c>
      <c r="B196" s="15">
        <v>0.69791666666666663</v>
      </c>
      <c r="C196" s="14" t="s">
        <v>26</v>
      </c>
      <c r="D196" s="13" t="s">
        <v>152</v>
      </c>
      <c r="E196" s="11" t="s">
        <v>23</v>
      </c>
      <c r="F196" s="8">
        <f>(INT(Table_Moldova[[#This Row],[Date]]) - DATE(1970, 1, 1)) * 86400000</f>
        <v>1726704000000</v>
      </c>
      <c r="G196" s="10">
        <f>'GMT Glossary'!$B$2</f>
        <v>6</v>
      </c>
      <c r="H196" s="2" t="str">
        <f t="shared" si="6"/>
        <v>2024-09-19</v>
      </c>
      <c r="I196" s="2" t="str">
        <f t="shared" si="7"/>
        <v>22:45</v>
      </c>
    </row>
    <row r="197" spans="1:9" x14ac:dyDescent="0.25">
      <c r="A197" s="12">
        <v>45554</v>
      </c>
      <c r="B197" s="15">
        <v>0.79166666666666663</v>
      </c>
      <c r="C197" s="14" t="s">
        <v>26</v>
      </c>
      <c r="D197" s="13" t="s">
        <v>153</v>
      </c>
      <c r="E197" s="11" t="s">
        <v>23</v>
      </c>
      <c r="F197" s="8">
        <f>(INT(Table_Moldova[[#This Row],[Date]]) - DATE(1970, 1, 1)) * 86400000</f>
        <v>1726704000000</v>
      </c>
      <c r="G197" s="10">
        <f>'GMT Glossary'!$B$2</f>
        <v>6</v>
      </c>
      <c r="H197" s="2" t="str">
        <f t="shared" si="6"/>
        <v>2024-09-20</v>
      </c>
      <c r="I197" s="2" t="str">
        <f t="shared" si="7"/>
        <v>01:00</v>
      </c>
    </row>
    <row r="198" spans="1:9" x14ac:dyDescent="0.25">
      <c r="A198" s="12">
        <v>45554</v>
      </c>
      <c r="B198" s="15">
        <v>0.875</v>
      </c>
      <c r="C198" s="14" t="s">
        <v>26</v>
      </c>
      <c r="D198" s="13" t="s">
        <v>154</v>
      </c>
      <c r="E198" s="11" t="s">
        <v>23</v>
      </c>
      <c r="F198" s="8">
        <f>(INT(Table_Moldova[[#This Row],[Date]]) - DATE(1970, 1, 1)) * 86400000</f>
        <v>1726704000000</v>
      </c>
      <c r="G198" s="10">
        <f>'GMT Glossary'!$B$2</f>
        <v>6</v>
      </c>
      <c r="H198" s="2" t="str">
        <f t="shared" ref="H198:H229" si="8">TEXT(IF(B198&lt;0, A198+1+((B198+(G198/24))-(INT(B198+(G198/24)))), A198+(B198+(G198/24))), "yyyy-mm-dd")</f>
        <v>2024-09-20</v>
      </c>
      <c r="I198" s="2" t="str">
        <f t="shared" ref="I198:I229" si="9">TEXT(IF(B198&lt;0, A198+1+((B198+(G198/24))-(INT(B198+(G198/24)))), A198+(B198+(G198/24))), "hh:mm")</f>
        <v>03:00</v>
      </c>
    </row>
    <row r="199" spans="1:9" x14ac:dyDescent="0.25">
      <c r="A199" s="12">
        <v>45554</v>
      </c>
      <c r="B199" s="15">
        <v>0.95833333333333337</v>
      </c>
      <c r="C199" s="14" t="s">
        <v>26</v>
      </c>
      <c r="D199" s="13" t="s">
        <v>30</v>
      </c>
      <c r="E199" s="11" t="s">
        <v>23</v>
      </c>
      <c r="F199" s="8">
        <f>(INT(Table_Moldova[[#This Row],[Date]]) - DATE(1970, 1, 1)) * 86400000</f>
        <v>1726704000000</v>
      </c>
      <c r="G199" s="10">
        <f>'GMT Glossary'!$B$2</f>
        <v>6</v>
      </c>
      <c r="H199" s="2" t="str">
        <f t="shared" si="8"/>
        <v>2024-09-20</v>
      </c>
      <c r="I199" s="2" t="str">
        <f t="shared" si="9"/>
        <v>05:00</v>
      </c>
    </row>
    <row r="200" spans="1:9" x14ac:dyDescent="0.25">
      <c r="A200" s="12">
        <v>45555</v>
      </c>
      <c r="B200" s="15">
        <v>4.1666666666666664E-2</v>
      </c>
      <c r="C200" s="14" t="s">
        <v>26</v>
      </c>
      <c r="D200" s="13" t="s">
        <v>155</v>
      </c>
      <c r="E200" s="11" t="s">
        <v>23</v>
      </c>
      <c r="F200" s="8">
        <f>(INT(Table_Moldova[[#This Row],[Date]]) - DATE(1970, 1, 1)) * 86400000</f>
        <v>1726790400000</v>
      </c>
      <c r="G200" s="10">
        <f>'GMT Glossary'!$B$2</f>
        <v>6</v>
      </c>
      <c r="H200" s="2" t="str">
        <f t="shared" si="8"/>
        <v>2024-09-20</v>
      </c>
      <c r="I200" s="2" t="str">
        <f t="shared" si="9"/>
        <v>07:00</v>
      </c>
    </row>
    <row r="201" spans="1:9" x14ac:dyDescent="0.25">
      <c r="A201" s="12">
        <v>45555</v>
      </c>
      <c r="B201" s="15">
        <v>0.125</v>
      </c>
      <c r="C201" s="14" t="s">
        <v>26</v>
      </c>
      <c r="D201" s="13" t="s">
        <v>156</v>
      </c>
      <c r="E201" s="11" t="s">
        <v>23</v>
      </c>
      <c r="F201" s="8">
        <f>(INT(Table_Moldova[[#This Row],[Date]]) - DATE(1970, 1, 1)) * 86400000</f>
        <v>1726790400000</v>
      </c>
      <c r="G201" s="10">
        <f>'GMT Glossary'!$B$2</f>
        <v>6</v>
      </c>
      <c r="H201" s="2" t="str">
        <f t="shared" si="8"/>
        <v>2024-09-20</v>
      </c>
      <c r="I201" s="2" t="str">
        <f t="shared" si="9"/>
        <v>09:00</v>
      </c>
    </row>
    <row r="202" spans="1:9" x14ac:dyDescent="0.25">
      <c r="A202" s="12">
        <v>45555</v>
      </c>
      <c r="B202" s="15">
        <v>0.20833333333333334</v>
      </c>
      <c r="C202" s="14" t="s">
        <v>26</v>
      </c>
      <c r="D202" s="13" t="s">
        <v>157</v>
      </c>
      <c r="E202" s="11" t="s">
        <v>23</v>
      </c>
      <c r="F202" s="8">
        <f>(INT(Table_Moldova[[#This Row],[Date]]) - DATE(1970, 1, 1)) * 86400000</f>
        <v>1726790400000</v>
      </c>
      <c r="G202" s="10">
        <f>'GMT Glossary'!$B$2</f>
        <v>6</v>
      </c>
      <c r="H202" s="2" t="str">
        <f t="shared" si="8"/>
        <v>2024-09-20</v>
      </c>
      <c r="I202" s="2" t="str">
        <f t="shared" si="9"/>
        <v>11:00</v>
      </c>
    </row>
    <row r="203" spans="1:9" x14ac:dyDescent="0.25">
      <c r="A203" s="12">
        <v>45555</v>
      </c>
      <c r="B203" s="15">
        <v>0.29166666666666669</v>
      </c>
      <c r="C203" s="14" t="s">
        <v>26</v>
      </c>
      <c r="D203" s="13" t="s">
        <v>158</v>
      </c>
      <c r="E203" s="11" t="s">
        <v>23</v>
      </c>
      <c r="F203" s="8">
        <f>(INT(Table_Moldova[[#This Row],[Date]]) - DATE(1970, 1, 1)) * 86400000</f>
        <v>1726790400000</v>
      </c>
      <c r="G203" s="10">
        <f>'GMT Glossary'!$B$2</f>
        <v>6</v>
      </c>
      <c r="H203" s="2" t="str">
        <f t="shared" si="8"/>
        <v>2024-09-20</v>
      </c>
      <c r="I203" s="2" t="str">
        <f t="shared" si="9"/>
        <v>13:00</v>
      </c>
    </row>
    <row r="204" spans="1:9" x14ac:dyDescent="0.25">
      <c r="A204" s="12">
        <v>45555</v>
      </c>
      <c r="B204" s="15">
        <v>0.375</v>
      </c>
      <c r="C204" s="14" t="s">
        <v>26</v>
      </c>
      <c r="D204" s="13" t="s">
        <v>159</v>
      </c>
      <c r="E204" s="11" t="s">
        <v>23</v>
      </c>
      <c r="F204" s="8">
        <f>(INT(Table_Moldova[[#This Row],[Date]]) - DATE(1970, 1, 1)) * 86400000</f>
        <v>1726790400000</v>
      </c>
      <c r="G204" s="10">
        <f>'GMT Glossary'!$B$2</f>
        <v>6</v>
      </c>
      <c r="H204" s="2" t="str">
        <f t="shared" si="8"/>
        <v>2024-09-20</v>
      </c>
      <c r="I204" s="2" t="str">
        <f t="shared" si="9"/>
        <v>15:00</v>
      </c>
    </row>
    <row r="205" spans="1:9" x14ac:dyDescent="0.25">
      <c r="A205" s="12">
        <v>45555</v>
      </c>
      <c r="B205" s="15">
        <v>0.45833333333333331</v>
      </c>
      <c r="C205" s="14" t="s">
        <v>26</v>
      </c>
      <c r="D205" s="13" t="s">
        <v>146</v>
      </c>
      <c r="E205" s="11" t="s">
        <v>23</v>
      </c>
      <c r="F205" s="8">
        <f>(INT(Table_Moldova[[#This Row],[Date]]) - DATE(1970, 1, 1)) * 86400000</f>
        <v>1726790400000</v>
      </c>
      <c r="G205" s="10">
        <f>'GMT Glossary'!$B$2</f>
        <v>6</v>
      </c>
      <c r="H205" s="2" t="str">
        <f t="shared" si="8"/>
        <v>2024-09-20</v>
      </c>
      <c r="I205" s="2" t="str">
        <f t="shared" si="9"/>
        <v>17:00</v>
      </c>
    </row>
    <row r="206" spans="1:9" x14ac:dyDescent="0.25">
      <c r="A206" s="12">
        <v>45555</v>
      </c>
      <c r="B206" s="15">
        <v>0.54166666666666663</v>
      </c>
      <c r="C206" s="14" t="s">
        <v>26</v>
      </c>
      <c r="D206" s="13" t="s">
        <v>160</v>
      </c>
      <c r="E206" s="11" t="s">
        <v>23</v>
      </c>
      <c r="F206" s="8">
        <f>(INT(Table_Moldova[[#This Row],[Date]]) - DATE(1970, 1, 1)) * 86400000</f>
        <v>1726790400000</v>
      </c>
      <c r="G206" s="10">
        <f>'GMT Glossary'!$B$2</f>
        <v>6</v>
      </c>
      <c r="H206" s="2" t="str">
        <f t="shared" si="8"/>
        <v>2024-09-20</v>
      </c>
      <c r="I206" s="2" t="str">
        <f t="shared" si="9"/>
        <v>19:00</v>
      </c>
    </row>
    <row r="207" spans="1:9" x14ac:dyDescent="0.25">
      <c r="A207" s="12">
        <v>45555</v>
      </c>
      <c r="B207" s="15">
        <v>0.625</v>
      </c>
      <c r="C207" s="14" t="s">
        <v>26</v>
      </c>
      <c r="D207" s="13" t="s">
        <v>161</v>
      </c>
      <c r="E207" s="11" t="s">
        <v>23</v>
      </c>
      <c r="F207" s="8">
        <f>(INT(Table_Moldova[[#This Row],[Date]]) - DATE(1970, 1, 1)) * 86400000</f>
        <v>1726790400000</v>
      </c>
      <c r="G207" s="10">
        <f>'GMT Glossary'!$B$2</f>
        <v>6</v>
      </c>
      <c r="H207" s="2" t="str">
        <f t="shared" si="8"/>
        <v>2024-09-20</v>
      </c>
      <c r="I207" s="2" t="str">
        <f t="shared" si="9"/>
        <v>21:00</v>
      </c>
    </row>
    <row r="208" spans="1:9" x14ac:dyDescent="0.25">
      <c r="A208" s="12">
        <v>45555</v>
      </c>
      <c r="B208" s="15">
        <v>0.70833333333333337</v>
      </c>
      <c r="C208" s="14" t="s">
        <v>26</v>
      </c>
      <c r="D208" s="13" t="s">
        <v>162</v>
      </c>
      <c r="E208" s="11" t="s">
        <v>23</v>
      </c>
      <c r="F208" s="8">
        <f>(INT(Table_Moldova[[#This Row],[Date]]) - DATE(1970, 1, 1)) * 86400000</f>
        <v>1726790400000</v>
      </c>
      <c r="G208" s="10">
        <f>'GMT Glossary'!$B$2</f>
        <v>6</v>
      </c>
      <c r="H208" s="2" t="str">
        <f t="shared" si="8"/>
        <v>2024-09-20</v>
      </c>
      <c r="I208" s="2" t="str">
        <f t="shared" si="9"/>
        <v>23:00</v>
      </c>
    </row>
    <row r="209" spans="1:9" x14ac:dyDescent="0.25">
      <c r="A209" s="12">
        <v>45555</v>
      </c>
      <c r="B209" s="15">
        <v>0.79166666666666663</v>
      </c>
      <c r="C209" s="14" t="s">
        <v>26</v>
      </c>
      <c r="D209" s="13" t="s">
        <v>163</v>
      </c>
      <c r="E209" s="11" t="s">
        <v>23</v>
      </c>
      <c r="F209" s="8">
        <f>(INT(Table_Moldova[[#This Row],[Date]]) - DATE(1970, 1, 1)) * 86400000</f>
        <v>1726790400000</v>
      </c>
      <c r="G209" s="10">
        <f>'GMT Glossary'!$B$2</f>
        <v>6</v>
      </c>
      <c r="H209" s="2" t="str">
        <f t="shared" si="8"/>
        <v>2024-09-21</v>
      </c>
      <c r="I209" s="2" t="str">
        <f t="shared" si="9"/>
        <v>01:00</v>
      </c>
    </row>
    <row r="210" spans="1:9" x14ac:dyDescent="0.25">
      <c r="A210" s="12">
        <v>45555</v>
      </c>
      <c r="B210" s="15">
        <v>0.875</v>
      </c>
      <c r="C210" s="14" t="s">
        <v>37</v>
      </c>
      <c r="D210" s="13" t="s">
        <v>46</v>
      </c>
      <c r="E210" s="11" t="s">
        <v>23</v>
      </c>
      <c r="F210" s="8">
        <f>(INT(Table_Moldova[[#This Row],[Date]]) - DATE(1970, 1, 1)) * 86400000</f>
        <v>1726790400000</v>
      </c>
      <c r="G210" s="10">
        <f>'GMT Glossary'!$B$2</f>
        <v>6</v>
      </c>
      <c r="H210" s="2" t="str">
        <f t="shared" si="8"/>
        <v>2024-09-21</v>
      </c>
      <c r="I210" s="2" t="str">
        <f t="shared" si="9"/>
        <v>03:00</v>
      </c>
    </row>
    <row r="211" spans="1:9" x14ac:dyDescent="0.25">
      <c r="A211" s="12">
        <v>45555</v>
      </c>
      <c r="B211" s="15">
        <v>0.95833333333333337</v>
      </c>
      <c r="C211" s="14" t="s">
        <v>26</v>
      </c>
      <c r="D211" s="13" t="s">
        <v>164</v>
      </c>
      <c r="E211" s="11" t="s">
        <v>23</v>
      </c>
      <c r="F211" s="8">
        <f>(INT(Table_Moldova[[#This Row],[Date]]) - DATE(1970, 1, 1)) * 86400000</f>
        <v>1726790400000</v>
      </c>
      <c r="G211" s="10">
        <f>'GMT Glossary'!$B$2</f>
        <v>6</v>
      </c>
      <c r="H211" s="2" t="str">
        <f t="shared" si="8"/>
        <v>2024-09-21</v>
      </c>
      <c r="I211" s="2" t="str">
        <f t="shared" si="9"/>
        <v>05:00</v>
      </c>
    </row>
    <row r="212" spans="1:9" x14ac:dyDescent="0.25">
      <c r="A212" s="12">
        <v>45556</v>
      </c>
      <c r="B212" s="15">
        <v>4.1666666666666664E-2</v>
      </c>
      <c r="C212" s="14" t="s">
        <v>21</v>
      </c>
      <c r="D212" s="13" t="s">
        <v>55</v>
      </c>
      <c r="E212" s="11" t="s">
        <v>23</v>
      </c>
      <c r="F212" s="8">
        <f>(INT(Table_Moldova[[#This Row],[Date]]) - DATE(1970, 1, 1)) * 86400000</f>
        <v>1726876800000</v>
      </c>
      <c r="G212" s="10">
        <f>'GMT Glossary'!$B$2</f>
        <v>6</v>
      </c>
      <c r="H212" s="2" t="str">
        <f t="shared" si="8"/>
        <v>2024-09-21</v>
      </c>
      <c r="I212" s="2" t="str">
        <f t="shared" si="9"/>
        <v>07:00</v>
      </c>
    </row>
    <row r="213" spans="1:9" x14ac:dyDescent="0.25">
      <c r="A213" s="12">
        <v>45556</v>
      </c>
      <c r="B213" s="15">
        <v>0.16666666666666666</v>
      </c>
      <c r="C213" s="14" t="s">
        <v>26</v>
      </c>
      <c r="D213" s="13" t="s">
        <v>137</v>
      </c>
      <c r="E213" s="11" t="s">
        <v>23</v>
      </c>
      <c r="F213" s="8">
        <f>(INT(Table_Moldova[[#This Row],[Date]]) - DATE(1970, 1, 1)) * 86400000</f>
        <v>1726876800000</v>
      </c>
      <c r="G213" s="10">
        <f>'GMT Glossary'!$B$2</f>
        <v>6</v>
      </c>
      <c r="H213" s="2" t="str">
        <f t="shared" si="8"/>
        <v>2024-09-21</v>
      </c>
      <c r="I213" s="2" t="str">
        <f t="shared" si="9"/>
        <v>10:00</v>
      </c>
    </row>
    <row r="214" spans="1:9" x14ac:dyDescent="0.25">
      <c r="A214" s="12">
        <v>45556</v>
      </c>
      <c r="B214" s="15">
        <v>0.25</v>
      </c>
      <c r="C214" s="14" t="s">
        <v>50</v>
      </c>
      <c r="D214" s="13" t="s">
        <v>165</v>
      </c>
      <c r="E214" s="11" t="s">
        <v>23</v>
      </c>
      <c r="F214" s="8">
        <f>(INT(Table_Moldova[[#This Row],[Date]]) - DATE(1970, 1, 1)) * 86400000</f>
        <v>1726876800000</v>
      </c>
      <c r="G214" s="10">
        <f>'GMT Glossary'!$B$2</f>
        <v>6</v>
      </c>
      <c r="H214" s="2" t="str">
        <f t="shared" si="8"/>
        <v>2024-09-21</v>
      </c>
      <c r="I214" s="2" t="str">
        <f t="shared" si="9"/>
        <v>12:00</v>
      </c>
    </row>
    <row r="215" spans="1:9" x14ac:dyDescent="0.25">
      <c r="A215" s="12">
        <v>45556</v>
      </c>
      <c r="B215" s="15">
        <v>0.27083333333333337</v>
      </c>
      <c r="C215" s="14" t="s">
        <v>50</v>
      </c>
      <c r="D215" s="13" t="s">
        <v>166</v>
      </c>
      <c r="E215" s="11" t="s">
        <v>23</v>
      </c>
      <c r="F215" s="8">
        <f>(INT(Table_Moldova[[#This Row],[Date]]) - DATE(1970, 1, 1)) * 86400000</f>
        <v>1726876800000</v>
      </c>
      <c r="G215" s="10">
        <f>'GMT Glossary'!$B$2</f>
        <v>6</v>
      </c>
      <c r="H215" s="2" t="str">
        <f t="shared" si="8"/>
        <v>2024-09-21</v>
      </c>
      <c r="I215" s="2" t="str">
        <f t="shared" si="9"/>
        <v>12:30</v>
      </c>
    </row>
    <row r="216" spans="1:9" x14ac:dyDescent="0.25">
      <c r="A216" s="12">
        <v>45556</v>
      </c>
      <c r="B216" s="15">
        <v>0.29166666666666702</v>
      </c>
      <c r="C216" s="14" t="s">
        <v>26</v>
      </c>
      <c r="D216" s="13" t="s">
        <v>136</v>
      </c>
      <c r="E216" s="11" t="s">
        <v>23</v>
      </c>
      <c r="F216" s="8">
        <f>(INT(Table_Moldova[[#This Row],[Date]]) - DATE(1970, 1, 1)) * 86400000</f>
        <v>1726876800000</v>
      </c>
      <c r="G216" s="10">
        <f>'GMT Glossary'!$B$2</f>
        <v>6</v>
      </c>
      <c r="H216" s="2" t="str">
        <f t="shared" si="8"/>
        <v>2024-09-21</v>
      </c>
      <c r="I216" s="2" t="str">
        <f t="shared" si="9"/>
        <v>13:00</v>
      </c>
    </row>
    <row r="217" spans="1:9" x14ac:dyDescent="0.25">
      <c r="A217" s="12">
        <v>45556</v>
      </c>
      <c r="B217" s="15">
        <v>0.375</v>
      </c>
      <c r="C217" s="14" t="s">
        <v>26</v>
      </c>
      <c r="D217" s="13" t="s">
        <v>80</v>
      </c>
      <c r="E217" s="11" t="s">
        <v>23</v>
      </c>
      <c r="F217" s="8">
        <f>(INT(Table_Moldova[[#This Row],[Date]]) - DATE(1970, 1, 1)) * 86400000</f>
        <v>1726876800000</v>
      </c>
      <c r="G217" s="10">
        <f>'GMT Glossary'!$B$2</f>
        <v>6</v>
      </c>
      <c r="H217" s="2" t="str">
        <f t="shared" si="8"/>
        <v>2024-09-21</v>
      </c>
      <c r="I217" s="2" t="str">
        <f t="shared" si="9"/>
        <v>15:00</v>
      </c>
    </row>
    <row r="218" spans="1:9" x14ac:dyDescent="0.25">
      <c r="A218" s="12">
        <v>45556</v>
      </c>
      <c r="B218" s="15">
        <v>0.47916666666666669</v>
      </c>
      <c r="C218" s="14" t="s">
        <v>26</v>
      </c>
      <c r="D218" s="13" t="s">
        <v>167</v>
      </c>
      <c r="E218" s="11" t="s">
        <v>23</v>
      </c>
      <c r="F218" s="8">
        <f>(INT(Table_Moldova[[#This Row],[Date]]) - DATE(1970, 1, 1)) * 86400000</f>
        <v>1726876800000</v>
      </c>
      <c r="G218" s="10">
        <f>'GMT Glossary'!$B$2</f>
        <v>6</v>
      </c>
      <c r="H218" s="2" t="str">
        <f t="shared" si="8"/>
        <v>2024-09-21</v>
      </c>
      <c r="I218" s="2" t="str">
        <f t="shared" si="9"/>
        <v>17:30</v>
      </c>
    </row>
    <row r="219" spans="1:9" x14ac:dyDescent="0.25">
      <c r="A219" s="12">
        <v>45556</v>
      </c>
      <c r="B219" s="15">
        <v>0.5625</v>
      </c>
      <c r="C219" s="14" t="s">
        <v>26</v>
      </c>
      <c r="D219" s="13" t="s">
        <v>168</v>
      </c>
      <c r="E219" s="11" t="s">
        <v>23</v>
      </c>
      <c r="F219" s="8">
        <f>(INT(Table_Moldova[[#This Row],[Date]]) - DATE(1970, 1, 1)) * 86400000</f>
        <v>1726876800000</v>
      </c>
      <c r="G219" s="10">
        <f>'GMT Glossary'!$B$2</f>
        <v>6</v>
      </c>
      <c r="H219" s="2" t="str">
        <f t="shared" si="8"/>
        <v>2024-09-21</v>
      </c>
      <c r="I219" s="2" t="str">
        <f t="shared" si="9"/>
        <v>19:30</v>
      </c>
    </row>
    <row r="220" spans="1:9" x14ac:dyDescent="0.25">
      <c r="A220" s="12">
        <v>45556</v>
      </c>
      <c r="B220" s="15">
        <v>0.6875</v>
      </c>
      <c r="C220" s="14" t="s">
        <v>26</v>
      </c>
      <c r="D220" s="13" t="s">
        <v>169</v>
      </c>
      <c r="E220" s="11" t="s">
        <v>23</v>
      </c>
      <c r="F220" s="8">
        <f>(INT(Table_Moldova[[#This Row],[Date]]) - DATE(1970, 1, 1)) * 86400000</f>
        <v>1726876800000</v>
      </c>
      <c r="G220" s="10">
        <f>'GMT Glossary'!$B$2</f>
        <v>6</v>
      </c>
      <c r="H220" s="2" t="str">
        <f t="shared" si="8"/>
        <v>2024-09-21</v>
      </c>
      <c r="I220" s="2" t="str">
        <f t="shared" si="9"/>
        <v>22:30</v>
      </c>
    </row>
    <row r="221" spans="1:9" x14ac:dyDescent="0.25">
      <c r="A221" s="12">
        <v>45556</v>
      </c>
      <c r="B221" s="15">
        <v>0.78125</v>
      </c>
      <c r="C221" s="14" t="s">
        <v>26</v>
      </c>
      <c r="D221" s="13" t="s">
        <v>170</v>
      </c>
      <c r="E221" s="11" t="s">
        <v>23</v>
      </c>
      <c r="F221" s="8">
        <f>(INT(Table_Moldova[[#This Row],[Date]]) - DATE(1970, 1, 1)) * 86400000</f>
        <v>1726876800000</v>
      </c>
      <c r="G221" s="10">
        <f>'GMT Glossary'!$B$2</f>
        <v>6</v>
      </c>
      <c r="H221" s="2" t="str">
        <f t="shared" si="8"/>
        <v>2024-09-22</v>
      </c>
      <c r="I221" s="2" t="str">
        <f t="shared" si="9"/>
        <v>00:45</v>
      </c>
    </row>
    <row r="222" spans="1:9" x14ac:dyDescent="0.25">
      <c r="A222" s="12">
        <v>45556</v>
      </c>
      <c r="B222" s="15">
        <v>0.875</v>
      </c>
      <c r="C222" s="14" t="s">
        <v>26</v>
      </c>
      <c r="D222" s="13" t="s">
        <v>171</v>
      </c>
      <c r="E222" s="11" t="s">
        <v>23</v>
      </c>
      <c r="F222" s="8">
        <f>(INT(Table_Moldova[[#This Row],[Date]]) - DATE(1970, 1, 1)) * 86400000</f>
        <v>1726876800000</v>
      </c>
      <c r="G222" s="10">
        <f>'GMT Glossary'!$B$2</f>
        <v>6</v>
      </c>
      <c r="H222" s="2" t="str">
        <f t="shared" si="8"/>
        <v>2024-09-22</v>
      </c>
      <c r="I222" s="2" t="str">
        <f t="shared" si="9"/>
        <v>03:00</v>
      </c>
    </row>
    <row r="223" spans="1:9" x14ac:dyDescent="0.25">
      <c r="A223" s="12">
        <v>45556</v>
      </c>
      <c r="B223" s="15">
        <v>0.95833333333333337</v>
      </c>
      <c r="C223" s="14" t="s">
        <v>26</v>
      </c>
      <c r="D223" s="13" t="s">
        <v>172</v>
      </c>
      <c r="E223" s="11" t="s">
        <v>23</v>
      </c>
      <c r="F223" s="8">
        <f>(INT(Table_Moldova[[#This Row],[Date]]) - DATE(1970, 1, 1)) * 86400000</f>
        <v>1726876800000</v>
      </c>
      <c r="G223" s="10">
        <f>'GMT Glossary'!$B$2</f>
        <v>6</v>
      </c>
      <c r="H223" s="2" t="str">
        <f t="shared" si="8"/>
        <v>2024-09-22</v>
      </c>
      <c r="I223" s="2" t="str">
        <f t="shared" si="9"/>
        <v>05:00</v>
      </c>
    </row>
    <row r="224" spans="1:9" x14ac:dyDescent="0.25">
      <c r="A224" s="12">
        <v>45557</v>
      </c>
      <c r="B224" s="15">
        <v>4.1666666666666664E-2</v>
      </c>
      <c r="C224" s="14" t="s">
        <v>36</v>
      </c>
      <c r="D224" s="13" t="s">
        <v>47</v>
      </c>
      <c r="E224" s="11" t="s">
        <v>23</v>
      </c>
      <c r="F224" s="8">
        <f>(INT(Table_Moldova[[#This Row],[Date]]) - DATE(1970, 1, 1)) * 86400000</f>
        <v>1726963200000</v>
      </c>
      <c r="G224" s="10">
        <f>'GMT Glossary'!$B$2</f>
        <v>6</v>
      </c>
      <c r="H224" s="2" t="str">
        <f t="shared" si="8"/>
        <v>2024-09-22</v>
      </c>
      <c r="I224" s="2" t="str">
        <f t="shared" si="9"/>
        <v>07:00</v>
      </c>
    </row>
    <row r="225" spans="1:9" x14ac:dyDescent="0.25">
      <c r="A225" s="12">
        <v>45557</v>
      </c>
      <c r="B225" s="15">
        <v>0.125</v>
      </c>
      <c r="C225" s="14" t="s">
        <v>26</v>
      </c>
      <c r="D225" s="13" t="s">
        <v>173</v>
      </c>
      <c r="E225" s="11" t="s">
        <v>23</v>
      </c>
      <c r="F225" s="8">
        <f>(INT(Table_Moldova[[#This Row],[Date]]) - DATE(1970, 1, 1)) * 86400000</f>
        <v>1726963200000</v>
      </c>
      <c r="G225" s="10">
        <f>'GMT Glossary'!$B$2</f>
        <v>6</v>
      </c>
      <c r="H225" s="2" t="str">
        <f t="shared" si="8"/>
        <v>2024-09-22</v>
      </c>
      <c r="I225" s="2" t="str">
        <f t="shared" si="9"/>
        <v>09:00</v>
      </c>
    </row>
    <row r="226" spans="1:9" x14ac:dyDescent="0.25">
      <c r="A226" s="12">
        <v>45557</v>
      </c>
      <c r="B226" s="15">
        <v>0.20833333333333334</v>
      </c>
      <c r="C226" s="14" t="s">
        <v>26</v>
      </c>
      <c r="D226" s="13" t="s">
        <v>174</v>
      </c>
      <c r="E226" s="11" t="s">
        <v>23</v>
      </c>
      <c r="F226" s="8">
        <f>(INT(Table_Moldova[[#This Row],[Date]]) - DATE(1970, 1, 1)) * 86400000</f>
        <v>1726963200000</v>
      </c>
      <c r="G226" s="10">
        <f>'GMT Glossary'!$B$2</f>
        <v>6</v>
      </c>
      <c r="H226" s="2" t="str">
        <f t="shared" si="8"/>
        <v>2024-09-22</v>
      </c>
      <c r="I226" s="2" t="str">
        <f t="shared" si="9"/>
        <v>11:00</v>
      </c>
    </row>
    <row r="227" spans="1:9" x14ac:dyDescent="0.25">
      <c r="A227" s="12">
        <v>45557</v>
      </c>
      <c r="B227" s="15">
        <v>0.29166666666666663</v>
      </c>
      <c r="C227" s="14" t="s">
        <v>26</v>
      </c>
      <c r="D227" s="13" t="s">
        <v>175</v>
      </c>
      <c r="E227" s="11" t="s">
        <v>23</v>
      </c>
      <c r="F227" s="8">
        <f>(INT(Table_Moldova[[#This Row],[Date]]) - DATE(1970, 1, 1)) * 86400000</f>
        <v>1726963200000</v>
      </c>
      <c r="G227" s="10">
        <f>'GMT Glossary'!$B$2</f>
        <v>6</v>
      </c>
      <c r="H227" s="2" t="str">
        <f t="shared" si="8"/>
        <v>2024-09-22</v>
      </c>
      <c r="I227" s="2" t="str">
        <f t="shared" si="9"/>
        <v>13:00</v>
      </c>
    </row>
    <row r="228" spans="1:9" x14ac:dyDescent="0.25">
      <c r="A228" s="12">
        <v>45557</v>
      </c>
      <c r="B228" s="15">
        <v>0.375</v>
      </c>
      <c r="C228" s="14" t="s">
        <v>26</v>
      </c>
      <c r="D228" s="13" t="s">
        <v>176</v>
      </c>
      <c r="E228" s="11" t="s">
        <v>23</v>
      </c>
      <c r="F228" s="8">
        <f>(INT(Table_Moldova[[#This Row],[Date]]) - DATE(1970, 1, 1)) * 86400000</f>
        <v>1726963200000</v>
      </c>
      <c r="G228" s="10">
        <f>'GMT Glossary'!$B$2</f>
        <v>6</v>
      </c>
      <c r="H228" s="2" t="str">
        <f t="shared" si="8"/>
        <v>2024-09-22</v>
      </c>
      <c r="I228" s="2" t="str">
        <f t="shared" si="9"/>
        <v>15:00</v>
      </c>
    </row>
    <row r="229" spans="1:9" x14ac:dyDescent="0.25">
      <c r="A229" s="12">
        <v>45557</v>
      </c>
      <c r="B229" s="15">
        <v>0.45833333333333331</v>
      </c>
      <c r="C229" s="14" t="s">
        <v>26</v>
      </c>
      <c r="D229" s="13" t="s">
        <v>177</v>
      </c>
      <c r="E229" s="11" t="s">
        <v>23</v>
      </c>
      <c r="F229" s="8">
        <f>(INT(Table_Moldova[[#This Row],[Date]]) - DATE(1970, 1, 1)) * 86400000</f>
        <v>1726963200000</v>
      </c>
      <c r="G229" s="10">
        <f>'GMT Glossary'!$B$2</f>
        <v>6</v>
      </c>
      <c r="H229" s="2" t="str">
        <f t="shared" si="8"/>
        <v>2024-09-22</v>
      </c>
      <c r="I229" s="2" t="str">
        <f t="shared" si="9"/>
        <v>17:00</v>
      </c>
    </row>
    <row r="230" spans="1:9" x14ac:dyDescent="0.25">
      <c r="A230" s="12">
        <v>45557</v>
      </c>
      <c r="B230" s="15">
        <v>0.54166666666666663</v>
      </c>
      <c r="C230" s="14" t="s">
        <v>26</v>
      </c>
      <c r="D230" s="13" t="s">
        <v>178</v>
      </c>
      <c r="E230" s="11" t="s">
        <v>23</v>
      </c>
      <c r="F230" s="8">
        <f>(INT(Table_Moldova[[#This Row],[Date]]) - DATE(1970, 1, 1)) * 86400000</f>
        <v>1726963200000</v>
      </c>
      <c r="G230" s="10">
        <f>'GMT Glossary'!$B$2</f>
        <v>6</v>
      </c>
      <c r="H230" s="2" t="str">
        <f t="shared" ref="H230:H261" si="10">TEXT(IF(B230&lt;0, A230+1+((B230+(G230/24))-(INT(B230+(G230/24)))), A230+(B230+(G230/24))), "yyyy-mm-dd")</f>
        <v>2024-09-22</v>
      </c>
      <c r="I230" s="2" t="str">
        <f t="shared" ref="I230:I251" si="11">TEXT(IF(B230&lt;0, A230+1+((B230+(G230/24))-(INT(B230+(G230/24)))), A230+(B230+(G230/24))), "hh:mm")</f>
        <v>19:00</v>
      </c>
    </row>
    <row r="231" spans="1:9" x14ac:dyDescent="0.25">
      <c r="A231" s="12">
        <v>45557</v>
      </c>
      <c r="B231" s="15">
        <v>0.64583333333333337</v>
      </c>
      <c r="C231" s="14" t="s">
        <v>26</v>
      </c>
      <c r="D231" s="13" t="s">
        <v>179</v>
      </c>
      <c r="E231" s="11" t="s">
        <v>23</v>
      </c>
      <c r="F231" s="8">
        <f>(INT(Table_Moldova[[#This Row],[Date]]) - DATE(1970, 1, 1)) * 86400000</f>
        <v>1726963200000</v>
      </c>
      <c r="G231" s="10">
        <f>'GMT Glossary'!$B$2</f>
        <v>6</v>
      </c>
      <c r="H231" s="2" t="str">
        <f t="shared" si="10"/>
        <v>2024-09-22</v>
      </c>
      <c r="I231" s="2" t="str">
        <f t="shared" si="11"/>
        <v>21:30</v>
      </c>
    </row>
    <row r="232" spans="1:9" x14ac:dyDescent="0.25">
      <c r="A232" s="12">
        <v>45557</v>
      </c>
      <c r="B232" s="15">
        <v>0.72916666666666663</v>
      </c>
      <c r="C232" s="14" t="s">
        <v>26</v>
      </c>
      <c r="D232" s="13" t="s">
        <v>180</v>
      </c>
      <c r="E232" s="11" t="s">
        <v>23</v>
      </c>
      <c r="F232" s="8">
        <f>(INT(Table_Moldova[[#This Row],[Date]]) - DATE(1970, 1, 1)) * 86400000</f>
        <v>1726963200000</v>
      </c>
      <c r="G232" s="10">
        <f>'GMT Glossary'!$B$2</f>
        <v>6</v>
      </c>
      <c r="H232" s="2" t="str">
        <f t="shared" si="10"/>
        <v>2024-09-22</v>
      </c>
      <c r="I232" s="2" t="str">
        <f t="shared" si="11"/>
        <v>23:30</v>
      </c>
    </row>
    <row r="233" spans="1:9" x14ac:dyDescent="0.25">
      <c r="A233" s="12">
        <v>45557</v>
      </c>
      <c r="B233" s="15">
        <v>0.79166666666666663</v>
      </c>
      <c r="C233" s="14" t="s">
        <v>26</v>
      </c>
      <c r="D233" s="13" t="s">
        <v>181</v>
      </c>
      <c r="E233" s="11" t="s">
        <v>23</v>
      </c>
      <c r="F233" s="8">
        <f>(INT(Table_Moldova[[#This Row],[Date]]) - DATE(1970, 1, 1)) * 86400000</f>
        <v>1726963200000</v>
      </c>
      <c r="G233" s="10">
        <f>'GMT Glossary'!$B$2</f>
        <v>6</v>
      </c>
      <c r="H233" s="2" t="str">
        <f t="shared" si="10"/>
        <v>2024-09-23</v>
      </c>
      <c r="I233" s="2" t="str">
        <f t="shared" si="11"/>
        <v>01:00</v>
      </c>
    </row>
    <row r="234" spans="1:9" x14ac:dyDescent="0.25">
      <c r="A234" s="12">
        <v>45557</v>
      </c>
      <c r="B234" s="15">
        <v>0.875</v>
      </c>
      <c r="C234" s="14" t="s">
        <v>26</v>
      </c>
      <c r="D234" s="13" t="s">
        <v>182</v>
      </c>
      <c r="E234" s="11" t="s">
        <v>23</v>
      </c>
      <c r="F234" s="8">
        <f>(INT(Table_Moldova[[#This Row],[Date]]) - DATE(1970, 1, 1)) * 86400000</f>
        <v>1726963200000</v>
      </c>
      <c r="G234" s="10">
        <f>'GMT Glossary'!$B$2</f>
        <v>6</v>
      </c>
      <c r="H234" s="2" t="str">
        <f t="shared" si="10"/>
        <v>2024-09-23</v>
      </c>
      <c r="I234" s="2" t="str">
        <f t="shared" si="11"/>
        <v>03:00</v>
      </c>
    </row>
    <row r="235" spans="1:9" x14ac:dyDescent="0.25">
      <c r="A235" s="12">
        <v>45557</v>
      </c>
      <c r="B235" s="15">
        <v>0.95833333333333337</v>
      </c>
      <c r="C235" s="14" t="s">
        <v>26</v>
      </c>
      <c r="D235" s="13" t="s">
        <v>183</v>
      </c>
      <c r="E235" s="11" t="s">
        <v>23</v>
      </c>
      <c r="F235" s="8">
        <f>(INT(Table_Moldova[[#This Row],[Date]]) - DATE(1970, 1, 1)) * 86400000</f>
        <v>1726963200000</v>
      </c>
      <c r="G235" s="10">
        <f>'GMT Glossary'!$B$2</f>
        <v>6</v>
      </c>
      <c r="H235" s="2" t="str">
        <f t="shared" si="10"/>
        <v>2024-09-23</v>
      </c>
      <c r="I235" s="2" t="str">
        <f t="shared" si="11"/>
        <v>05:00</v>
      </c>
    </row>
    <row r="236" spans="1:9" x14ac:dyDescent="0.25">
      <c r="A236" s="12">
        <v>45558</v>
      </c>
      <c r="B236" s="15">
        <v>4.1666666666666664E-2</v>
      </c>
      <c r="C236" s="14" t="s">
        <v>26</v>
      </c>
      <c r="D236" s="13" t="s">
        <v>184</v>
      </c>
      <c r="E236" s="11" t="s">
        <v>23</v>
      </c>
      <c r="F236" s="8">
        <f>(INT(Table_Moldova[[#This Row],[Date]]) - DATE(1970, 1, 1)) * 86400000</f>
        <v>1727049600000</v>
      </c>
      <c r="G236" s="10">
        <f>'GMT Glossary'!$B$2</f>
        <v>6</v>
      </c>
      <c r="H236" s="2" t="str">
        <f t="shared" si="10"/>
        <v>2024-09-23</v>
      </c>
      <c r="I236" s="2" t="str">
        <f t="shared" si="11"/>
        <v>07:00</v>
      </c>
    </row>
    <row r="237" spans="1:9" x14ac:dyDescent="0.25">
      <c r="A237" s="12">
        <v>45558</v>
      </c>
      <c r="B237" s="15">
        <v>0.125</v>
      </c>
      <c r="C237" s="14" t="s">
        <v>26</v>
      </c>
      <c r="D237" s="13" t="s">
        <v>185</v>
      </c>
      <c r="E237" s="11" t="s">
        <v>23</v>
      </c>
      <c r="F237" s="8">
        <f>(INT(Table_Moldova[[#This Row],[Date]]) - DATE(1970, 1, 1)) * 86400000</f>
        <v>1727049600000</v>
      </c>
      <c r="G237" s="10">
        <f>'GMT Glossary'!$B$2</f>
        <v>6</v>
      </c>
      <c r="H237" s="2" t="str">
        <f t="shared" si="10"/>
        <v>2024-09-23</v>
      </c>
      <c r="I237" s="2" t="str">
        <f t="shared" si="11"/>
        <v>09:00</v>
      </c>
    </row>
    <row r="238" spans="1:9" x14ac:dyDescent="0.25">
      <c r="A238" s="12">
        <v>45558</v>
      </c>
      <c r="B238" s="15">
        <v>0.20833333333333334</v>
      </c>
      <c r="C238" s="14" t="s">
        <v>26</v>
      </c>
      <c r="D238" s="13" t="s">
        <v>186</v>
      </c>
      <c r="E238" s="11" t="s">
        <v>23</v>
      </c>
      <c r="F238" s="8">
        <f>(INT(Table_Moldova[[#This Row],[Date]]) - DATE(1970, 1, 1)) * 86400000</f>
        <v>1727049600000</v>
      </c>
      <c r="G238" s="10">
        <f>'GMT Glossary'!$B$2</f>
        <v>6</v>
      </c>
      <c r="H238" s="2" t="str">
        <f t="shared" si="10"/>
        <v>2024-09-23</v>
      </c>
      <c r="I238" s="2" t="str">
        <f t="shared" si="11"/>
        <v>11:00</v>
      </c>
    </row>
    <row r="239" spans="1:9" x14ac:dyDescent="0.25">
      <c r="A239" s="12">
        <v>45558</v>
      </c>
      <c r="B239" s="15">
        <v>0.29166666666666669</v>
      </c>
      <c r="C239" s="14" t="s">
        <v>26</v>
      </c>
      <c r="D239" s="13" t="s">
        <v>187</v>
      </c>
      <c r="E239" s="11" t="s">
        <v>23</v>
      </c>
      <c r="F239" s="8">
        <f>(INT(Table_Moldova[[#This Row],[Date]]) - DATE(1970, 1, 1)) * 86400000</f>
        <v>1727049600000</v>
      </c>
      <c r="G239" s="10">
        <f>'GMT Glossary'!$B$2</f>
        <v>6</v>
      </c>
      <c r="H239" s="2" t="str">
        <f t="shared" si="10"/>
        <v>2024-09-23</v>
      </c>
      <c r="I239" s="2" t="str">
        <f t="shared" si="11"/>
        <v>13:00</v>
      </c>
    </row>
    <row r="240" spans="1:9" x14ac:dyDescent="0.25">
      <c r="A240" s="12">
        <v>45558</v>
      </c>
      <c r="B240" s="15">
        <v>0.375</v>
      </c>
      <c r="C240" s="14" t="s">
        <v>26</v>
      </c>
      <c r="D240" s="13" t="s">
        <v>87</v>
      </c>
      <c r="E240" s="11" t="s">
        <v>23</v>
      </c>
      <c r="F240" s="8">
        <f>(INT(Table_Moldova[[#This Row],[Date]]) - DATE(1970, 1, 1)) * 86400000</f>
        <v>1727049600000</v>
      </c>
      <c r="G240" s="10">
        <f>'GMT Glossary'!$B$2</f>
        <v>6</v>
      </c>
      <c r="H240" s="2" t="str">
        <f t="shared" si="10"/>
        <v>2024-09-23</v>
      </c>
      <c r="I240" s="2" t="str">
        <f t="shared" si="11"/>
        <v>15:00</v>
      </c>
    </row>
    <row r="241" spans="1:9" x14ac:dyDescent="0.25">
      <c r="A241" s="12">
        <v>45558</v>
      </c>
      <c r="B241" s="15">
        <v>0.45833333333333331</v>
      </c>
      <c r="C241" s="14" t="s">
        <v>26</v>
      </c>
      <c r="D241" s="13" t="s">
        <v>188</v>
      </c>
      <c r="E241" s="11" t="s">
        <v>23</v>
      </c>
      <c r="F241" s="8">
        <f>(INT(Table_Moldova[[#This Row],[Date]]) - DATE(1970, 1, 1)) * 86400000</f>
        <v>1727049600000</v>
      </c>
      <c r="G241" s="10">
        <f>'GMT Glossary'!$B$2</f>
        <v>6</v>
      </c>
      <c r="H241" s="2" t="str">
        <f t="shared" si="10"/>
        <v>2024-09-23</v>
      </c>
      <c r="I241" s="2" t="str">
        <f t="shared" si="11"/>
        <v>17:00</v>
      </c>
    </row>
    <row r="242" spans="1:9" x14ac:dyDescent="0.25">
      <c r="A242" s="12">
        <v>45558</v>
      </c>
      <c r="B242" s="15">
        <v>0.54166666666666663</v>
      </c>
      <c r="C242" s="14" t="s">
        <v>26</v>
      </c>
      <c r="D242" s="13" t="s">
        <v>189</v>
      </c>
      <c r="E242" s="11" t="s">
        <v>23</v>
      </c>
      <c r="F242" s="8">
        <f>(INT(Table_Moldova[[#This Row],[Date]]) - DATE(1970, 1, 1)) * 86400000</f>
        <v>1727049600000</v>
      </c>
      <c r="G242" s="10">
        <f>'GMT Glossary'!$B$2</f>
        <v>6</v>
      </c>
      <c r="H242" s="2" t="str">
        <f t="shared" si="10"/>
        <v>2024-09-23</v>
      </c>
      <c r="I242" s="2" t="str">
        <f t="shared" si="11"/>
        <v>19:00</v>
      </c>
    </row>
    <row r="243" spans="1:9" x14ac:dyDescent="0.25">
      <c r="A243" s="12">
        <v>45558</v>
      </c>
      <c r="B243" s="15">
        <v>0.625</v>
      </c>
      <c r="C243" s="14" t="s">
        <v>26</v>
      </c>
      <c r="D243" s="13" t="s">
        <v>190</v>
      </c>
      <c r="E243" s="11" t="s">
        <v>23</v>
      </c>
      <c r="F243" s="8">
        <f>(INT(Table_Moldova[[#This Row],[Date]]) - DATE(1970, 1, 1)) * 86400000</f>
        <v>1727049600000</v>
      </c>
      <c r="G243" s="10">
        <f>'GMT Glossary'!$B$2</f>
        <v>6</v>
      </c>
      <c r="H243" s="2" t="str">
        <f t="shared" si="10"/>
        <v>2024-09-23</v>
      </c>
      <c r="I243" s="2" t="str">
        <f t="shared" si="11"/>
        <v>21:00</v>
      </c>
    </row>
    <row r="244" spans="1:9" x14ac:dyDescent="0.25">
      <c r="A244" s="12">
        <v>45558</v>
      </c>
      <c r="B244" s="15">
        <v>0.70833333333333337</v>
      </c>
      <c r="C244" s="14" t="s">
        <v>26</v>
      </c>
      <c r="D244" s="13" t="s">
        <v>94</v>
      </c>
      <c r="E244" s="11" t="s">
        <v>23</v>
      </c>
      <c r="F244" s="8">
        <f>(INT(Table_Moldova[[#This Row],[Date]]) - DATE(1970, 1, 1)) * 86400000</f>
        <v>1727049600000</v>
      </c>
      <c r="G244" s="10">
        <f>'GMT Glossary'!$B$2</f>
        <v>6</v>
      </c>
      <c r="H244" s="2" t="str">
        <f t="shared" si="10"/>
        <v>2024-09-23</v>
      </c>
      <c r="I244" s="2" t="str">
        <f t="shared" si="11"/>
        <v>23:00</v>
      </c>
    </row>
    <row r="245" spans="1:9" x14ac:dyDescent="0.25">
      <c r="A245" s="12">
        <v>45558</v>
      </c>
      <c r="B245" s="15">
        <v>0.79166666666666663</v>
      </c>
      <c r="C245" s="14" t="s">
        <v>26</v>
      </c>
      <c r="D245" s="13" t="s">
        <v>191</v>
      </c>
      <c r="E245" s="11" t="s">
        <v>23</v>
      </c>
      <c r="F245" s="8">
        <f>(INT(Table_Moldova[[#This Row],[Date]]) - DATE(1970, 1, 1)) * 86400000</f>
        <v>1727049600000</v>
      </c>
      <c r="G245" s="10">
        <f>'GMT Glossary'!$B$2</f>
        <v>6</v>
      </c>
      <c r="H245" s="2" t="str">
        <f t="shared" si="10"/>
        <v>2024-09-24</v>
      </c>
      <c r="I245" s="2" t="str">
        <f t="shared" si="11"/>
        <v>01:00</v>
      </c>
    </row>
    <row r="246" spans="1:9" x14ac:dyDescent="0.25">
      <c r="A246" s="12">
        <v>45558</v>
      </c>
      <c r="B246" s="15">
        <v>0.875</v>
      </c>
      <c r="C246" s="14" t="s">
        <v>26</v>
      </c>
      <c r="D246" s="13" t="s">
        <v>129</v>
      </c>
      <c r="E246" s="11" t="s">
        <v>23</v>
      </c>
      <c r="F246" s="8">
        <f>(INT(Table_Moldova[[#This Row],[Date]]) - DATE(1970, 1, 1)) * 86400000</f>
        <v>1727049600000</v>
      </c>
      <c r="G246" s="10">
        <f>'GMT Glossary'!$B$2</f>
        <v>6</v>
      </c>
      <c r="H246" s="2" t="str">
        <f t="shared" si="10"/>
        <v>2024-09-24</v>
      </c>
      <c r="I246" s="2" t="str">
        <f t="shared" si="11"/>
        <v>03:00</v>
      </c>
    </row>
    <row r="247" spans="1:9" x14ac:dyDescent="0.25">
      <c r="A247" s="12">
        <v>45558</v>
      </c>
      <c r="B247" s="15">
        <v>0.95833333333333337</v>
      </c>
      <c r="C247" s="14" t="s">
        <v>26</v>
      </c>
      <c r="D247" s="13" t="s">
        <v>192</v>
      </c>
      <c r="E247" s="11" t="s">
        <v>23</v>
      </c>
      <c r="F247" s="8">
        <f>(INT(Table_Moldova[[#This Row],[Date]]) - DATE(1970, 1, 1)) * 86400000</f>
        <v>1727049600000</v>
      </c>
      <c r="G247" s="10">
        <f>'GMT Glossary'!$B$2</f>
        <v>6</v>
      </c>
      <c r="H247" s="2" t="str">
        <f t="shared" si="10"/>
        <v>2024-09-24</v>
      </c>
      <c r="I247" s="2" t="str">
        <f t="shared" si="11"/>
        <v>05:00</v>
      </c>
    </row>
    <row r="248" spans="1:9" x14ac:dyDescent="0.25">
      <c r="A248" s="12">
        <v>45559</v>
      </c>
      <c r="B248" s="15">
        <v>4.1666666666666664E-2</v>
      </c>
      <c r="C248" s="14" t="s">
        <v>26</v>
      </c>
      <c r="D248" s="13" t="s">
        <v>193</v>
      </c>
      <c r="E248" s="11" t="s">
        <v>23</v>
      </c>
      <c r="F248" s="8">
        <f>(INT(Table_Moldova[[#This Row],[Date]]) - DATE(1970, 1, 1)) * 86400000</f>
        <v>1727136000000</v>
      </c>
      <c r="G248" s="10">
        <f>'GMT Glossary'!$B$2</f>
        <v>6</v>
      </c>
      <c r="H248" s="2" t="str">
        <f t="shared" si="10"/>
        <v>2024-09-24</v>
      </c>
      <c r="I248" s="2" t="str">
        <f t="shared" si="11"/>
        <v>07:00</v>
      </c>
    </row>
    <row r="249" spans="1:9" x14ac:dyDescent="0.25">
      <c r="A249" s="12">
        <v>45559</v>
      </c>
      <c r="B249" s="15">
        <v>0.125</v>
      </c>
      <c r="C249" s="14" t="s">
        <v>26</v>
      </c>
      <c r="D249" s="13" t="s">
        <v>194</v>
      </c>
      <c r="E249" s="11" t="s">
        <v>23</v>
      </c>
      <c r="F249" s="8">
        <f>(INT(Table_Moldova[[#This Row],[Date]]) - DATE(1970, 1, 1)) * 86400000</f>
        <v>1727136000000</v>
      </c>
      <c r="G249" s="10">
        <f>'GMT Glossary'!$B$2</f>
        <v>6</v>
      </c>
      <c r="H249" s="2" t="str">
        <f t="shared" si="10"/>
        <v>2024-09-24</v>
      </c>
      <c r="I249" s="2" t="str">
        <f t="shared" si="11"/>
        <v>09:00</v>
      </c>
    </row>
    <row r="250" spans="1:9" x14ac:dyDescent="0.25">
      <c r="A250" s="12">
        <v>45559</v>
      </c>
      <c r="B250" s="15">
        <v>0.20833333333333334</v>
      </c>
      <c r="C250" s="14" t="s">
        <v>26</v>
      </c>
      <c r="D250" s="13" t="s">
        <v>91</v>
      </c>
      <c r="E250" s="11" t="s">
        <v>23</v>
      </c>
      <c r="F250" s="8">
        <f>(INT(Table_Moldova[[#This Row],[Date]]) - DATE(1970, 1, 1)) * 86400000</f>
        <v>1727136000000</v>
      </c>
      <c r="G250" s="10">
        <f>'GMT Glossary'!$B$2</f>
        <v>6</v>
      </c>
      <c r="H250" s="2" t="str">
        <f t="shared" si="10"/>
        <v>2024-09-24</v>
      </c>
      <c r="I250" s="2" t="str">
        <f t="shared" si="11"/>
        <v>11:00</v>
      </c>
    </row>
    <row r="251" spans="1:9" x14ac:dyDescent="0.25">
      <c r="A251" s="12">
        <v>45559</v>
      </c>
      <c r="B251" s="15">
        <v>0.29166666666666669</v>
      </c>
      <c r="C251" s="14" t="s">
        <v>26</v>
      </c>
      <c r="D251" s="13" t="s">
        <v>195</v>
      </c>
      <c r="E251" s="11" t="s">
        <v>23</v>
      </c>
      <c r="F251" s="8">
        <f>(INT(Table_Moldova[[#This Row],[Date]]) - DATE(1970, 1, 1)) * 86400000</f>
        <v>1727136000000</v>
      </c>
      <c r="G251" s="10">
        <f>'GMT Glossary'!$B$2</f>
        <v>6</v>
      </c>
      <c r="H251" s="2" t="str">
        <f t="shared" si="10"/>
        <v>2024-09-24</v>
      </c>
      <c r="I251" s="2" t="str">
        <f t="shared" si="11"/>
        <v>13:00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40F0B-1A06-4A9F-97C3-85886513079F}">
  <dimension ref="A1:I165"/>
  <sheetViews>
    <sheetView topLeftCell="A150" workbookViewId="0">
      <selection activeCell="F161" sqref="F161"/>
    </sheetView>
  </sheetViews>
  <sheetFormatPr defaultRowHeight="15" x14ac:dyDescent="0.25"/>
  <cols>
    <col min="4" max="4" width="81.5703125" customWidth="1"/>
    <col min="5" max="5" width="55.140625" customWidth="1"/>
    <col min="6" max="6" width="26.28515625" style="8" customWidth="1"/>
    <col min="8" max="8" width="42.28515625" customWidth="1"/>
    <col min="9" max="9" width="40.5703125" customWidth="1"/>
  </cols>
  <sheetData>
    <row r="1" spans="1:9" x14ac:dyDescent="0.25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19</v>
      </c>
      <c r="I1" t="s">
        <v>7</v>
      </c>
    </row>
    <row r="2" spans="1:9" x14ac:dyDescent="0.25">
      <c r="A2" s="17">
        <v>45552</v>
      </c>
      <c r="B2" s="16">
        <v>0.375</v>
      </c>
      <c r="C2" s="18" t="s">
        <v>26</v>
      </c>
      <c r="D2" s="34" t="s">
        <v>58</v>
      </c>
      <c r="E2" s="41" t="s">
        <v>20</v>
      </c>
      <c r="F2" s="8">
        <f>(INT(Table_Uzbekistan[[#This Row],[Date]]) - DATE(1970, 1, 1)) * 86400000</f>
        <v>1726531200000</v>
      </c>
      <c r="G2" s="10">
        <f>'GMT Glossary'!$B$6</f>
        <v>5</v>
      </c>
      <c r="H2" s="2" t="str">
        <f t="shared" ref="H2:H33" si="0">TEXT(IF(B2&lt;0, A2+1+((B2+(G2/24))-(INT(B2+(G2/24)))), A2+(B2+(G2/24))), "yyyy-mm-dd")</f>
        <v>2024-09-17</v>
      </c>
      <c r="I2" s="2" t="str">
        <f t="shared" ref="I2:I33" si="1">TEXT(IF(B2&lt;0, A2+1+((B2+(G2/24))-(INT(B2+(G2/24)))), A2+(B2+(G2/24))), "hh:mm")</f>
        <v>14:00</v>
      </c>
    </row>
    <row r="3" spans="1:9" x14ac:dyDescent="0.25">
      <c r="A3" s="17">
        <v>45552</v>
      </c>
      <c r="B3" s="16">
        <v>0.45833333333333331</v>
      </c>
      <c r="C3" s="18" t="s">
        <v>26</v>
      </c>
      <c r="D3" s="34" t="s">
        <v>59</v>
      </c>
      <c r="E3" s="41" t="s">
        <v>20</v>
      </c>
      <c r="F3" s="8">
        <f>(INT(Table_Uzbekistan[[#This Row],[Date]]) - DATE(1970, 1, 1)) * 86400000</f>
        <v>1726531200000</v>
      </c>
      <c r="G3" s="10">
        <f>'GMT Glossary'!$B$6</f>
        <v>5</v>
      </c>
      <c r="H3" s="2" t="str">
        <f t="shared" si="0"/>
        <v>2024-09-17</v>
      </c>
      <c r="I3" s="2" t="str">
        <f t="shared" si="1"/>
        <v>16:00</v>
      </c>
    </row>
    <row r="4" spans="1:9" x14ac:dyDescent="0.25">
      <c r="A4" s="17">
        <v>45552</v>
      </c>
      <c r="B4" s="16">
        <v>0.54166666666666663</v>
      </c>
      <c r="C4" s="18" t="s">
        <v>26</v>
      </c>
      <c r="D4" s="34" t="s">
        <v>60</v>
      </c>
      <c r="E4" s="41" t="s">
        <v>20</v>
      </c>
      <c r="F4" s="8">
        <f>(INT(Table_Uzbekistan[[#This Row],[Date]]) - DATE(1970, 1, 1)) * 86400000</f>
        <v>1726531200000</v>
      </c>
      <c r="G4" s="10">
        <f>'GMT Glossary'!$B$6</f>
        <v>5</v>
      </c>
      <c r="H4" s="2" t="str">
        <f t="shared" si="0"/>
        <v>2024-09-17</v>
      </c>
      <c r="I4" s="2" t="str">
        <f t="shared" si="1"/>
        <v>18:00</v>
      </c>
    </row>
    <row r="5" spans="1:9" x14ac:dyDescent="0.25">
      <c r="A5" s="17">
        <v>45552</v>
      </c>
      <c r="B5" s="16">
        <v>0.625</v>
      </c>
      <c r="C5" s="18" t="s">
        <v>26</v>
      </c>
      <c r="D5" s="34" t="s">
        <v>33</v>
      </c>
      <c r="E5" s="41" t="s">
        <v>20</v>
      </c>
      <c r="F5" s="8">
        <f>(INT(Table_Uzbekistan[[#This Row],[Date]]) - DATE(1970, 1, 1)) * 86400000</f>
        <v>1726531200000</v>
      </c>
      <c r="G5" s="10">
        <f>'GMT Glossary'!$B$6</f>
        <v>5</v>
      </c>
      <c r="H5" s="2" t="str">
        <f t="shared" si="0"/>
        <v>2024-09-17</v>
      </c>
      <c r="I5" s="2" t="str">
        <f t="shared" si="1"/>
        <v>20:00</v>
      </c>
    </row>
    <row r="6" spans="1:9" x14ac:dyDescent="0.25">
      <c r="A6" s="17">
        <v>45552</v>
      </c>
      <c r="B6" s="16">
        <v>0.70833333333333337</v>
      </c>
      <c r="C6" s="18" t="s">
        <v>26</v>
      </c>
      <c r="D6" s="34" t="s">
        <v>34</v>
      </c>
      <c r="E6" s="41" t="s">
        <v>20</v>
      </c>
      <c r="F6" s="8">
        <f>(INT(Table_Uzbekistan[[#This Row],[Date]]) - DATE(1970, 1, 1)) * 86400000</f>
        <v>1726531200000</v>
      </c>
      <c r="G6" s="10">
        <f>'GMT Glossary'!$B$6</f>
        <v>5</v>
      </c>
      <c r="H6" s="2" t="str">
        <f t="shared" si="0"/>
        <v>2024-09-17</v>
      </c>
      <c r="I6" s="2" t="str">
        <f t="shared" si="1"/>
        <v>22:00</v>
      </c>
    </row>
    <row r="7" spans="1:9" x14ac:dyDescent="0.25">
      <c r="A7" s="17">
        <v>45552</v>
      </c>
      <c r="B7" s="16">
        <v>0.79166666666666663</v>
      </c>
      <c r="C7" s="18" t="s">
        <v>26</v>
      </c>
      <c r="D7" s="33" t="s">
        <v>61</v>
      </c>
      <c r="E7" s="41" t="s">
        <v>20</v>
      </c>
      <c r="F7" s="8">
        <f>(INT(Table_Uzbekistan[[#This Row],[Date]]) - DATE(1970, 1, 1)) * 86400000</f>
        <v>1726531200000</v>
      </c>
      <c r="G7" s="10">
        <f>'GMT Glossary'!$B$6</f>
        <v>5</v>
      </c>
      <c r="H7" s="2" t="str">
        <f t="shared" si="0"/>
        <v>2024-09-18</v>
      </c>
      <c r="I7" s="2" t="str">
        <f t="shared" si="1"/>
        <v>00:00</v>
      </c>
    </row>
    <row r="8" spans="1:9" x14ac:dyDescent="0.25">
      <c r="A8" s="17">
        <v>45552</v>
      </c>
      <c r="B8" s="16">
        <v>0.875</v>
      </c>
      <c r="C8" s="18" t="s">
        <v>26</v>
      </c>
      <c r="D8" s="34" t="s">
        <v>62</v>
      </c>
      <c r="E8" s="41" t="s">
        <v>20</v>
      </c>
      <c r="F8" s="8">
        <f>(INT(Table_Uzbekistan[[#This Row],[Date]]) - DATE(1970, 1, 1)) * 86400000</f>
        <v>1726531200000</v>
      </c>
      <c r="G8" s="10">
        <f>'GMT Glossary'!$B$6</f>
        <v>5</v>
      </c>
      <c r="H8" s="2" t="str">
        <f t="shared" si="0"/>
        <v>2024-09-18</v>
      </c>
      <c r="I8" s="2" t="str">
        <f t="shared" si="1"/>
        <v>02:00</v>
      </c>
    </row>
    <row r="9" spans="1:9" x14ac:dyDescent="0.25">
      <c r="A9" s="17">
        <v>45552</v>
      </c>
      <c r="B9" s="16">
        <v>0.95833333333333337</v>
      </c>
      <c r="C9" s="18" t="s">
        <v>26</v>
      </c>
      <c r="D9" s="34" t="s">
        <v>56</v>
      </c>
      <c r="E9" s="41" t="s">
        <v>20</v>
      </c>
      <c r="F9" s="8">
        <f>(INT(Table_Uzbekistan[[#This Row],[Date]]) - DATE(1970, 1, 1)) * 86400000</f>
        <v>1726531200000</v>
      </c>
      <c r="G9" s="10">
        <f>'GMT Glossary'!$B$6</f>
        <v>5</v>
      </c>
      <c r="H9" s="2" t="str">
        <f t="shared" si="0"/>
        <v>2024-09-18</v>
      </c>
      <c r="I9" s="2" t="str">
        <f t="shared" si="1"/>
        <v>04:00</v>
      </c>
    </row>
    <row r="10" spans="1:9" x14ac:dyDescent="0.25">
      <c r="A10" s="17">
        <v>45553</v>
      </c>
      <c r="B10" s="16">
        <v>4.1666666666666664E-2</v>
      </c>
      <c r="C10" s="18" t="s">
        <v>26</v>
      </c>
      <c r="D10" s="34" t="s">
        <v>29</v>
      </c>
      <c r="E10" s="41" t="s">
        <v>20</v>
      </c>
      <c r="F10" s="8">
        <f>(INT(Table_Uzbekistan[[#This Row],[Date]]) - DATE(1970, 1, 1)) * 86400000</f>
        <v>1726617600000</v>
      </c>
      <c r="G10" s="10">
        <f>'GMT Glossary'!$B$6</f>
        <v>5</v>
      </c>
      <c r="H10" s="2" t="str">
        <f t="shared" si="0"/>
        <v>2024-09-18</v>
      </c>
      <c r="I10" s="2" t="str">
        <f t="shared" si="1"/>
        <v>06:00</v>
      </c>
    </row>
    <row r="11" spans="1:9" x14ac:dyDescent="0.25">
      <c r="A11" s="17">
        <v>45553</v>
      </c>
      <c r="B11" s="16">
        <v>0.125</v>
      </c>
      <c r="C11" s="18" t="s">
        <v>26</v>
      </c>
      <c r="D11" s="34" t="s">
        <v>32</v>
      </c>
      <c r="E11" s="41" t="s">
        <v>20</v>
      </c>
      <c r="F11" s="8">
        <f>(INT(Table_Uzbekistan[[#This Row],[Date]]) - DATE(1970, 1, 1)) * 86400000</f>
        <v>1726617600000</v>
      </c>
      <c r="G11" s="10">
        <f>'GMT Glossary'!$B$6</f>
        <v>5</v>
      </c>
      <c r="H11" s="2" t="str">
        <f t="shared" si="0"/>
        <v>2024-09-18</v>
      </c>
      <c r="I11" s="2" t="str">
        <f t="shared" si="1"/>
        <v>08:00</v>
      </c>
    </row>
    <row r="12" spans="1:9" x14ac:dyDescent="0.25">
      <c r="A12" s="17">
        <v>45553</v>
      </c>
      <c r="B12" s="16">
        <v>0.20833333333333334</v>
      </c>
      <c r="C12" s="18" t="s">
        <v>26</v>
      </c>
      <c r="D12" s="34" t="s">
        <v>35</v>
      </c>
      <c r="E12" s="41" t="s">
        <v>20</v>
      </c>
      <c r="F12" s="8">
        <f>(INT(Table_Uzbekistan[[#This Row],[Date]]) - DATE(1970, 1, 1)) * 86400000</f>
        <v>1726617600000</v>
      </c>
      <c r="G12" s="10">
        <f>'GMT Glossary'!$B$6</f>
        <v>5</v>
      </c>
      <c r="H12" s="2" t="str">
        <f t="shared" si="0"/>
        <v>2024-09-18</v>
      </c>
      <c r="I12" s="2" t="str">
        <f t="shared" si="1"/>
        <v>10:00</v>
      </c>
    </row>
    <row r="13" spans="1:9" x14ac:dyDescent="0.25">
      <c r="A13" s="17">
        <v>45553</v>
      </c>
      <c r="B13" s="16">
        <v>0.29166666666666669</v>
      </c>
      <c r="C13" s="18" t="s">
        <v>26</v>
      </c>
      <c r="D13" s="34" t="s">
        <v>63</v>
      </c>
      <c r="E13" s="41" t="s">
        <v>20</v>
      </c>
      <c r="F13" s="8">
        <f>(INT(Table_Uzbekistan[[#This Row],[Date]]) - DATE(1970, 1, 1)) * 86400000</f>
        <v>1726617600000</v>
      </c>
      <c r="G13" s="10">
        <f>'GMT Glossary'!$B$6</f>
        <v>5</v>
      </c>
      <c r="H13" s="2" t="str">
        <f t="shared" si="0"/>
        <v>2024-09-18</v>
      </c>
      <c r="I13" s="2" t="str">
        <f t="shared" si="1"/>
        <v>12:00</v>
      </c>
    </row>
    <row r="14" spans="1:9" x14ac:dyDescent="0.25">
      <c r="A14" s="17">
        <v>45553</v>
      </c>
      <c r="B14" s="16">
        <v>0.375</v>
      </c>
      <c r="C14" s="18" t="s">
        <v>26</v>
      </c>
      <c r="D14" s="34" t="s">
        <v>64</v>
      </c>
      <c r="E14" s="41" t="s">
        <v>20</v>
      </c>
      <c r="F14" s="8">
        <f>(INT(Table_Uzbekistan[[#This Row],[Date]]) - DATE(1970, 1, 1)) * 86400000</f>
        <v>1726617600000</v>
      </c>
      <c r="G14" s="10">
        <f>'GMT Glossary'!$B$6</f>
        <v>5</v>
      </c>
      <c r="H14" s="2" t="str">
        <f t="shared" si="0"/>
        <v>2024-09-18</v>
      </c>
      <c r="I14" s="2" t="str">
        <f t="shared" si="1"/>
        <v>14:00</v>
      </c>
    </row>
    <row r="15" spans="1:9" x14ac:dyDescent="0.25">
      <c r="A15" s="17">
        <v>45553</v>
      </c>
      <c r="B15" s="16">
        <v>0.41666666666666669</v>
      </c>
      <c r="C15" s="18" t="s">
        <v>26</v>
      </c>
      <c r="D15" s="34" t="s">
        <v>65</v>
      </c>
      <c r="E15" s="41" t="s">
        <v>20</v>
      </c>
      <c r="F15" s="8">
        <f>(INT(Table_Uzbekistan[[#This Row],[Date]]) - DATE(1970, 1, 1)) * 86400000</f>
        <v>1726617600000</v>
      </c>
      <c r="G15" s="10">
        <f>'GMT Glossary'!$B$6</f>
        <v>5</v>
      </c>
      <c r="H15" s="2" t="str">
        <f t="shared" si="0"/>
        <v>2024-09-18</v>
      </c>
      <c r="I15" s="2" t="str">
        <f t="shared" si="1"/>
        <v>15:00</v>
      </c>
    </row>
    <row r="16" spans="1:9" x14ac:dyDescent="0.25">
      <c r="A16" s="17">
        <v>45553</v>
      </c>
      <c r="B16" s="16">
        <v>0.45833333333333331</v>
      </c>
      <c r="C16" s="18" t="s">
        <v>26</v>
      </c>
      <c r="D16" s="34" t="s">
        <v>66</v>
      </c>
      <c r="E16" s="41" t="s">
        <v>20</v>
      </c>
      <c r="F16" s="8">
        <f>(INT(Table_Uzbekistan[[#This Row],[Date]]) - DATE(1970, 1, 1)) * 86400000</f>
        <v>1726617600000</v>
      </c>
      <c r="G16" s="10">
        <f>'GMT Glossary'!$B$6</f>
        <v>5</v>
      </c>
      <c r="H16" s="2" t="str">
        <f t="shared" si="0"/>
        <v>2024-09-18</v>
      </c>
      <c r="I16" s="2" t="str">
        <f t="shared" si="1"/>
        <v>16:00</v>
      </c>
    </row>
    <row r="17" spans="1:9" x14ac:dyDescent="0.25">
      <c r="A17" s="17">
        <v>45553</v>
      </c>
      <c r="B17" s="16">
        <v>0.5</v>
      </c>
      <c r="C17" s="18" t="s">
        <v>26</v>
      </c>
      <c r="D17" s="34" t="s">
        <v>67</v>
      </c>
      <c r="E17" s="41" t="s">
        <v>20</v>
      </c>
      <c r="F17" s="8">
        <f>(INT(Table_Uzbekistan[[#This Row],[Date]]) - DATE(1970, 1, 1)) * 86400000</f>
        <v>1726617600000</v>
      </c>
      <c r="G17" s="10">
        <f>'GMT Glossary'!$B$6</f>
        <v>5</v>
      </c>
      <c r="H17" s="2" t="str">
        <f t="shared" si="0"/>
        <v>2024-09-18</v>
      </c>
      <c r="I17" s="2" t="str">
        <f t="shared" si="1"/>
        <v>17:00</v>
      </c>
    </row>
    <row r="18" spans="1:9" x14ac:dyDescent="0.25">
      <c r="A18" s="17">
        <v>45553</v>
      </c>
      <c r="B18" s="16">
        <v>0.54166666666666663</v>
      </c>
      <c r="C18" s="18" t="s">
        <v>26</v>
      </c>
      <c r="D18" s="34" t="s">
        <v>68</v>
      </c>
      <c r="E18" s="41" t="s">
        <v>20</v>
      </c>
      <c r="F18" s="8">
        <f>(INT(Table_Uzbekistan[[#This Row],[Date]]) - DATE(1970, 1, 1)) * 86400000</f>
        <v>1726617600000</v>
      </c>
      <c r="G18" s="10">
        <f>'GMT Glossary'!$B$6</f>
        <v>5</v>
      </c>
      <c r="H18" s="2" t="str">
        <f t="shared" si="0"/>
        <v>2024-09-18</v>
      </c>
      <c r="I18" s="2" t="str">
        <f t="shared" si="1"/>
        <v>18:00</v>
      </c>
    </row>
    <row r="19" spans="1:9" x14ac:dyDescent="0.25">
      <c r="A19" s="17">
        <v>45553</v>
      </c>
      <c r="B19" s="16">
        <v>0.625</v>
      </c>
      <c r="C19" s="18" t="s">
        <v>26</v>
      </c>
      <c r="D19" s="34" t="s">
        <v>29</v>
      </c>
      <c r="E19" s="41" t="s">
        <v>20</v>
      </c>
      <c r="F19" s="8">
        <f>(INT(Table_Uzbekistan[[#This Row],[Date]]) - DATE(1970, 1, 1)) * 86400000</f>
        <v>1726617600000</v>
      </c>
      <c r="G19" s="10">
        <f>'GMT Glossary'!$B$6</f>
        <v>5</v>
      </c>
      <c r="H19" s="2" t="str">
        <f t="shared" si="0"/>
        <v>2024-09-18</v>
      </c>
      <c r="I19" s="2" t="str">
        <f t="shared" si="1"/>
        <v>20:00</v>
      </c>
    </row>
    <row r="20" spans="1:9" x14ac:dyDescent="0.25">
      <c r="A20" s="17">
        <v>45553</v>
      </c>
      <c r="B20" s="16">
        <v>0.70833333333333337</v>
      </c>
      <c r="C20" s="18" t="s">
        <v>26</v>
      </c>
      <c r="D20" s="34" t="s">
        <v>69</v>
      </c>
      <c r="E20" s="41" t="s">
        <v>20</v>
      </c>
      <c r="F20" s="8">
        <f>(INT(Table_Uzbekistan[[#This Row],[Date]]) - DATE(1970, 1, 1)) * 86400000</f>
        <v>1726617600000</v>
      </c>
      <c r="G20" s="10">
        <f>'GMT Glossary'!$B$6</f>
        <v>5</v>
      </c>
      <c r="H20" s="2" t="str">
        <f t="shared" si="0"/>
        <v>2024-09-18</v>
      </c>
      <c r="I20" s="2" t="str">
        <f t="shared" si="1"/>
        <v>22:00</v>
      </c>
    </row>
    <row r="21" spans="1:9" x14ac:dyDescent="0.25">
      <c r="A21" s="17">
        <v>45553</v>
      </c>
      <c r="B21" s="16">
        <v>0.79166666666666663</v>
      </c>
      <c r="C21" s="18" t="s">
        <v>26</v>
      </c>
      <c r="D21" s="33" t="s">
        <v>70</v>
      </c>
      <c r="E21" s="41" t="s">
        <v>20</v>
      </c>
      <c r="F21" s="8">
        <f>(INT(Table_Uzbekistan[[#This Row],[Date]]) - DATE(1970, 1, 1)) * 86400000</f>
        <v>1726617600000</v>
      </c>
      <c r="G21" s="10">
        <f>'GMT Glossary'!$B$6</f>
        <v>5</v>
      </c>
      <c r="H21" s="2" t="str">
        <f t="shared" si="0"/>
        <v>2024-09-19</v>
      </c>
      <c r="I21" s="2" t="str">
        <f t="shared" si="1"/>
        <v>00:00</v>
      </c>
    </row>
    <row r="22" spans="1:9" x14ac:dyDescent="0.25">
      <c r="A22" s="17">
        <v>45553</v>
      </c>
      <c r="B22" s="16">
        <v>0.875</v>
      </c>
      <c r="C22" s="18" t="s">
        <v>26</v>
      </c>
      <c r="D22" s="34" t="s">
        <v>71</v>
      </c>
      <c r="E22" s="41" t="s">
        <v>20</v>
      </c>
      <c r="F22" s="8">
        <f>(INT(Table_Uzbekistan[[#This Row],[Date]]) - DATE(1970, 1, 1)) * 86400000</f>
        <v>1726617600000</v>
      </c>
      <c r="G22" s="10">
        <f>'GMT Glossary'!$B$6</f>
        <v>5</v>
      </c>
      <c r="H22" s="2" t="str">
        <f t="shared" si="0"/>
        <v>2024-09-19</v>
      </c>
      <c r="I22" s="2" t="str">
        <f t="shared" si="1"/>
        <v>02:00</v>
      </c>
    </row>
    <row r="23" spans="1:9" x14ac:dyDescent="0.25">
      <c r="A23" s="17">
        <v>45553</v>
      </c>
      <c r="B23" s="16">
        <v>0.95833333333333337</v>
      </c>
      <c r="C23" s="18" t="s">
        <v>26</v>
      </c>
      <c r="D23" s="34" t="s">
        <v>28</v>
      </c>
      <c r="E23" s="41" t="s">
        <v>20</v>
      </c>
      <c r="F23" s="8">
        <f>(INT(Table_Uzbekistan[[#This Row],[Date]]) - DATE(1970, 1, 1)) * 86400000</f>
        <v>1726617600000</v>
      </c>
      <c r="G23" s="10">
        <f>'GMT Glossary'!$B$6</f>
        <v>5</v>
      </c>
      <c r="H23" s="2" t="str">
        <f t="shared" si="0"/>
        <v>2024-09-19</v>
      </c>
      <c r="I23" s="2" t="str">
        <f t="shared" si="1"/>
        <v>04:00</v>
      </c>
    </row>
    <row r="24" spans="1:9" x14ac:dyDescent="0.25">
      <c r="A24" s="17">
        <v>45553</v>
      </c>
      <c r="B24" s="16">
        <v>4.1666666666666664E-2</v>
      </c>
      <c r="C24" s="18" t="s">
        <v>26</v>
      </c>
      <c r="D24" s="34" t="s">
        <v>30</v>
      </c>
      <c r="E24" s="41" t="s">
        <v>20</v>
      </c>
      <c r="F24" s="8">
        <f>(INT(Table_Uzbekistan[[#This Row],[Date]]) - DATE(1970, 1, 1)) * 86400000</f>
        <v>1726617600000</v>
      </c>
      <c r="G24" s="10">
        <f>'GMT Glossary'!$B$6</f>
        <v>5</v>
      </c>
      <c r="H24" s="2" t="str">
        <f t="shared" si="0"/>
        <v>2024-09-18</v>
      </c>
      <c r="I24" s="2" t="str">
        <f t="shared" si="1"/>
        <v>06:00</v>
      </c>
    </row>
    <row r="25" spans="1:9" x14ac:dyDescent="0.25">
      <c r="A25" s="17">
        <v>45554</v>
      </c>
      <c r="B25" s="16">
        <v>0.125</v>
      </c>
      <c r="C25" s="18" t="s">
        <v>26</v>
      </c>
      <c r="D25" s="34" t="s">
        <v>58</v>
      </c>
      <c r="E25" s="41" t="s">
        <v>20</v>
      </c>
      <c r="F25" s="8">
        <f>(INT(Table_Uzbekistan[[#This Row],[Date]]) - DATE(1970, 1, 1)) * 86400000</f>
        <v>1726704000000</v>
      </c>
      <c r="G25" s="10">
        <f>'GMT Glossary'!$B$6</f>
        <v>5</v>
      </c>
      <c r="H25" s="2" t="str">
        <f t="shared" si="0"/>
        <v>2024-09-19</v>
      </c>
      <c r="I25" s="2" t="str">
        <f t="shared" si="1"/>
        <v>08:00</v>
      </c>
    </row>
    <row r="26" spans="1:9" x14ac:dyDescent="0.25">
      <c r="A26" s="17">
        <v>45554</v>
      </c>
      <c r="B26" s="16">
        <v>0.20833333333333334</v>
      </c>
      <c r="C26" s="18" t="s">
        <v>26</v>
      </c>
      <c r="D26" s="34" t="s">
        <v>59</v>
      </c>
      <c r="E26" s="41" t="s">
        <v>20</v>
      </c>
      <c r="F26" s="8">
        <f>(INT(Table_Uzbekistan[[#This Row],[Date]]) - DATE(1970, 1, 1)) * 86400000</f>
        <v>1726704000000</v>
      </c>
      <c r="G26" s="10">
        <f>'GMT Glossary'!$B$6</f>
        <v>5</v>
      </c>
      <c r="H26" s="2" t="str">
        <f t="shared" si="0"/>
        <v>2024-09-19</v>
      </c>
      <c r="I26" s="2" t="str">
        <f t="shared" si="1"/>
        <v>10:00</v>
      </c>
    </row>
    <row r="27" spans="1:9" x14ac:dyDescent="0.25">
      <c r="A27" s="17">
        <v>45554</v>
      </c>
      <c r="B27" s="16">
        <v>0.29166666666666669</v>
      </c>
      <c r="C27" s="18" t="s">
        <v>26</v>
      </c>
      <c r="D27" s="34" t="s">
        <v>33</v>
      </c>
      <c r="E27" s="41" t="s">
        <v>20</v>
      </c>
      <c r="F27" s="8">
        <f>(INT(Table_Uzbekistan[[#This Row],[Date]]) - DATE(1970, 1, 1)) * 86400000</f>
        <v>1726704000000</v>
      </c>
      <c r="G27" s="10">
        <f>'GMT Glossary'!$B$6</f>
        <v>5</v>
      </c>
      <c r="H27" s="2" t="str">
        <f t="shared" si="0"/>
        <v>2024-09-19</v>
      </c>
      <c r="I27" s="2" t="str">
        <f t="shared" si="1"/>
        <v>12:00</v>
      </c>
    </row>
    <row r="28" spans="1:9" x14ac:dyDescent="0.25">
      <c r="A28" s="17">
        <v>45554</v>
      </c>
      <c r="B28" s="16">
        <v>0.375</v>
      </c>
      <c r="C28" s="18" t="s">
        <v>26</v>
      </c>
      <c r="D28" s="34" t="s">
        <v>64</v>
      </c>
      <c r="E28" s="41" t="s">
        <v>20</v>
      </c>
      <c r="F28" s="8">
        <f>(INT(Table_Uzbekistan[[#This Row],[Date]]) - DATE(1970, 1, 1)) * 86400000</f>
        <v>1726704000000</v>
      </c>
      <c r="G28" s="10">
        <f>'GMT Glossary'!$B$6</f>
        <v>5</v>
      </c>
      <c r="H28" s="2" t="str">
        <f t="shared" si="0"/>
        <v>2024-09-19</v>
      </c>
      <c r="I28" s="2" t="str">
        <f t="shared" si="1"/>
        <v>14:00</v>
      </c>
    </row>
    <row r="29" spans="1:9" x14ac:dyDescent="0.25">
      <c r="A29" s="17">
        <v>45554</v>
      </c>
      <c r="B29" s="16">
        <v>0.41666666666666669</v>
      </c>
      <c r="C29" s="18" t="s">
        <v>26</v>
      </c>
      <c r="D29" s="34" t="s">
        <v>65</v>
      </c>
      <c r="E29" s="41" t="s">
        <v>20</v>
      </c>
      <c r="F29" s="8">
        <f>(INT(Table_Uzbekistan[[#This Row],[Date]]) - DATE(1970, 1, 1)) * 86400000</f>
        <v>1726704000000</v>
      </c>
      <c r="G29" s="10">
        <f>'GMT Glossary'!$B$6</f>
        <v>5</v>
      </c>
      <c r="H29" s="2" t="str">
        <f t="shared" si="0"/>
        <v>2024-09-19</v>
      </c>
      <c r="I29" s="2" t="str">
        <f t="shared" si="1"/>
        <v>15:00</v>
      </c>
    </row>
    <row r="30" spans="1:9" x14ac:dyDescent="0.25">
      <c r="A30" s="17">
        <v>45554</v>
      </c>
      <c r="B30" s="16">
        <v>0.45833333333333331</v>
      </c>
      <c r="C30" s="18" t="s">
        <v>26</v>
      </c>
      <c r="D30" s="34" t="s">
        <v>66</v>
      </c>
      <c r="E30" s="41" t="s">
        <v>20</v>
      </c>
      <c r="F30" s="8">
        <f>(INT(Table_Uzbekistan[[#This Row],[Date]]) - DATE(1970, 1, 1)) * 86400000</f>
        <v>1726704000000</v>
      </c>
      <c r="G30" s="10">
        <f>'GMT Glossary'!$B$6</f>
        <v>5</v>
      </c>
      <c r="H30" s="2" t="str">
        <f t="shared" si="0"/>
        <v>2024-09-19</v>
      </c>
      <c r="I30" s="2" t="str">
        <f t="shared" si="1"/>
        <v>16:00</v>
      </c>
    </row>
    <row r="31" spans="1:9" x14ac:dyDescent="0.25">
      <c r="A31" s="17">
        <v>45554</v>
      </c>
      <c r="B31" s="16">
        <v>0.5</v>
      </c>
      <c r="C31" s="18" t="s">
        <v>26</v>
      </c>
      <c r="D31" s="34" t="s">
        <v>67</v>
      </c>
      <c r="E31" s="41" t="s">
        <v>20</v>
      </c>
      <c r="F31" s="8">
        <f>(INT(Table_Uzbekistan[[#This Row],[Date]]) - DATE(1970, 1, 1)) * 86400000</f>
        <v>1726704000000</v>
      </c>
      <c r="G31" s="10">
        <f>'GMT Glossary'!$B$6</f>
        <v>5</v>
      </c>
      <c r="H31" s="2" t="str">
        <f t="shared" si="0"/>
        <v>2024-09-19</v>
      </c>
      <c r="I31" s="2" t="str">
        <f t="shared" si="1"/>
        <v>17:00</v>
      </c>
    </row>
    <row r="32" spans="1:9" x14ac:dyDescent="0.25">
      <c r="A32" s="17">
        <v>45554</v>
      </c>
      <c r="B32" s="16">
        <v>0.54166666666666663</v>
      </c>
      <c r="C32" s="18" t="s">
        <v>26</v>
      </c>
      <c r="D32" s="34" t="s">
        <v>72</v>
      </c>
      <c r="E32" s="41" t="s">
        <v>20</v>
      </c>
      <c r="F32" s="8">
        <f>(INT(Table_Uzbekistan[[#This Row],[Date]]) - DATE(1970, 1, 1)) * 86400000</f>
        <v>1726704000000</v>
      </c>
      <c r="G32" s="10">
        <f>'GMT Glossary'!$B$6</f>
        <v>5</v>
      </c>
      <c r="H32" s="2" t="str">
        <f t="shared" si="0"/>
        <v>2024-09-19</v>
      </c>
      <c r="I32" s="2" t="str">
        <f t="shared" si="1"/>
        <v>18:00</v>
      </c>
    </row>
    <row r="33" spans="1:9" x14ac:dyDescent="0.25">
      <c r="A33" s="17">
        <v>45554</v>
      </c>
      <c r="B33" s="16">
        <v>0.625</v>
      </c>
      <c r="C33" s="18" t="s">
        <v>26</v>
      </c>
      <c r="D33" s="34" t="s">
        <v>34</v>
      </c>
      <c r="E33" s="41" t="s">
        <v>20</v>
      </c>
      <c r="F33" s="8">
        <f>(INT(Table_Uzbekistan[[#This Row],[Date]]) - DATE(1970, 1, 1)) * 86400000</f>
        <v>1726704000000</v>
      </c>
      <c r="G33" s="10">
        <f>'GMT Glossary'!$B$6</f>
        <v>5</v>
      </c>
      <c r="H33" s="2" t="str">
        <f t="shared" si="0"/>
        <v>2024-09-19</v>
      </c>
      <c r="I33" s="2" t="str">
        <f t="shared" si="1"/>
        <v>20:00</v>
      </c>
    </row>
    <row r="34" spans="1:9" x14ac:dyDescent="0.25">
      <c r="A34" s="17">
        <v>45554</v>
      </c>
      <c r="B34" s="16">
        <v>0.70833333333333337</v>
      </c>
      <c r="C34" s="18" t="s">
        <v>26</v>
      </c>
      <c r="D34" s="33" t="s">
        <v>73</v>
      </c>
      <c r="E34" s="41" t="s">
        <v>20</v>
      </c>
      <c r="F34" s="8">
        <f>(INT(Table_Uzbekistan[[#This Row],[Date]]) - DATE(1970, 1, 1)) * 86400000</f>
        <v>1726704000000</v>
      </c>
      <c r="G34" s="10">
        <f>'GMT Glossary'!$B$6</f>
        <v>5</v>
      </c>
      <c r="H34" s="2" t="str">
        <f t="shared" ref="H34:H65" si="2">TEXT(IF(B34&lt;0, A34+1+((B34+(G34/24))-(INT(B34+(G34/24)))), A34+(B34+(G34/24))), "yyyy-mm-dd")</f>
        <v>2024-09-19</v>
      </c>
      <c r="I34" s="2" t="str">
        <f t="shared" ref="I34:I65" si="3">TEXT(IF(B34&lt;0, A34+1+((B34+(G34/24))-(INT(B34+(G34/24)))), A34+(B34+(G34/24))), "hh:mm")</f>
        <v>22:00</v>
      </c>
    </row>
    <row r="35" spans="1:9" x14ac:dyDescent="0.25">
      <c r="A35" s="17">
        <v>45554</v>
      </c>
      <c r="B35" s="16">
        <v>0.79166666666666663</v>
      </c>
      <c r="C35" s="18" t="s">
        <v>26</v>
      </c>
      <c r="D35" s="34" t="s">
        <v>62</v>
      </c>
      <c r="E35" s="41" t="s">
        <v>20</v>
      </c>
      <c r="F35" s="8">
        <f>(INT(Table_Uzbekistan[[#This Row],[Date]]) - DATE(1970, 1, 1)) * 86400000</f>
        <v>1726704000000</v>
      </c>
      <c r="G35" s="10">
        <f>'GMT Glossary'!$B$6</f>
        <v>5</v>
      </c>
      <c r="H35" s="2" t="str">
        <f t="shared" si="2"/>
        <v>2024-09-20</v>
      </c>
      <c r="I35" s="2" t="str">
        <f t="shared" si="3"/>
        <v>00:00</v>
      </c>
    </row>
    <row r="36" spans="1:9" x14ac:dyDescent="0.25">
      <c r="A36" s="17">
        <v>45554</v>
      </c>
      <c r="B36" s="16">
        <v>0.875</v>
      </c>
      <c r="C36" s="18" t="s">
        <v>26</v>
      </c>
      <c r="D36" s="34" t="s">
        <v>32</v>
      </c>
      <c r="E36" s="41" t="s">
        <v>20</v>
      </c>
      <c r="F36" s="8">
        <f>(INT(Table_Uzbekistan[[#This Row],[Date]]) - DATE(1970, 1, 1)) * 86400000</f>
        <v>1726704000000</v>
      </c>
      <c r="G36" s="10">
        <f>'GMT Glossary'!$B$6</f>
        <v>5</v>
      </c>
      <c r="H36" s="2" t="str">
        <f t="shared" si="2"/>
        <v>2024-09-20</v>
      </c>
      <c r="I36" s="2" t="str">
        <f t="shared" si="3"/>
        <v>02:00</v>
      </c>
    </row>
    <row r="37" spans="1:9" x14ac:dyDescent="0.25">
      <c r="A37" s="17">
        <v>45554</v>
      </c>
      <c r="B37" s="16">
        <v>0.95833333333333337</v>
      </c>
      <c r="C37" s="18" t="s">
        <v>26</v>
      </c>
      <c r="D37" s="34" t="s">
        <v>31</v>
      </c>
      <c r="E37" s="41" t="s">
        <v>20</v>
      </c>
      <c r="F37" s="8">
        <f>(INT(Table_Uzbekistan[[#This Row],[Date]]) - DATE(1970, 1, 1)) * 86400000</f>
        <v>1726704000000</v>
      </c>
      <c r="G37" s="10">
        <f>'GMT Glossary'!$B$6</f>
        <v>5</v>
      </c>
      <c r="H37" s="2" t="str">
        <f t="shared" si="2"/>
        <v>2024-09-20</v>
      </c>
      <c r="I37" s="2" t="str">
        <f t="shared" si="3"/>
        <v>04:00</v>
      </c>
    </row>
    <row r="38" spans="1:9" x14ac:dyDescent="0.25">
      <c r="A38" s="17">
        <v>45555</v>
      </c>
      <c r="B38" s="16">
        <v>4.1666666666666664E-2</v>
      </c>
      <c r="C38" s="18" t="s">
        <v>26</v>
      </c>
      <c r="D38" s="34" t="s">
        <v>56</v>
      </c>
      <c r="E38" s="41" t="s">
        <v>20</v>
      </c>
      <c r="F38" s="8">
        <f>(INT(Table_Uzbekistan[[#This Row],[Date]]) - DATE(1970, 1, 1)) * 86400000</f>
        <v>1726790400000</v>
      </c>
      <c r="G38" s="10">
        <f>'GMT Glossary'!$B$6</f>
        <v>5</v>
      </c>
      <c r="H38" s="2" t="str">
        <f t="shared" si="2"/>
        <v>2024-09-20</v>
      </c>
      <c r="I38" s="2" t="str">
        <f t="shared" si="3"/>
        <v>06:00</v>
      </c>
    </row>
    <row r="39" spans="1:9" x14ac:dyDescent="0.25">
      <c r="A39" s="17">
        <v>45555</v>
      </c>
      <c r="B39" s="16">
        <v>0.125</v>
      </c>
      <c r="C39" s="18" t="s">
        <v>26</v>
      </c>
      <c r="D39" s="34" t="s">
        <v>29</v>
      </c>
      <c r="E39" s="41" t="s">
        <v>20</v>
      </c>
      <c r="F39" s="8">
        <f>(INT(Table_Uzbekistan[[#This Row],[Date]]) - DATE(1970, 1, 1)) * 86400000</f>
        <v>1726790400000</v>
      </c>
      <c r="G39" s="10">
        <f>'GMT Glossary'!$B$6</f>
        <v>5</v>
      </c>
      <c r="H39" s="2" t="str">
        <f t="shared" si="2"/>
        <v>2024-09-20</v>
      </c>
      <c r="I39" s="2" t="str">
        <f t="shared" si="3"/>
        <v>08:00</v>
      </c>
    </row>
    <row r="40" spans="1:9" x14ac:dyDescent="0.25">
      <c r="A40" s="17">
        <v>45555</v>
      </c>
      <c r="B40" s="16">
        <v>0.20833333333333334</v>
      </c>
      <c r="C40" s="18" t="s">
        <v>26</v>
      </c>
      <c r="D40" s="34" t="s">
        <v>35</v>
      </c>
      <c r="E40" s="41" t="s">
        <v>20</v>
      </c>
      <c r="F40" s="8">
        <f>(INT(Table_Uzbekistan[[#This Row],[Date]]) - DATE(1970, 1, 1)) * 86400000</f>
        <v>1726790400000</v>
      </c>
      <c r="G40" s="10">
        <f>'GMT Glossary'!$B$6</f>
        <v>5</v>
      </c>
      <c r="H40" s="2" t="str">
        <f t="shared" si="2"/>
        <v>2024-09-20</v>
      </c>
      <c r="I40" s="2" t="str">
        <f t="shared" si="3"/>
        <v>10:00</v>
      </c>
    </row>
    <row r="41" spans="1:9" x14ac:dyDescent="0.25">
      <c r="A41" s="17">
        <v>45555</v>
      </c>
      <c r="B41" s="16">
        <v>0.29166666666666669</v>
      </c>
      <c r="C41" s="18" t="s">
        <v>26</v>
      </c>
      <c r="D41" s="34" t="s">
        <v>71</v>
      </c>
      <c r="E41" s="41" t="s">
        <v>20</v>
      </c>
      <c r="F41" s="8">
        <f>(INT(Table_Uzbekistan[[#This Row],[Date]]) - DATE(1970, 1, 1)) * 86400000</f>
        <v>1726790400000</v>
      </c>
      <c r="G41" s="10">
        <f>'GMT Glossary'!$B$6</f>
        <v>5</v>
      </c>
      <c r="H41" s="2" t="str">
        <f t="shared" si="2"/>
        <v>2024-09-20</v>
      </c>
      <c r="I41" s="2" t="str">
        <f t="shared" si="3"/>
        <v>12:00</v>
      </c>
    </row>
    <row r="42" spans="1:9" x14ac:dyDescent="0.25">
      <c r="A42" s="17">
        <v>45555</v>
      </c>
      <c r="B42" s="16">
        <v>0.375</v>
      </c>
      <c r="C42" s="18" t="s">
        <v>26</v>
      </c>
      <c r="D42" s="34" t="s">
        <v>68</v>
      </c>
      <c r="E42" s="41" t="s">
        <v>20</v>
      </c>
      <c r="F42" s="8">
        <f>(INT(Table_Uzbekistan[[#This Row],[Date]]) - DATE(1970, 1, 1)) * 86400000</f>
        <v>1726790400000</v>
      </c>
      <c r="G42" s="10">
        <f>'GMT Glossary'!$B$6</f>
        <v>5</v>
      </c>
      <c r="H42" s="2" t="str">
        <f t="shared" si="2"/>
        <v>2024-09-20</v>
      </c>
      <c r="I42" s="2" t="str">
        <f t="shared" si="3"/>
        <v>14:00</v>
      </c>
    </row>
    <row r="43" spans="1:9" x14ac:dyDescent="0.25">
      <c r="A43" s="17">
        <v>45555</v>
      </c>
      <c r="B43" s="16">
        <v>0.45833333333333331</v>
      </c>
      <c r="C43" s="18" t="s">
        <v>26</v>
      </c>
      <c r="D43" s="34" t="s">
        <v>28</v>
      </c>
      <c r="E43" s="41" t="s">
        <v>20</v>
      </c>
      <c r="F43" s="8">
        <f>(INT(Table_Uzbekistan[[#This Row],[Date]]) - DATE(1970, 1, 1)) * 86400000</f>
        <v>1726790400000</v>
      </c>
      <c r="G43" s="10">
        <f>'GMT Glossary'!$B$6</f>
        <v>5</v>
      </c>
      <c r="H43" s="2" t="str">
        <f t="shared" si="2"/>
        <v>2024-09-20</v>
      </c>
      <c r="I43" s="2" t="str">
        <f t="shared" si="3"/>
        <v>16:00</v>
      </c>
    </row>
    <row r="44" spans="1:9" x14ac:dyDescent="0.25">
      <c r="A44" s="17">
        <v>45555</v>
      </c>
      <c r="B44" s="16">
        <v>0.54166666666666663</v>
      </c>
      <c r="C44" s="18" t="s">
        <v>26</v>
      </c>
      <c r="D44" s="34" t="s">
        <v>58</v>
      </c>
      <c r="E44" s="41" t="s">
        <v>20</v>
      </c>
      <c r="F44" s="8">
        <f>(INT(Table_Uzbekistan[[#This Row],[Date]]) - DATE(1970, 1, 1)) * 86400000</f>
        <v>1726790400000</v>
      </c>
      <c r="G44" s="10">
        <f>'GMT Glossary'!$B$6</f>
        <v>5</v>
      </c>
      <c r="H44" s="2" t="str">
        <f t="shared" si="2"/>
        <v>2024-09-20</v>
      </c>
      <c r="I44" s="2" t="str">
        <f t="shared" si="3"/>
        <v>18:00</v>
      </c>
    </row>
    <row r="45" spans="1:9" x14ac:dyDescent="0.25">
      <c r="A45" s="17">
        <v>45555</v>
      </c>
      <c r="B45" s="16">
        <v>0.625</v>
      </c>
      <c r="C45" s="18" t="s">
        <v>26</v>
      </c>
      <c r="D45" s="34" t="s">
        <v>27</v>
      </c>
      <c r="E45" s="41" t="s">
        <v>20</v>
      </c>
      <c r="F45" s="8">
        <f>(INT(Table_Uzbekistan[[#This Row],[Date]]) - DATE(1970, 1, 1)) * 86400000</f>
        <v>1726790400000</v>
      </c>
      <c r="G45" s="10">
        <f>'GMT Glossary'!$B$6</f>
        <v>5</v>
      </c>
      <c r="H45" s="2" t="str">
        <f t="shared" si="2"/>
        <v>2024-09-20</v>
      </c>
      <c r="I45" s="2" t="str">
        <f t="shared" si="3"/>
        <v>20:00</v>
      </c>
    </row>
    <row r="46" spans="1:9" x14ac:dyDescent="0.25">
      <c r="A46" s="17">
        <v>45555</v>
      </c>
      <c r="B46" s="16">
        <v>0.6875</v>
      </c>
      <c r="C46" s="18" t="s">
        <v>26</v>
      </c>
      <c r="D46" s="33" t="s">
        <v>74</v>
      </c>
      <c r="E46" s="41" t="s">
        <v>20</v>
      </c>
      <c r="F46" s="8">
        <f>(INT(Table_Uzbekistan[[#This Row],[Date]]) - DATE(1970, 1, 1)) * 86400000</f>
        <v>1726790400000</v>
      </c>
      <c r="G46" s="10">
        <f>'GMT Glossary'!$B$6</f>
        <v>5</v>
      </c>
      <c r="H46" s="2" t="str">
        <f t="shared" si="2"/>
        <v>2024-09-20</v>
      </c>
      <c r="I46" s="2" t="str">
        <f t="shared" si="3"/>
        <v>21:30</v>
      </c>
    </row>
    <row r="47" spans="1:9" x14ac:dyDescent="0.25">
      <c r="A47" s="17">
        <v>45555</v>
      </c>
      <c r="B47" s="16">
        <v>0.79166666666666663</v>
      </c>
      <c r="C47" s="18" t="s">
        <v>26</v>
      </c>
      <c r="D47" s="33" t="s">
        <v>196</v>
      </c>
      <c r="E47" s="41" t="s">
        <v>20</v>
      </c>
      <c r="F47" s="8">
        <f>(INT(Table_Uzbekistan[[#This Row],[Date]]) - DATE(1970, 1, 1)) * 86400000</f>
        <v>1726790400000</v>
      </c>
      <c r="G47" s="10">
        <f>'GMT Glossary'!$B$6</f>
        <v>5</v>
      </c>
      <c r="H47" s="2" t="str">
        <f t="shared" si="2"/>
        <v>2024-09-21</v>
      </c>
      <c r="I47" s="2" t="str">
        <f t="shared" si="3"/>
        <v>00:00</v>
      </c>
    </row>
    <row r="48" spans="1:9" x14ac:dyDescent="0.25">
      <c r="A48" s="17">
        <v>45555</v>
      </c>
      <c r="B48" s="16">
        <v>0.875</v>
      </c>
      <c r="C48" s="18" t="s">
        <v>26</v>
      </c>
      <c r="D48" s="34" t="s">
        <v>33</v>
      </c>
      <c r="E48" s="41" t="s">
        <v>20</v>
      </c>
      <c r="F48" s="8">
        <f>(INT(Table_Uzbekistan[[#This Row],[Date]]) - DATE(1970, 1, 1)) * 86400000</f>
        <v>1726790400000</v>
      </c>
      <c r="G48" s="10">
        <f>'GMT Glossary'!$B$6</f>
        <v>5</v>
      </c>
      <c r="H48" s="2" t="str">
        <f t="shared" si="2"/>
        <v>2024-09-21</v>
      </c>
      <c r="I48" s="2" t="str">
        <f t="shared" si="3"/>
        <v>02:00</v>
      </c>
    </row>
    <row r="49" spans="1:9" x14ac:dyDescent="0.25">
      <c r="A49" s="17">
        <v>45555</v>
      </c>
      <c r="B49" s="16">
        <v>0.95833333333333337</v>
      </c>
      <c r="C49" s="18" t="s">
        <v>26</v>
      </c>
      <c r="D49" s="34" t="s">
        <v>72</v>
      </c>
      <c r="E49" s="41" t="s">
        <v>20</v>
      </c>
      <c r="F49" s="8">
        <f>(INT(Table_Uzbekistan[[#This Row],[Date]]) - DATE(1970, 1, 1)) * 86400000</f>
        <v>1726790400000</v>
      </c>
      <c r="G49" s="10">
        <f>'GMT Glossary'!$B$6</f>
        <v>5</v>
      </c>
      <c r="H49" s="2" t="str">
        <f t="shared" si="2"/>
        <v>2024-09-21</v>
      </c>
      <c r="I49" s="2" t="str">
        <f t="shared" si="3"/>
        <v>04:00</v>
      </c>
    </row>
    <row r="50" spans="1:9" x14ac:dyDescent="0.25">
      <c r="A50" s="17">
        <v>45556</v>
      </c>
      <c r="B50" s="16">
        <v>4.1666666666666664E-2</v>
      </c>
      <c r="C50" s="18" t="s">
        <v>26</v>
      </c>
      <c r="D50" s="34" t="s">
        <v>63</v>
      </c>
      <c r="E50" s="41" t="s">
        <v>20</v>
      </c>
      <c r="F50" s="8">
        <f>(INT(Table_Uzbekistan[[#This Row],[Date]]) - DATE(1970, 1, 1)) * 86400000</f>
        <v>1726876800000</v>
      </c>
      <c r="G50" s="10">
        <f>'GMT Glossary'!$B$6</f>
        <v>5</v>
      </c>
      <c r="H50" s="2" t="str">
        <f t="shared" si="2"/>
        <v>2024-09-21</v>
      </c>
      <c r="I50" s="2" t="str">
        <f t="shared" si="3"/>
        <v>06:00</v>
      </c>
    </row>
    <row r="51" spans="1:9" x14ac:dyDescent="0.25">
      <c r="A51" s="17">
        <v>45556</v>
      </c>
      <c r="B51" s="16">
        <v>0.125</v>
      </c>
      <c r="C51" s="18" t="s">
        <v>26</v>
      </c>
      <c r="D51" s="34" t="s">
        <v>32</v>
      </c>
      <c r="E51" s="41" t="s">
        <v>20</v>
      </c>
      <c r="F51" s="8">
        <f>(INT(Table_Uzbekistan[[#This Row],[Date]]) - DATE(1970, 1, 1)) * 86400000</f>
        <v>1726876800000</v>
      </c>
      <c r="G51" s="10">
        <f>'GMT Glossary'!$B$6</f>
        <v>5</v>
      </c>
      <c r="H51" s="2" t="str">
        <f t="shared" si="2"/>
        <v>2024-09-21</v>
      </c>
      <c r="I51" s="2" t="str">
        <f t="shared" si="3"/>
        <v>08:00</v>
      </c>
    </row>
    <row r="52" spans="1:9" x14ac:dyDescent="0.25">
      <c r="A52" s="17">
        <v>45556</v>
      </c>
      <c r="B52" s="16">
        <v>0.20833333333333334</v>
      </c>
      <c r="C52" s="18" t="s">
        <v>26</v>
      </c>
      <c r="D52" s="34" t="s">
        <v>30</v>
      </c>
      <c r="E52" s="41" t="s">
        <v>20</v>
      </c>
      <c r="F52" s="8">
        <f>(INT(Table_Uzbekistan[[#This Row],[Date]]) - DATE(1970, 1, 1)) * 86400000</f>
        <v>1726876800000</v>
      </c>
      <c r="G52" s="10">
        <f>'GMT Glossary'!$B$6</f>
        <v>5</v>
      </c>
      <c r="H52" s="2" t="str">
        <f t="shared" si="2"/>
        <v>2024-09-21</v>
      </c>
      <c r="I52" s="2" t="str">
        <f t="shared" si="3"/>
        <v>10:00</v>
      </c>
    </row>
    <row r="53" spans="1:9" x14ac:dyDescent="0.25">
      <c r="A53" s="17">
        <v>45556</v>
      </c>
      <c r="B53" s="16">
        <v>0.29166666666666669</v>
      </c>
      <c r="C53" s="18" t="s">
        <v>26</v>
      </c>
      <c r="D53" s="34" t="s">
        <v>31</v>
      </c>
      <c r="E53" s="41" t="s">
        <v>20</v>
      </c>
      <c r="F53" s="8">
        <f>(INT(Table_Uzbekistan[[#This Row],[Date]]) - DATE(1970, 1, 1)) * 86400000</f>
        <v>1726876800000</v>
      </c>
      <c r="G53" s="10">
        <f>'GMT Glossary'!$B$6</f>
        <v>5</v>
      </c>
      <c r="H53" s="2" t="str">
        <f t="shared" si="2"/>
        <v>2024-09-21</v>
      </c>
      <c r="I53" s="2" t="str">
        <f t="shared" si="3"/>
        <v>12:00</v>
      </c>
    </row>
    <row r="54" spans="1:9" x14ac:dyDescent="0.25">
      <c r="A54" s="17">
        <v>45556</v>
      </c>
      <c r="B54" s="16">
        <v>0.375</v>
      </c>
      <c r="C54" s="18" t="s">
        <v>26</v>
      </c>
      <c r="D54" s="34" t="s">
        <v>29</v>
      </c>
      <c r="E54" s="41" t="s">
        <v>20</v>
      </c>
      <c r="F54" s="8">
        <f>(INT(Table_Uzbekistan[[#This Row],[Date]]) - DATE(1970, 1, 1)) * 86400000</f>
        <v>1726876800000</v>
      </c>
      <c r="G54" s="10">
        <f>'GMT Glossary'!$B$6</f>
        <v>5</v>
      </c>
      <c r="H54" s="2" t="str">
        <f t="shared" si="2"/>
        <v>2024-09-21</v>
      </c>
      <c r="I54" s="2" t="str">
        <f t="shared" si="3"/>
        <v>14:00</v>
      </c>
    </row>
    <row r="55" spans="1:9" x14ac:dyDescent="0.25">
      <c r="A55" s="17">
        <v>45556</v>
      </c>
      <c r="B55" s="16">
        <v>0.47916666666666669</v>
      </c>
      <c r="C55" s="18" t="s">
        <v>26</v>
      </c>
      <c r="D55" s="33" t="s">
        <v>76</v>
      </c>
      <c r="E55" s="41" t="s">
        <v>20</v>
      </c>
      <c r="F55" s="8">
        <f>(INT(Table_Uzbekistan[[#This Row],[Date]]) - DATE(1970, 1, 1)) * 86400000</f>
        <v>1726876800000</v>
      </c>
      <c r="G55" s="10">
        <f>'GMT Glossary'!$B$6</f>
        <v>5</v>
      </c>
      <c r="H55" s="2" t="str">
        <f t="shared" si="2"/>
        <v>2024-09-21</v>
      </c>
      <c r="I55" s="2" t="str">
        <f t="shared" si="3"/>
        <v>16:30</v>
      </c>
    </row>
    <row r="56" spans="1:9" x14ac:dyDescent="0.25">
      <c r="A56" s="17">
        <v>45556</v>
      </c>
      <c r="B56" s="16">
        <v>0.58333333333333337</v>
      </c>
      <c r="C56" s="18" t="s">
        <v>26</v>
      </c>
      <c r="D56" s="33" t="s">
        <v>77</v>
      </c>
      <c r="E56" s="41" t="s">
        <v>20</v>
      </c>
      <c r="F56" s="8">
        <f>(INT(Table_Uzbekistan[[#This Row],[Date]]) - DATE(1970, 1, 1)) * 86400000</f>
        <v>1726876800000</v>
      </c>
      <c r="G56" s="10">
        <f>'GMT Glossary'!$B$6</f>
        <v>5</v>
      </c>
      <c r="H56" s="2" t="str">
        <f t="shared" si="2"/>
        <v>2024-09-21</v>
      </c>
      <c r="I56" s="2" t="str">
        <f t="shared" si="3"/>
        <v>19:00</v>
      </c>
    </row>
    <row r="57" spans="1:9" x14ac:dyDescent="0.25">
      <c r="A57" s="17">
        <v>45556</v>
      </c>
      <c r="B57" s="16">
        <v>0.6875</v>
      </c>
      <c r="C57" s="18" t="s">
        <v>26</v>
      </c>
      <c r="D57" s="33" t="s">
        <v>78</v>
      </c>
      <c r="E57" s="41" t="s">
        <v>20</v>
      </c>
      <c r="F57" s="8">
        <f>(INT(Table_Uzbekistan[[#This Row],[Date]]) - DATE(1970, 1, 1)) * 86400000</f>
        <v>1726876800000</v>
      </c>
      <c r="G57" s="10">
        <f>'GMT Glossary'!$B$6</f>
        <v>5</v>
      </c>
      <c r="H57" s="2" t="str">
        <f t="shared" si="2"/>
        <v>2024-09-21</v>
      </c>
      <c r="I57" s="2" t="str">
        <f t="shared" si="3"/>
        <v>21:30</v>
      </c>
    </row>
    <row r="58" spans="1:9" x14ac:dyDescent="0.25">
      <c r="A58" s="17">
        <v>45556</v>
      </c>
      <c r="B58" s="16">
        <v>0.79166666666666663</v>
      </c>
      <c r="C58" s="18" t="s">
        <v>26</v>
      </c>
      <c r="D58" s="33" t="s">
        <v>79</v>
      </c>
      <c r="E58" s="41" t="s">
        <v>20</v>
      </c>
      <c r="F58" s="8">
        <f>(INT(Table_Uzbekistan[[#This Row],[Date]]) - DATE(1970, 1, 1)) * 86400000</f>
        <v>1726876800000</v>
      </c>
      <c r="G58" s="10">
        <f>'GMT Glossary'!$B$6</f>
        <v>5</v>
      </c>
      <c r="H58" s="2" t="str">
        <f t="shared" si="2"/>
        <v>2024-09-22</v>
      </c>
      <c r="I58" s="2" t="str">
        <f t="shared" si="3"/>
        <v>00:00</v>
      </c>
    </row>
    <row r="59" spans="1:9" x14ac:dyDescent="0.25">
      <c r="A59" s="17">
        <v>45556</v>
      </c>
      <c r="B59" s="16">
        <v>0.875</v>
      </c>
      <c r="C59" s="18" t="s">
        <v>26</v>
      </c>
      <c r="D59" s="34" t="s">
        <v>33</v>
      </c>
      <c r="E59" s="41" t="s">
        <v>20</v>
      </c>
      <c r="F59" s="8">
        <f>(INT(Table_Uzbekistan[[#This Row],[Date]]) - DATE(1970, 1, 1)) * 86400000</f>
        <v>1726876800000</v>
      </c>
      <c r="G59" s="10">
        <f>'GMT Glossary'!$B$6</f>
        <v>5</v>
      </c>
      <c r="H59" s="2" t="str">
        <f t="shared" si="2"/>
        <v>2024-09-22</v>
      </c>
      <c r="I59" s="2" t="str">
        <f t="shared" si="3"/>
        <v>02:00</v>
      </c>
    </row>
    <row r="60" spans="1:9" x14ac:dyDescent="0.25">
      <c r="A60" s="17">
        <v>45556</v>
      </c>
      <c r="B60" s="16">
        <v>0.95833333333333337</v>
      </c>
      <c r="C60" s="18" t="s">
        <v>26</v>
      </c>
      <c r="D60" s="34" t="s">
        <v>80</v>
      </c>
      <c r="E60" s="41" t="s">
        <v>20</v>
      </c>
      <c r="F60" s="8">
        <f>(INT(Table_Uzbekistan[[#This Row],[Date]]) - DATE(1970, 1, 1)) * 86400000</f>
        <v>1726876800000</v>
      </c>
      <c r="G60" s="10">
        <f>'GMT Glossary'!$B$6</f>
        <v>5</v>
      </c>
      <c r="H60" s="2" t="str">
        <f t="shared" si="2"/>
        <v>2024-09-22</v>
      </c>
      <c r="I60" s="2" t="str">
        <f t="shared" si="3"/>
        <v>04:00</v>
      </c>
    </row>
    <row r="61" spans="1:9" x14ac:dyDescent="0.25">
      <c r="A61" s="17">
        <v>45557</v>
      </c>
      <c r="B61" s="16">
        <v>4.1666666666666664E-2</v>
      </c>
      <c r="C61" s="18" t="s">
        <v>26</v>
      </c>
      <c r="D61" s="34" t="s">
        <v>32</v>
      </c>
      <c r="E61" s="41" t="s">
        <v>20</v>
      </c>
      <c r="F61" s="8">
        <f>(INT(Table_Uzbekistan[[#This Row],[Date]]) - DATE(1970, 1, 1)) * 86400000</f>
        <v>1726963200000</v>
      </c>
      <c r="G61" s="10">
        <f>'GMT Glossary'!$B$6</f>
        <v>5</v>
      </c>
      <c r="H61" s="2" t="str">
        <f t="shared" si="2"/>
        <v>2024-09-22</v>
      </c>
      <c r="I61" s="2" t="str">
        <f t="shared" si="3"/>
        <v>06:00</v>
      </c>
    </row>
    <row r="62" spans="1:9" x14ac:dyDescent="0.25">
      <c r="A62" s="17">
        <v>45557</v>
      </c>
      <c r="B62" s="16">
        <v>0.125</v>
      </c>
      <c r="C62" s="18" t="s">
        <v>26</v>
      </c>
      <c r="D62" s="34" t="s">
        <v>59</v>
      </c>
      <c r="E62" s="41" t="s">
        <v>20</v>
      </c>
      <c r="F62" s="8">
        <f>(INT(Table_Uzbekistan[[#This Row],[Date]]) - DATE(1970, 1, 1)) * 86400000</f>
        <v>1726963200000</v>
      </c>
      <c r="G62" s="10">
        <f>'GMT Glossary'!$B$6</f>
        <v>5</v>
      </c>
      <c r="H62" s="2" t="str">
        <f t="shared" si="2"/>
        <v>2024-09-22</v>
      </c>
      <c r="I62" s="2" t="str">
        <f t="shared" si="3"/>
        <v>08:00</v>
      </c>
    </row>
    <row r="63" spans="1:9" x14ac:dyDescent="0.25">
      <c r="A63" s="17">
        <v>45557</v>
      </c>
      <c r="B63" s="16">
        <v>0.20833333333333334</v>
      </c>
      <c r="C63" s="18" t="s">
        <v>26</v>
      </c>
      <c r="D63" s="34" t="s">
        <v>60</v>
      </c>
      <c r="E63" s="41" t="s">
        <v>20</v>
      </c>
      <c r="F63" s="8">
        <f>(INT(Table_Uzbekistan[[#This Row],[Date]]) - DATE(1970, 1, 1)) * 86400000</f>
        <v>1726963200000</v>
      </c>
      <c r="G63" s="10">
        <f>'GMT Glossary'!$B$6</f>
        <v>5</v>
      </c>
      <c r="H63" s="2" t="str">
        <f t="shared" si="2"/>
        <v>2024-09-22</v>
      </c>
      <c r="I63" s="2" t="str">
        <f t="shared" si="3"/>
        <v>10:00</v>
      </c>
    </row>
    <row r="64" spans="1:9" x14ac:dyDescent="0.25">
      <c r="A64" s="17">
        <v>45557</v>
      </c>
      <c r="B64" s="16">
        <v>0.29166666666666669</v>
      </c>
      <c r="C64" s="18" t="s">
        <v>26</v>
      </c>
      <c r="D64" s="34" t="s">
        <v>29</v>
      </c>
      <c r="E64" s="41" t="s">
        <v>20</v>
      </c>
      <c r="F64" s="8">
        <f>(INT(Table_Uzbekistan[[#This Row],[Date]]) - DATE(1970, 1, 1)) * 86400000</f>
        <v>1726963200000</v>
      </c>
      <c r="G64" s="10">
        <f>'GMT Glossary'!$B$6</f>
        <v>5</v>
      </c>
      <c r="H64" s="2" t="str">
        <f t="shared" si="2"/>
        <v>2024-09-22</v>
      </c>
      <c r="I64" s="2" t="str">
        <f t="shared" si="3"/>
        <v>12:00</v>
      </c>
    </row>
    <row r="65" spans="1:9" x14ac:dyDescent="0.25">
      <c r="A65" s="17">
        <v>45557</v>
      </c>
      <c r="B65" s="16">
        <v>0.375</v>
      </c>
      <c r="C65" s="18" t="s">
        <v>26</v>
      </c>
      <c r="D65" s="34" t="s">
        <v>27</v>
      </c>
      <c r="E65" s="41" t="s">
        <v>20</v>
      </c>
      <c r="F65" s="8">
        <f>(INT(Table_Uzbekistan[[#This Row],[Date]]) - DATE(1970, 1, 1)) * 86400000</f>
        <v>1726963200000</v>
      </c>
      <c r="G65" s="10">
        <f>'GMT Glossary'!$B$6</f>
        <v>5</v>
      </c>
      <c r="H65" s="2" t="str">
        <f t="shared" si="2"/>
        <v>2024-09-22</v>
      </c>
      <c r="I65" s="2" t="str">
        <f t="shared" si="3"/>
        <v>14:00</v>
      </c>
    </row>
    <row r="66" spans="1:9" x14ac:dyDescent="0.25">
      <c r="A66" s="17">
        <v>45557</v>
      </c>
      <c r="B66" s="16">
        <v>0.4375</v>
      </c>
      <c r="C66" s="18" t="s">
        <v>26</v>
      </c>
      <c r="D66" s="33" t="s">
        <v>81</v>
      </c>
      <c r="E66" s="41" t="s">
        <v>20</v>
      </c>
      <c r="F66" s="8">
        <f>(INT(Table_Uzbekistan[[#This Row],[Date]]) - DATE(1970, 1, 1)) * 86400000</f>
        <v>1726963200000</v>
      </c>
      <c r="G66" s="10">
        <f>'GMT Glossary'!$B$6</f>
        <v>5</v>
      </c>
      <c r="H66" s="2" t="str">
        <f t="shared" ref="H66:H97" si="4">TEXT(IF(B66&lt;0, A66+1+((B66+(G66/24))-(INT(B66+(G66/24)))), A66+(B66+(G66/24))), "yyyy-mm-dd")</f>
        <v>2024-09-22</v>
      </c>
      <c r="I66" s="2" t="str">
        <f t="shared" ref="I66:I87" si="5">TEXT(IF(B66&lt;0, A66+1+((B66+(G66/24))-(INT(B66+(G66/24)))), A66+(B66+(G66/24))), "hh:mm")</f>
        <v>15:30</v>
      </c>
    </row>
    <row r="67" spans="1:9" x14ac:dyDescent="0.25">
      <c r="A67" s="17">
        <v>45557</v>
      </c>
      <c r="B67" s="16">
        <v>0.54166666666666663</v>
      </c>
      <c r="C67" s="18" t="s">
        <v>26</v>
      </c>
      <c r="D67" s="33" t="s">
        <v>82</v>
      </c>
      <c r="E67" s="41" t="s">
        <v>20</v>
      </c>
      <c r="F67" s="8">
        <f>(INT(Table_Uzbekistan[[#This Row],[Date]]) - DATE(1970, 1, 1)) * 86400000</f>
        <v>1726963200000</v>
      </c>
      <c r="G67" s="10">
        <f>'GMT Glossary'!$B$6</f>
        <v>5</v>
      </c>
      <c r="H67" s="2" t="str">
        <f t="shared" si="4"/>
        <v>2024-09-22</v>
      </c>
      <c r="I67" s="2" t="str">
        <f t="shared" si="5"/>
        <v>18:00</v>
      </c>
    </row>
    <row r="68" spans="1:9" x14ac:dyDescent="0.25">
      <c r="A68" s="17">
        <v>45557</v>
      </c>
      <c r="B68" s="16">
        <v>0.64583333333333337</v>
      </c>
      <c r="C68" s="18" t="s">
        <v>26</v>
      </c>
      <c r="D68" s="33" t="s">
        <v>197</v>
      </c>
      <c r="E68" s="41" t="s">
        <v>20</v>
      </c>
      <c r="F68" s="8">
        <f>(INT(Table_Uzbekistan[[#This Row],[Date]]) - DATE(1970, 1, 1)) * 86400000</f>
        <v>1726963200000</v>
      </c>
      <c r="G68" s="10">
        <f>'GMT Glossary'!$B$6</f>
        <v>5</v>
      </c>
      <c r="H68" s="2" t="str">
        <f t="shared" si="4"/>
        <v>2024-09-22</v>
      </c>
      <c r="I68" s="2" t="str">
        <f t="shared" si="5"/>
        <v>20:30</v>
      </c>
    </row>
    <row r="69" spans="1:9" x14ac:dyDescent="0.25">
      <c r="A69" s="17">
        <v>45557</v>
      </c>
      <c r="B69" s="16">
        <v>0.78125</v>
      </c>
      <c r="C69" s="18" t="s">
        <v>26</v>
      </c>
      <c r="D69" s="33" t="s">
        <v>123</v>
      </c>
      <c r="E69" s="41" t="s">
        <v>20</v>
      </c>
      <c r="F69" s="8">
        <f>(INT(Table_Uzbekistan[[#This Row],[Date]]) - DATE(1970, 1, 1)) * 86400000</f>
        <v>1726963200000</v>
      </c>
      <c r="G69" s="10">
        <f>'GMT Glossary'!$B$6</f>
        <v>5</v>
      </c>
      <c r="H69" s="2" t="str">
        <f t="shared" si="4"/>
        <v>2024-09-22</v>
      </c>
      <c r="I69" s="2" t="str">
        <f t="shared" si="5"/>
        <v>23:45</v>
      </c>
    </row>
    <row r="70" spans="1:9" x14ac:dyDescent="0.25">
      <c r="A70" s="17">
        <v>45557</v>
      </c>
      <c r="B70" s="16">
        <v>0.875</v>
      </c>
      <c r="C70" s="18" t="s">
        <v>26</v>
      </c>
      <c r="D70" s="34" t="s">
        <v>85</v>
      </c>
      <c r="E70" s="41" t="s">
        <v>20</v>
      </c>
      <c r="F70" s="8">
        <f>(INT(Table_Uzbekistan[[#This Row],[Date]]) - DATE(1970, 1, 1)) * 86400000</f>
        <v>1726963200000</v>
      </c>
      <c r="G70" s="10">
        <f>'GMT Glossary'!$B$6</f>
        <v>5</v>
      </c>
      <c r="H70" s="2" t="str">
        <f t="shared" si="4"/>
        <v>2024-09-23</v>
      </c>
      <c r="I70" s="2" t="str">
        <f t="shared" si="5"/>
        <v>02:00</v>
      </c>
    </row>
    <row r="71" spans="1:9" x14ac:dyDescent="0.25">
      <c r="A71" s="17">
        <v>45557</v>
      </c>
      <c r="B71" s="16">
        <v>0.95833333333333337</v>
      </c>
      <c r="C71" s="18" t="s">
        <v>26</v>
      </c>
      <c r="D71" s="34" t="s">
        <v>86</v>
      </c>
      <c r="E71" s="41" t="s">
        <v>20</v>
      </c>
      <c r="F71" s="8">
        <f>(INT(Table_Uzbekistan[[#This Row],[Date]]) - DATE(1970, 1, 1)) * 86400000</f>
        <v>1726963200000</v>
      </c>
      <c r="G71" s="10">
        <f>'GMT Glossary'!$B$6</f>
        <v>5</v>
      </c>
      <c r="H71" s="2" t="str">
        <f t="shared" si="4"/>
        <v>2024-09-23</v>
      </c>
      <c r="I71" s="2" t="str">
        <f t="shared" si="5"/>
        <v>04:00</v>
      </c>
    </row>
    <row r="72" spans="1:9" x14ac:dyDescent="0.25">
      <c r="A72" s="17">
        <v>45558</v>
      </c>
      <c r="B72" s="16">
        <v>4.1666666666666664E-2</v>
      </c>
      <c r="C72" s="18" t="s">
        <v>26</v>
      </c>
      <c r="D72" s="34" t="s">
        <v>87</v>
      </c>
      <c r="E72" s="41" t="s">
        <v>20</v>
      </c>
      <c r="F72" s="8">
        <f>(INT(Table_Uzbekistan[[#This Row],[Date]]) - DATE(1970, 1, 1)) * 86400000</f>
        <v>1727049600000</v>
      </c>
      <c r="G72" s="10">
        <f>'GMT Glossary'!$B$6</f>
        <v>5</v>
      </c>
      <c r="H72" s="2" t="str">
        <f t="shared" si="4"/>
        <v>2024-09-23</v>
      </c>
      <c r="I72" s="2" t="str">
        <f t="shared" si="5"/>
        <v>06:00</v>
      </c>
    </row>
    <row r="73" spans="1:9" x14ac:dyDescent="0.25">
      <c r="A73" s="17">
        <v>45558</v>
      </c>
      <c r="B73" s="16">
        <v>0.125</v>
      </c>
      <c r="C73" s="18" t="s">
        <v>26</v>
      </c>
      <c r="D73" s="34" t="s">
        <v>88</v>
      </c>
      <c r="E73" s="41" t="s">
        <v>20</v>
      </c>
      <c r="F73" s="8">
        <f>(INT(Table_Uzbekistan[[#This Row],[Date]]) - DATE(1970, 1, 1)) * 86400000</f>
        <v>1727049600000</v>
      </c>
      <c r="G73" s="10">
        <f>'GMT Glossary'!$B$6</f>
        <v>5</v>
      </c>
      <c r="H73" s="2" t="str">
        <f t="shared" si="4"/>
        <v>2024-09-23</v>
      </c>
      <c r="I73" s="2" t="str">
        <f t="shared" si="5"/>
        <v>08:00</v>
      </c>
    </row>
    <row r="74" spans="1:9" x14ac:dyDescent="0.25">
      <c r="A74" s="17">
        <v>45558</v>
      </c>
      <c r="B74" s="16">
        <v>0.20833333333333334</v>
      </c>
      <c r="C74" s="18" t="s">
        <v>26</v>
      </c>
      <c r="D74" s="34" t="s">
        <v>89</v>
      </c>
      <c r="E74" s="41" t="s">
        <v>20</v>
      </c>
      <c r="F74" s="8">
        <f>(INT(Table_Uzbekistan[[#This Row],[Date]]) - DATE(1970, 1, 1)) * 86400000</f>
        <v>1727049600000</v>
      </c>
      <c r="G74" s="10">
        <f>'GMT Glossary'!$B$6</f>
        <v>5</v>
      </c>
      <c r="H74" s="2" t="str">
        <f t="shared" si="4"/>
        <v>2024-09-23</v>
      </c>
      <c r="I74" s="2" t="str">
        <f t="shared" si="5"/>
        <v>10:00</v>
      </c>
    </row>
    <row r="75" spans="1:9" x14ac:dyDescent="0.25">
      <c r="A75" s="17">
        <v>45558</v>
      </c>
      <c r="B75" s="16">
        <v>0.29166666666666669</v>
      </c>
      <c r="C75" s="18" t="s">
        <v>26</v>
      </c>
      <c r="D75" s="34" t="s">
        <v>85</v>
      </c>
      <c r="E75" s="41" t="s">
        <v>20</v>
      </c>
      <c r="F75" s="8">
        <f>(INT(Table_Uzbekistan[[#This Row],[Date]]) - DATE(1970, 1, 1)) * 86400000</f>
        <v>1727049600000</v>
      </c>
      <c r="G75" s="10">
        <f>'GMT Glossary'!$B$6</f>
        <v>5</v>
      </c>
      <c r="H75" s="2" t="str">
        <f t="shared" si="4"/>
        <v>2024-09-23</v>
      </c>
      <c r="I75" s="2" t="str">
        <f t="shared" si="5"/>
        <v>12:00</v>
      </c>
    </row>
    <row r="76" spans="1:9" x14ac:dyDescent="0.25">
      <c r="A76" s="17">
        <v>45558</v>
      </c>
      <c r="B76" s="16">
        <v>0.375</v>
      </c>
      <c r="C76" s="18" t="s">
        <v>26</v>
      </c>
      <c r="D76" s="34" t="s">
        <v>90</v>
      </c>
      <c r="E76" s="41" t="s">
        <v>20</v>
      </c>
      <c r="F76" s="8">
        <f>(INT(Table_Uzbekistan[[#This Row],[Date]]) - DATE(1970, 1, 1)) * 86400000</f>
        <v>1727049600000</v>
      </c>
      <c r="G76" s="10">
        <f>'GMT Glossary'!$B$6</f>
        <v>5</v>
      </c>
      <c r="H76" s="2" t="str">
        <f t="shared" si="4"/>
        <v>2024-09-23</v>
      </c>
      <c r="I76" s="2" t="str">
        <f t="shared" si="5"/>
        <v>14:00</v>
      </c>
    </row>
    <row r="77" spans="1:9" x14ac:dyDescent="0.25">
      <c r="A77" s="17">
        <v>45558</v>
      </c>
      <c r="B77" s="16">
        <v>0.45833333333333331</v>
      </c>
      <c r="C77" s="18" t="s">
        <v>26</v>
      </c>
      <c r="D77" s="34" t="s">
        <v>91</v>
      </c>
      <c r="E77" s="41" t="s">
        <v>20</v>
      </c>
      <c r="F77" s="8">
        <f>(INT(Table_Uzbekistan[[#This Row],[Date]]) - DATE(1970, 1, 1)) * 86400000</f>
        <v>1727049600000</v>
      </c>
      <c r="G77" s="10">
        <f>'GMT Glossary'!$B$6</f>
        <v>5</v>
      </c>
      <c r="H77" s="2" t="str">
        <f t="shared" si="4"/>
        <v>2024-09-23</v>
      </c>
      <c r="I77" s="2" t="str">
        <f t="shared" si="5"/>
        <v>16:00</v>
      </c>
    </row>
    <row r="78" spans="1:9" x14ac:dyDescent="0.25">
      <c r="A78" s="17">
        <v>45558</v>
      </c>
      <c r="B78" s="16">
        <v>0.54166666666666663</v>
      </c>
      <c r="C78" s="18" t="s">
        <v>26</v>
      </c>
      <c r="D78" s="34" t="s">
        <v>92</v>
      </c>
      <c r="E78" s="41" t="s">
        <v>20</v>
      </c>
      <c r="F78" s="8">
        <f>(INT(Table_Uzbekistan[[#This Row],[Date]]) - DATE(1970, 1, 1)) * 86400000</f>
        <v>1727049600000</v>
      </c>
      <c r="G78" s="10">
        <f>'GMT Glossary'!$B$6</f>
        <v>5</v>
      </c>
      <c r="H78" s="2" t="str">
        <f t="shared" si="4"/>
        <v>2024-09-23</v>
      </c>
      <c r="I78" s="2" t="str">
        <f t="shared" si="5"/>
        <v>18:00</v>
      </c>
    </row>
    <row r="79" spans="1:9" x14ac:dyDescent="0.25">
      <c r="A79" s="17">
        <v>45558</v>
      </c>
      <c r="B79" s="16">
        <v>0.625</v>
      </c>
      <c r="C79" s="18" t="s">
        <v>26</v>
      </c>
      <c r="D79" s="34" t="s">
        <v>89</v>
      </c>
      <c r="E79" s="41" t="s">
        <v>20</v>
      </c>
      <c r="F79" s="8">
        <f>(INT(Table_Uzbekistan[[#This Row],[Date]]) - DATE(1970, 1, 1)) * 86400000</f>
        <v>1727049600000</v>
      </c>
      <c r="G79" s="10">
        <f>'GMT Glossary'!$B$6</f>
        <v>5</v>
      </c>
      <c r="H79" s="2" t="str">
        <f t="shared" si="4"/>
        <v>2024-09-23</v>
      </c>
      <c r="I79" s="2" t="str">
        <f t="shared" si="5"/>
        <v>20:00</v>
      </c>
    </row>
    <row r="80" spans="1:9" x14ac:dyDescent="0.25">
      <c r="A80" s="17">
        <v>45558</v>
      </c>
      <c r="B80" s="16">
        <v>0.70833333333333337</v>
      </c>
      <c r="C80" s="18" t="s">
        <v>26</v>
      </c>
      <c r="D80" s="34" t="s">
        <v>87</v>
      </c>
      <c r="E80" s="41" t="s">
        <v>20</v>
      </c>
      <c r="F80" s="8">
        <f>(INT(Table_Uzbekistan[[#This Row],[Date]]) - DATE(1970, 1, 1)) * 86400000</f>
        <v>1727049600000</v>
      </c>
      <c r="G80" s="10">
        <f>'GMT Glossary'!$B$6</f>
        <v>5</v>
      </c>
      <c r="H80" s="2" t="str">
        <f t="shared" si="4"/>
        <v>2024-09-23</v>
      </c>
      <c r="I80" s="2" t="str">
        <f t="shared" si="5"/>
        <v>22:00</v>
      </c>
    </row>
    <row r="81" spans="1:9" x14ac:dyDescent="0.25">
      <c r="A81" s="17">
        <v>45558</v>
      </c>
      <c r="B81" s="16">
        <v>0.78125</v>
      </c>
      <c r="C81" s="18" t="s">
        <v>26</v>
      </c>
      <c r="D81" s="33" t="s">
        <v>93</v>
      </c>
      <c r="E81" s="41" t="s">
        <v>20</v>
      </c>
      <c r="F81" s="8">
        <f>(INT(Table_Uzbekistan[[#This Row],[Date]]) - DATE(1970, 1, 1)) * 86400000</f>
        <v>1727049600000</v>
      </c>
      <c r="G81" s="10">
        <f>'GMT Glossary'!$B$6</f>
        <v>5</v>
      </c>
      <c r="H81" s="2" t="str">
        <f t="shared" si="4"/>
        <v>2024-09-23</v>
      </c>
      <c r="I81" s="2" t="str">
        <f t="shared" si="5"/>
        <v>23:45</v>
      </c>
    </row>
    <row r="82" spans="1:9" x14ac:dyDescent="0.25">
      <c r="A82" s="17">
        <v>45558</v>
      </c>
      <c r="B82" s="16">
        <v>0.875</v>
      </c>
      <c r="C82" s="18" t="s">
        <v>26</v>
      </c>
      <c r="D82" s="34" t="s">
        <v>91</v>
      </c>
      <c r="E82" s="41" t="s">
        <v>20</v>
      </c>
      <c r="F82" s="8">
        <f>(INT(Table_Uzbekistan[[#This Row],[Date]]) - DATE(1970, 1, 1)) * 86400000</f>
        <v>1727049600000</v>
      </c>
      <c r="G82" s="10">
        <f>'GMT Glossary'!$B$6</f>
        <v>5</v>
      </c>
      <c r="H82" s="2" t="str">
        <f t="shared" si="4"/>
        <v>2024-09-24</v>
      </c>
      <c r="I82" s="2" t="str">
        <f t="shared" si="5"/>
        <v>02:00</v>
      </c>
    </row>
    <row r="83" spans="1:9" x14ac:dyDescent="0.25">
      <c r="A83" s="17">
        <v>45558</v>
      </c>
      <c r="B83" s="16">
        <v>0.95833333333333337</v>
      </c>
      <c r="C83" s="18" t="s">
        <v>26</v>
      </c>
      <c r="D83" s="34" t="s">
        <v>94</v>
      </c>
      <c r="E83" s="41" t="s">
        <v>20</v>
      </c>
      <c r="F83" s="8">
        <f>(INT(Table_Uzbekistan[[#This Row],[Date]]) - DATE(1970, 1, 1)) * 86400000</f>
        <v>1727049600000</v>
      </c>
      <c r="G83" s="10">
        <f>'GMT Glossary'!$B$6</f>
        <v>5</v>
      </c>
      <c r="H83" s="2" t="str">
        <f t="shared" si="4"/>
        <v>2024-09-24</v>
      </c>
      <c r="I83" s="2" t="str">
        <f t="shared" si="5"/>
        <v>04:00</v>
      </c>
    </row>
    <row r="84" spans="1:9" x14ac:dyDescent="0.25">
      <c r="A84" s="17">
        <v>45559</v>
      </c>
      <c r="B84" s="16">
        <v>4.1666666666666664E-2</v>
      </c>
      <c r="C84" s="18" t="s">
        <v>26</v>
      </c>
      <c r="D84" s="34" t="s">
        <v>90</v>
      </c>
      <c r="E84" s="41" t="s">
        <v>20</v>
      </c>
      <c r="F84" s="8">
        <f>(INT(Table_Uzbekistan[[#This Row],[Date]]) - DATE(1970, 1, 1)) * 86400000</f>
        <v>1727136000000</v>
      </c>
      <c r="G84" s="10">
        <f>'GMT Glossary'!$B$6</f>
        <v>5</v>
      </c>
      <c r="H84" s="2" t="str">
        <f t="shared" si="4"/>
        <v>2024-09-24</v>
      </c>
      <c r="I84" s="2" t="str">
        <f t="shared" si="5"/>
        <v>06:00</v>
      </c>
    </row>
    <row r="85" spans="1:9" x14ac:dyDescent="0.25">
      <c r="A85" s="17">
        <v>45559</v>
      </c>
      <c r="B85" s="16">
        <v>0.125</v>
      </c>
      <c r="C85" s="18" t="s">
        <v>26</v>
      </c>
      <c r="D85" s="34" t="s">
        <v>86</v>
      </c>
      <c r="E85" s="41" t="s">
        <v>20</v>
      </c>
      <c r="F85" s="8">
        <f>(INT(Table_Uzbekistan[[#This Row],[Date]]) - DATE(1970, 1, 1)) * 86400000</f>
        <v>1727136000000</v>
      </c>
      <c r="G85" s="10">
        <f>'GMT Glossary'!$B$6</f>
        <v>5</v>
      </c>
      <c r="H85" s="2" t="str">
        <f t="shared" si="4"/>
        <v>2024-09-24</v>
      </c>
      <c r="I85" s="2" t="str">
        <f t="shared" si="5"/>
        <v>08:00</v>
      </c>
    </row>
    <row r="86" spans="1:9" x14ac:dyDescent="0.25">
      <c r="A86" s="17">
        <v>45559</v>
      </c>
      <c r="B86" s="16">
        <v>0.20833333333333334</v>
      </c>
      <c r="C86" s="18" t="s">
        <v>26</v>
      </c>
      <c r="D86" s="34" t="s">
        <v>88</v>
      </c>
      <c r="E86" s="41" t="s">
        <v>20</v>
      </c>
      <c r="F86" s="8">
        <f>(INT(Table_Uzbekistan[[#This Row],[Date]]) - DATE(1970, 1, 1)) * 86400000</f>
        <v>1727136000000</v>
      </c>
      <c r="G86" s="10">
        <f>'GMT Glossary'!$B$6</f>
        <v>5</v>
      </c>
      <c r="H86" s="2" t="str">
        <f t="shared" si="4"/>
        <v>2024-09-24</v>
      </c>
      <c r="I86" s="2" t="str">
        <f t="shared" si="5"/>
        <v>10:00</v>
      </c>
    </row>
    <row r="87" spans="1:9" x14ac:dyDescent="0.25">
      <c r="A87" s="37">
        <v>45559</v>
      </c>
      <c r="B87" s="40">
        <v>0.29166666666666669</v>
      </c>
      <c r="C87" s="32" t="s">
        <v>26</v>
      </c>
      <c r="D87" s="38" t="s">
        <v>85</v>
      </c>
      <c r="E87" s="41" t="s">
        <v>20</v>
      </c>
      <c r="F87" s="42">
        <f>(INT(Table_Uzbekistan[[#This Row],[Date]]) - DATE(1970, 1, 1)) * 86400000</f>
        <v>1727136000000</v>
      </c>
      <c r="G87" s="31">
        <f>'GMT Glossary'!$B$6</f>
        <v>5</v>
      </c>
      <c r="H87" s="39" t="str">
        <f t="shared" si="4"/>
        <v>2024-09-24</v>
      </c>
      <c r="I87" s="39" t="str">
        <f t="shared" si="5"/>
        <v>12:00</v>
      </c>
    </row>
    <row r="88" spans="1:9" x14ac:dyDescent="0.25">
      <c r="A88" s="17">
        <v>45552</v>
      </c>
      <c r="B88" s="16">
        <v>0.375</v>
      </c>
      <c r="C88" s="18" t="s">
        <v>26</v>
      </c>
      <c r="D88" s="30" t="s">
        <v>57</v>
      </c>
      <c r="E88" s="41" t="s">
        <v>22</v>
      </c>
      <c r="F88" s="8">
        <f>(INT(Table_Uzbekistan[[#This Row],[Date]]) - DATE(1970, 1, 1)) * 86400000</f>
        <v>1726531200000</v>
      </c>
      <c r="G88" s="10">
        <f>'GMT Glossary'!$B$6</f>
        <v>5</v>
      </c>
      <c r="H88" s="2" t="str">
        <f t="shared" ref="H88:H119" si="6">TEXT(IF(B88&lt;0, A88+1+((B88+(G88/24))-(INT(B88+(G88/24)))), A88+(B88+(G88/24))), "yyyy-mm-dd")</f>
        <v>2024-09-17</v>
      </c>
      <c r="I88" s="2" t="str">
        <f t="shared" ref="I88:I119" si="7">TEXT(IF(B88&lt;0, A88+1+((B88+(G88/24))-(INT(B88+(G88/24)))), A88+(B88+(G88/24))), "hh:mm")</f>
        <v>14:00</v>
      </c>
    </row>
    <row r="89" spans="1:9" x14ac:dyDescent="0.25">
      <c r="A89" s="17">
        <v>45552</v>
      </c>
      <c r="B89" s="16">
        <v>0.45833333333333331</v>
      </c>
      <c r="C89" s="18" t="s">
        <v>26</v>
      </c>
      <c r="D89" s="43" t="s">
        <v>95</v>
      </c>
      <c r="E89" s="41" t="s">
        <v>22</v>
      </c>
      <c r="F89" s="8">
        <f>(INT(Table_Uzbekistan[[#This Row],[Date]]) - DATE(1970, 1, 1)) * 86400000</f>
        <v>1726531200000</v>
      </c>
      <c r="G89" s="10">
        <f>'GMT Glossary'!$B$6</f>
        <v>5</v>
      </c>
      <c r="H89" s="2" t="str">
        <f t="shared" si="6"/>
        <v>2024-09-17</v>
      </c>
      <c r="I89" s="2" t="str">
        <f t="shared" si="7"/>
        <v>16:00</v>
      </c>
    </row>
    <row r="90" spans="1:9" x14ac:dyDescent="0.25">
      <c r="A90" s="17">
        <v>45552</v>
      </c>
      <c r="B90" s="16">
        <v>0.54166666666666663</v>
      </c>
      <c r="C90" s="18" t="s">
        <v>26</v>
      </c>
      <c r="D90" s="43" t="s">
        <v>96</v>
      </c>
      <c r="E90" s="41" t="s">
        <v>22</v>
      </c>
      <c r="F90" s="8">
        <f>(INT(Table_Uzbekistan[[#This Row],[Date]]) - DATE(1970, 1, 1)) * 86400000</f>
        <v>1726531200000</v>
      </c>
      <c r="G90" s="10">
        <f>'GMT Glossary'!$B$6</f>
        <v>5</v>
      </c>
      <c r="H90" s="2" t="str">
        <f t="shared" si="6"/>
        <v>2024-09-17</v>
      </c>
      <c r="I90" s="2" t="str">
        <f t="shared" si="7"/>
        <v>18:00</v>
      </c>
    </row>
    <row r="91" spans="1:9" x14ac:dyDescent="0.25">
      <c r="A91" s="17">
        <v>45552</v>
      </c>
      <c r="B91" s="16">
        <v>0.625</v>
      </c>
      <c r="C91" s="18" t="s">
        <v>26</v>
      </c>
      <c r="D91" s="30" t="s">
        <v>43</v>
      </c>
      <c r="E91" s="41" t="s">
        <v>22</v>
      </c>
      <c r="F91" s="8">
        <f>(INT(Table_Uzbekistan[[#This Row],[Date]]) - DATE(1970, 1, 1)) * 86400000</f>
        <v>1726531200000</v>
      </c>
      <c r="G91" s="10">
        <f>'GMT Glossary'!$B$6</f>
        <v>5</v>
      </c>
      <c r="H91" s="2" t="str">
        <f t="shared" si="6"/>
        <v>2024-09-17</v>
      </c>
      <c r="I91" s="2" t="str">
        <f t="shared" si="7"/>
        <v>20:00</v>
      </c>
    </row>
    <row r="92" spans="1:9" x14ac:dyDescent="0.25">
      <c r="A92" s="17">
        <v>45552</v>
      </c>
      <c r="B92" s="16">
        <v>0.70833333333333337</v>
      </c>
      <c r="C92" s="18" t="s">
        <v>26</v>
      </c>
      <c r="D92" s="43" t="s">
        <v>48</v>
      </c>
      <c r="E92" s="41" t="s">
        <v>22</v>
      </c>
      <c r="F92" s="8">
        <f>(INT(Table_Uzbekistan[[#This Row],[Date]]) - DATE(1970, 1, 1)) * 86400000</f>
        <v>1726531200000</v>
      </c>
      <c r="G92" s="10">
        <f>'GMT Glossary'!$B$6</f>
        <v>5</v>
      </c>
      <c r="H92" s="2" t="str">
        <f t="shared" si="6"/>
        <v>2024-09-17</v>
      </c>
      <c r="I92" s="2" t="str">
        <f t="shared" si="7"/>
        <v>22:00</v>
      </c>
    </row>
    <row r="93" spans="1:9" x14ac:dyDescent="0.25">
      <c r="A93" s="17">
        <v>45552</v>
      </c>
      <c r="B93" s="16">
        <v>0.78125</v>
      </c>
      <c r="C93" s="18" t="s">
        <v>26</v>
      </c>
      <c r="D93" s="35" t="s">
        <v>97</v>
      </c>
      <c r="E93" s="41" t="s">
        <v>22</v>
      </c>
      <c r="F93" s="8">
        <f>(INT(Table_Uzbekistan[[#This Row],[Date]]) - DATE(1970, 1, 1)) * 86400000</f>
        <v>1726531200000</v>
      </c>
      <c r="G93" s="10">
        <f>'GMT Glossary'!$B$6</f>
        <v>5</v>
      </c>
      <c r="H93" s="2" t="str">
        <f t="shared" si="6"/>
        <v>2024-09-17</v>
      </c>
      <c r="I93" s="2" t="str">
        <f t="shared" si="7"/>
        <v>23:45</v>
      </c>
    </row>
    <row r="94" spans="1:9" x14ac:dyDescent="0.25">
      <c r="A94" s="17">
        <v>45552</v>
      </c>
      <c r="B94" s="16">
        <v>0.875</v>
      </c>
      <c r="C94" s="18" t="s">
        <v>26</v>
      </c>
      <c r="D94" s="30" t="s">
        <v>44</v>
      </c>
      <c r="E94" s="41" t="s">
        <v>22</v>
      </c>
      <c r="F94" s="8">
        <f>(INT(Table_Uzbekistan[[#This Row],[Date]]) - DATE(1970, 1, 1)) * 86400000</f>
        <v>1726531200000</v>
      </c>
      <c r="G94" s="10">
        <f>'GMT Glossary'!$B$6</f>
        <v>5</v>
      </c>
      <c r="H94" s="2" t="str">
        <f t="shared" si="6"/>
        <v>2024-09-18</v>
      </c>
      <c r="I94" s="2" t="str">
        <f t="shared" si="7"/>
        <v>02:00</v>
      </c>
    </row>
    <row r="95" spans="1:9" x14ac:dyDescent="0.25">
      <c r="A95" s="17">
        <v>45552</v>
      </c>
      <c r="B95" s="16">
        <v>0.95833333333333337</v>
      </c>
      <c r="C95" s="18" t="s">
        <v>26</v>
      </c>
      <c r="D95" s="43" t="s">
        <v>98</v>
      </c>
      <c r="E95" s="41" t="s">
        <v>22</v>
      </c>
      <c r="F95" s="8">
        <f>(INT(Table_Uzbekistan[[#This Row],[Date]]) - DATE(1970, 1, 1)) * 86400000</f>
        <v>1726531200000</v>
      </c>
      <c r="G95" s="10">
        <f>'GMT Glossary'!$B$6</f>
        <v>5</v>
      </c>
      <c r="H95" s="2" t="str">
        <f t="shared" si="6"/>
        <v>2024-09-18</v>
      </c>
      <c r="I95" s="2" t="str">
        <f t="shared" si="7"/>
        <v>04:00</v>
      </c>
    </row>
    <row r="96" spans="1:9" x14ac:dyDescent="0.25">
      <c r="A96" s="17">
        <v>45553</v>
      </c>
      <c r="B96" s="16">
        <v>4.1666666666666664E-2</v>
      </c>
      <c r="C96" s="18" t="s">
        <v>26</v>
      </c>
      <c r="D96" s="30" t="s">
        <v>52</v>
      </c>
      <c r="E96" s="41" t="s">
        <v>22</v>
      </c>
      <c r="F96" s="8">
        <f>(INT(Table_Uzbekistan[[#This Row],[Date]]) - DATE(1970, 1, 1)) * 86400000</f>
        <v>1726617600000</v>
      </c>
      <c r="G96" s="10">
        <f>'GMT Glossary'!$B$6</f>
        <v>5</v>
      </c>
      <c r="H96" s="2" t="str">
        <f t="shared" si="6"/>
        <v>2024-09-18</v>
      </c>
      <c r="I96" s="2" t="str">
        <f t="shared" si="7"/>
        <v>06:00</v>
      </c>
    </row>
    <row r="97" spans="1:9" x14ac:dyDescent="0.25">
      <c r="A97" s="17">
        <v>45553</v>
      </c>
      <c r="B97" s="16">
        <v>0.125</v>
      </c>
      <c r="C97" s="18" t="s">
        <v>18</v>
      </c>
      <c r="D97" s="30" t="s">
        <v>99</v>
      </c>
      <c r="E97" s="41" t="s">
        <v>22</v>
      </c>
      <c r="F97" s="8">
        <f>(INT(Table_Uzbekistan[[#This Row],[Date]]) - DATE(1970, 1, 1)) * 86400000</f>
        <v>1726617600000</v>
      </c>
      <c r="G97" s="10">
        <f>'GMT Glossary'!$B$6</f>
        <v>5</v>
      </c>
      <c r="H97" s="2" t="str">
        <f t="shared" si="6"/>
        <v>2024-09-18</v>
      </c>
      <c r="I97" s="2" t="str">
        <f t="shared" si="7"/>
        <v>08:00</v>
      </c>
    </row>
    <row r="98" spans="1:9" x14ac:dyDescent="0.25">
      <c r="A98" s="17">
        <v>45553</v>
      </c>
      <c r="B98" s="16">
        <v>0.25</v>
      </c>
      <c r="C98" s="18" t="s">
        <v>37</v>
      </c>
      <c r="D98" s="43" t="s">
        <v>38</v>
      </c>
      <c r="E98" s="41" t="s">
        <v>22</v>
      </c>
      <c r="F98" s="8">
        <f>(INT(Table_Uzbekistan[[#This Row],[Date]]) - DATE(1970, 1, 1)) * 86400000</f>
        <v>1726617600000</v>
      </c>
      <c r="G98" s="10">
        <f>'GMT Glossary'!$B$6</f>
        <v>5</v>
      </c>
      <c r="H98" s="2" t="str">
        <f t="shared" si="6"/>
        <v>2024-09-18</v>
      </c>
      <c r="I98" s="2" t="str">
        <f t="shared" si="7"/>
        <v>11:00</v>
      </c>
    </row>
    <row r="99" spans="1:9" x14ac:dyDescent="0.25">
      <c r="A99" s="17">
        <v>45553</v>
      </c>
      <c r="B99" s="16">
        <v>0.375</v>
      </c>
      <c r="C99" s="18" t="s">
        <v>26</v>
      </c>
      <c r="D99" s="43" t="s">
        <v>45</v>
      </c>
      <c r="E99" s="41" t="s">
        <v>22</v>
      </c>
      <c r="F99" s="8">
        <f>(INT(Table_Uzbekistan[[#This Row],[Date]]) - DATE(1970, 1, 1)) * 86400000</f>
        <v>1726617600000</v>
      </c>
      <c r="G99" s="10">
        <f>'GMT Glossary'!$B$6</f>
        <v>5</v>
      </c>
      <c r="H99" s="2" t="str">
        <f t="shared" si="6"/>
        <v>2024-09-18</v>
      </c>
      <c r="I99" s="2" t="str">
        <f t="shared" si="7"/>
        <v>14:00</v>
      </c>
    </row>
    <row r="100" spans="1:9" x14ac:dyDescent="0.25">
      <c r="A100" s="17">
        <v>45553</v>
      </c>
      <c r="B100" s="16">
        <v>0.45833333333333331</v>
      </c>
      <c r="C100" s="18" t="s">
        <v>26</v>
      </c>
      <c r="D100" s="30" t="s">
        <v>57</v>
      </c>
      <c r="E100" s="41" t="s">
        <v>22</v>
      </c>
      <c r="F100" s="8">
        <f>(INT(Table_Uzbekistan[[#This Row],[Date]]) - DATE(1970, 1, 1)) * 86400000</f>
        <v>1726617600000</v>
      </c>
      <c r="G100" s="10">
        <f>'GMT Glossary'!$B$6</f>
        <v>5</v>
      </c>
      <c r="H100" s="2" t="str">
        <f t="shared" si="6"/>
        <v>2024-09-18</v>
      </c>
      <c r="I100" s="2" t="str">
        <f t="shared" si="7"/>
        <v>16:00</v>
      </c>
    </row>
    <row r="101" spans="1:9" x14ac:dyDescent="0.25">
      <c r="A101" s="17">
        <v>45553</v>
      </c>
      <c r="B101" s="16">
        <v>0.54166666666666663</v>
      </c>
      <c r="C101" s="18" t="s">
        <v>26</v>
      </c>
      <c r="D101" s="30" t="s">
        <v>100</v>
      </c>
      <c r="E101" s="41" t="s">
        <v>22</v>
      </c>
      <c r="F101" s="8">
        <f>(INT(Table_Uzbekistan[[#This Row],[Date]]) - DATE(1970, 1, 1)) * 86400000</f>
        <v>1726617600000</v>
      </c>
      <c r="G101" s="10">
        <f>'GMT Glossary'!$B$6</f>
        <v>5</v>
      </c>
      <c r="H101" s="2" t="str">
        <f t="shared" si="6"/>
        <v>2024-09-18</v>
      </c>
      <c r="I101" s="2" t="str">
        <f t="shared" si="7"/>
        <v>18:00</v>
      </c>
    </row>
    <row r="102" spans="1:9" x14ac:dyDescent="0.25">
      <c r="A102" s="17">
        <v>45553</v>
      </c>
      <c r="B102" s="16">
        <v>0.625</v>
      </c>
      <c r="C102" s="18" t="s">
        <v>26</v>
      </c>
      <c r="D102" s="43" t="s">
        <v>42</v>
      </c>
      <c r="E102" s="41" t="s">
        <v>22</v>
      </c>
      <c r="F102" s="8">
        <f>(INT(Table_Uzbekistan[[#This Row],[Date]]) - DATE(1970, 1, 1)) * 86400000</f>
        <v>1726617600000</v>
      </c>
      <c r="G102" s="10">
        <f>'GMT Glossary'!$B$6</f>
        <v>5</v>
      </c>
      <c r="H102" s="2" t="str">
        <f t="shared" si="6"/>
        <v>2024-09-18</v>
      </c>
      <c r="I102" s="2" t="str">
        <f t="shared" si="7"/>
        <v>20:00</v>
      </c>
    </row>
    <row r="103" spans="1:9" x14ac:dyDescent="0.25">
      <c r="A103" s="17">
        <v>45553</v>
      </c>
      <c r="B103" s="16">
        <v>0.70833333333333337</v>
      </c>
      <c r="C103" s="18" t="s">
        <v>26</v>
      </c>
      <c r="D103" s="35" t="s">
        <v>101</v>
      </c>
      <c r="E103" s="41" t="s">
        <v>22</v>
      </c>
      <c r="F103" s="8">
        <f>(INT(Table_Uzbekistan[[#This Row],[Date]]) - DATE(1970, 1, 1)) * 86400000</f>
        <v>1726617600000</v>
      </c>
      <c r="G103" s="10">
        <f>'GMT Glossary'!$B$6</f>
        <v>5</v>
      </c>
      <c r="H103" s="2" t="str">
        <f t="shared" si="6"/>
        <v>2024-09-18</v>
      </c>
      <c r="I103" s="2" t="str">
        <f t="shared" si="7"/>
        <v>22:00</v>
      </c>
    </row>
    <row r="104" spans="1:9" x14ac:dyDescent="0.25">
      <c r="A104" s="17">
        <v>45553</v>
      </c>
      <c r="B104" s="16">
        <v>0.79166666666666663</v>
      </c>
      <c r="C104" s="18" t="s">
        <v>26</v>
      </c>
      <c r="D104" s="43" t="s">
        <v>49</v>
      </c>
      <c r="E104" s="41" t="s">
        <v>22</v>
      </c>
      <c r="F104" s="8">
        <f>(INT(Table_Uzbekistan[[#This Row],[Date]]) - DATE(1970, 1, 1)) * 86400000</f>
        <v>1726617600000</v>
      </c>
      <c r="G104" s="10">
        <f>'GMT Glossary'!$B$6</f>
        <v>5</v>
      </c>
      <c r="H104" s="2" t="str">
        <f t="shared" si="6"/>
        <v>2024-09-19</v>
      </c>
      <c r="I104" s="2" t="str">
        <f t="shared" si="7"/>
        <v>00:00</v>
      </c>
    </row>
    <row r="105" spans="1:9" x14ac:dyDescent="0.25">
      <c r="A105" s="17">
        <v>45553</v>
      </c>
      <c r="B105" s="16">
        <v>0.875</v>
      </c>
      <c r="C105" s="18" t="s">
        <v>26</v>
      </c>
      <c r="D105" s="30" t="s">
        <v>43</v>
      </c>
      <c r="E105" s="41" t="s">
        <v>22</v>
      </c>
      <c r="F105" s="8">
        <f>(INT(Table_Uzbekistan[[#This Row],[Date]]) - DATE(1970, 1, 1)) * 86400000</f>
        <v>1726617600000</v>
      </c>
      <c r="G105" s="10">
        <f>'GMT Glossary'!$B$6</f>
        <v>5</v>
      </c>
      <c r="H105" s="2" t="str">
        <f t="shared" si="6"/>
        <v>2024-09-19</v>
      </c>
      <c r="I105" s="2" t="str">
        <f t="shared" si="7"/>
        <v>02:00</v>
      </c>
    </row>
    <row r="106" spans="1:9" x14ac:dyDescent="0.25">
      <c r="A106" s="17">
        <v>45553</v>
      </c>
      <c r="B106" s="16">
        <v>0.95833333333333337</v>
      </c>
      <c r="C106" s="18" t="s">
        <v>26</v>
      </c>
      <c r="D106" s="43" t="s">
        <v>102</v>
      </c>
      <c r="E106" s="41" t="s">
        <v>22</v>
      </c>
      <c r="F106" s="8">
        <f>(INT(Table_Uzbekistan[[#This Row],[Date]]) - DATE(1970, 1, 1)) * 86400000</f>
        <v>1726617600000</v>
      </c>
      <c r="G106" s="10">
        <f>'GMT Glossary'!$B$6</f>
        <v>5</v>
      </c>
      <c r="H106" s="2" t="str">
        <f t="shared" si="6"/>
        <v>2024-09-19</v>
      </c>
      <c r="I106" s="2" t="str">
        <f t="shared" si="7"/>
        <v>04:00</v>
      </c>
    </row>
    <row r="107" spans="1:9" x14ac:dyDescent="0.25">
      <c r="A107" s="17">
        <v>45554</v>
      </c>
      <c r="B107" s="16">
        <v>4.1666666666666664E-2</v>
      </c>
      <c r="C107" s="18" t="s">
        <v>37</v>
      </c>
      <c r="D107" s="43" t="s">
        <v>46</v>
      </c>
      <c r="E107" s="41" t="s">
        <v>22</v>
      </c>
      <c r="F107" s="8">
        <f>(INT(Table_Uzbekistan[[#This Row],[Date]]) - DATE(1970, 1, 1)) * 86400000</f>
        <v>1726704000000</v>
      </c>
      <c r="G107" s="10">
        <f>'GMT Glossary'!$B$6</f>
        <v>5</v>
      </c>
      <c r="H107" s="2" t="str">
        <f t="shared" si="6"/>
        <v>2024-09-19</v>
      </c>
      <c r="I107" s="2" t="str">
        <f t="shared" si="7"/>
        <v>06:00</v>
      </c>
    </row>
    <row r="108" spans="1:9" x14ac:dyDescent="0.25">
      <c r="A108" s="17">
        <v>45554</v>
      </c>
      <c r="B108" s="16">
        <v>0.16666666666666666</v>
      </c>
      <c r="C108" s="18" t="s">
        <v>18</v>
      </c>
      <c r="D108" s="30" t="s">
        <v>99</v>
      </c>
      <c r="E108" s="41" t="s">
        <v>22</v>
      </c>
      <c r="F108" s="8">
        <f>(INT(Table_Uzbekistan[[#This Row],[Date]]) - DATE(1970, 1, 1)) * 86400000</f>
        <v>1726704000000</v>
      </c>
      <c r="G108" s="10">
        <f>'GMT Glossary'!$B$6</f>
        <v>5</v>
      </c>
      <c r="H108" s="2" t="str">
        <f t="shared" si="6"/>
        <v>2024-09-19</v>
      </c>
      <c r="I108" s="2" t="str">
        <f t="shared" si="7"/>
        <v>09:00</v>
      </c>
    </row>
    <row r="109" spans="1:9" x14ac:dyDescent="0.25">
      <c r="A109" s="17">
        <v>45554</v>
      </c>
      <c r="B109" s="16">
        <v>0.29166666666666669</v>
      </c>
      <c r="C109" s="18" t="s">
        <v>26</v>
      </c>
      <c r="D109" s="43" t="s">
        <v>103</v>
      </c>
      <c r="E109" s="41" t="s">
        <v>22</v>
      </c>
      <c r="F109" s="8">
        <f>(INT(Table_Uzbekistan[[#This Row],[Date]]) - DATE(1970, 1, 1)) * 86400000</f>
        <v>1726704000000</v>
      </c>
      <c r="G109" s="10">
        <f>'GMT Glossary'!$B$6</f>
        <v>5</v>
      </c>
      <c r="H109" s="2" t="str">
        <f t="shared" si="6"/>
        <v>2024-09-19</v>
      </c>
      <c r="I109" s="2" t="str">
        <f t="shared" si="7"/>
        <v>12:00</v>
      </c>
    </row>
    <row r="110" spans="1:9" x14ac:dyDescent="0.25">
      <c r="A110" s="17">
        <v>45554</v>
      </c>
      <c r="B110" s="16">
        <v>0.375</v>
      </c>
      <c r="C110" s="18" t="s">
        <v>26</v>
      </c>
      <c r="D110" s="30" t="s">
        <v>52</v>
      </c>
      <c r="E110" s="41" t="s">
        <v>22</v>
      </c>
      <c r="F110" s="8">
        <f>(INT(Table_Uzbekistan[[#This Row],[Date]]) - DATE(1970, 1, 1)) * 86400000</f>
        <v>1726704000000</v>
      </c>
      <c r="G110" s="10">
        <f>'GMT Glossary'!$B$6</f>
        <v>5</v>
      </c>
      <c r="H110" s="2" t="str">
        <f t="shared" si="6"/>
        <v>2024-09-19</v>
      </c>
      <c r="I110" s="2" t="str">
        <f t="shared" si="7"/>
        <v>14:00</v>
      </c>
    </row>
    <row r="111" spans="1:9" x14ac:dyDescent="0.25">
      <c r="A111" s="17">
        <v>45554</v>
      </c>
      <c r="B111" s="16">
        <v>0.45833333333333331</v>
      </c>
      <c r="C111" s="18" t="s">
        <v>26</v>
      </c>
      <c r="D111" s="43" t="s">
        <v>40</v>
      </c>
      <c r="E111" s="41" t="s">
        <v>22</v>
      </c>
      <c r="F111" s="8">
        <f>(INT(Table_Uzbekistan[[#This Row],[Date]]) - DATE(1970, 1, 1)) * 86400000</f>
        <v>1726704000000</v>
      </c>
      <c r="G111" s="10">
        <f>'GMT Glossary'!$B$6</f>
        <v>5</v>
      </c>
      <c r="H111" s="2" t="str">
        <f t="shared" si="6"/>
        <v>2024-09-19</v>
      </c>
      <c r="I111" s="2" t="str">
        <f t="shared" si="7"/>
        <v>16:00</v>
      </c>
    </row>
    <row r="112" spans="1:9" x14ac:dyDescent="0.25">
      <c r="A112" s="17">
        <v>45554</v>
      </c>
      <c r="B112" s="16">
        <v>0.54166666666666663</v>
      </c>
      <c r="C112" s="18" t="s">
        <v>26</v>
      </c>
      <c r="D112" s="30" t="s">
        <v>100</v>
      </c>
      <c r="E112" s="41" t="s">
        <v>22</v>
      </c>
      <c r="F112" s="8">
        <f>(INT(Table_Uzbekistan[[#This Row],[Date]]) - DATE(1970, 1, 1)) * 86400000</f>
        <v>1726704000000</v>
      </c>
      <c r="G112" s="10">
        <f>'GMT Glossary'!$B$6</f>
        <v>5</v>
      </c>
      <c r="H112" s="2" t="str">
        <f t="shared" si="6"/>
        <v>2024-09-19</v>
      </c>
      <c r="I112" s="2" t="str">
        <f t="shared" si="7"/>
        <v>18:00</v>
      </c>
    </row>
    <row r="113" spans="1:9" x14ac:dyDescent="0.25">
      <c r="A113" s="17">
        <v>45554</v>
      </c>
      <c r="B113" s="16">
        <v>0.625</v>
      </c>
      <c r="C113" s="18" t="s">
        <v>26</v>
      </c>
      <c r="D113" s="43" t="s">
        <v>104</v>
      </c>
      <c r="E113" s="41" t="s">
        <v>22</v>
      </c>
      <c r="F113" s="8">
        <f>(INT(Table_Uzbekistan[[#This Row],[Date]]) - DATE(1970, 1, 1)) * 86400000</f>
        <v>1726704000000</v>
      </c>
      <c r="G113" s="10">
        <f>'GMT Glossary'!$B$6</f>
        <v>5</v>
      </c>
      <c r="H113" s="2" t="str">
        <f t="shared" si="6"/>
        <v>2024-09-19</v>
      </c>
      <c r="I113" s="2" t="str">
        <f t="shared" si="7"/>
        <v>20:00</v>
      </c>
    </row>
    <row r="114" spans="1:9" x14ac:dyDescent="0.25">
      <c r="A114" s="17">
        <v>45554</v>
      </c>
      <c r="B114" s="16">
        <v>0.70833333333333337</v>
      </c>
      <c r="C114" s="18" t="s">
        <v>26</v>
      </c>
      <c r="D114" s="30" t="s">
        <v>44</v>
      </c>
      <c r="E114" s="41" t="s">
        <v>22</v>
      </c>
      <c r="F114" s="8">
        <f>(INT(Table_Uzbekistan[[#This Row],[Date]]) - DATE(1970, 1, 1)) * 86400000</f>
        <v>1726704000000</v>
      </c>
      <c r="G114" s="10">
        <f>'GMT Glossary'!$B$6</f>
        <v>5</v>
      </c>
      <c r="H114" s="2" t="str">
        <f t="shared" si="6"/>
        <v>2024-09-19</v>
      </c>
      <c r="I114" s="2" t="str">
        <f t="shared" si="7"/>
        <v>22:00</v>
      </c>
    </row>
    <row r="115" spans="1:9" x14ac:dyDescent="0.25">
      <c r="A115" s="17">
        <v>45554</v>
      </c>
      <c r="B115" s="16">
        <v>0.79166666666666663</v>
      </c>
      <c r="C115" s="18" t="s">
        <v>26</v>
      </c>
      <c r="D115" s="43" t="s">
        <v>54</v>
      </c>
      <c r="E115" s="41" t="s">
        <v>22</v>
      </c>
      <c r="F115" s="8">
        <f>(INT(Table_Uzbekistan[[#This Row],[Date]]) - DATE(1970, 1, 1)) * 86400000</f>
        <v>1726704000000</v>
      </c>
      <c r="G115" s="10">
        <f>'GMT Glossary'!$B$6</f>
        <v>5</v>
      </c>
      <c r="H115" s="2" t="str">
        <f t="shared" si="6"/>
        <v>2024-09-20</v>
      </c>
      <c r="I115" s="2" t="str">
        <f t="shared" si="7"/>
        <v>00:00</v>
      </c>
    </row>
    <row r="116" spans="1:9" x14ac:dyDescent="0.25">
      <c r="A116" s="17">
        <v>45554</v>
      </c>
      <c r="B116" s="16">
        <v>0.875</v>
      </c>
      <c r="C116" s="18" t="s">
        <v>26</v>
      </c>
      <c r="D116" s="30" t="s">
        <v>43</v>
      </c>
      <c r="E116" s="41" t="s">
        <v>22</v>
      </c>
      <c r="F116" s="8">
        <f>(INT(Table_Uzbekistan[[#This Row],[Date]]) - DATE(1970, 1, 1)) * 86400000</f>
        <v>1726704000000</v>
      </c>
      <c r="G116" s="10">
        <f>'GMT Glossary'!$B$6</f>
        <v>5</v>
      </c>
      <c r="H116" s="2" t="str">
        <f t="shared" si="6"/>
        <v>2024-09-20</v>
      </c>
      <c r="I116" s="2" t="str">
        <f t="shared" si="7"/>
        <v>02:00</v>
      </c>
    </row>
    <row r="117" spans="1:9" x14ac:dyDescent="0.25">
      <c r="A117" s="17">
        <v>45554</v>
      </c>
      <c r="B117" s="16">
        <v>0.95833333333333337</v>
      </c>
      <c r="C117" s="18" t="s">
        <v>26</v>
      </c>
      <c r="D117" s="43" t="s">
        <v>48</v>
      </c>
      <c r="E117" s="41" t="s">
        <v>22</v>
      </c>
      <c r="F117" s="8">
        <f>(INT(Table_Uzbekistan[[#This Row],[Date]]) - DATE(1970, 1, 1)) * 86400000</f>
        <v>1726704000000</v>
      </c>
      <c r="G117" s="10">
        <f>'GMT Glossary'!$B$6</f>
        <v>5</v>
      </c>
      <c r="H117" s="2" t="str">
        <f t="shared" si="6"/>
        <v>2024-09-20</v>
      </c>
      <c r="I117" s="2" t="str">
        <f t="shared" si="7"/>
        <v>04:00</v>
      </c>
    </row>
    <row r="118" spans="1:9" x14ac:dyDescent="0.25">
      <c r="A118" s="17">
        <v>45555</v>
      </c>
      <c r="B118" s="16">
        <v>4.1666666666666664E-2</v>
      </c>
      <c r="C118" s="18" t="s">
        <v>37</v>
      </c>
      <c r="D118" s="43" t="s">
        <v>39</v>
      </c>
      <c r="E118" s="41" t="s">
        <v>22</v>
      </c>
      <c r="F118" s="8">
        <f>(INT(Table_Uzbekistan[[#This Row],[Date]]) - DATE(1970, 1, 1)) * 86400000</f>
        <v>1726790400000</v>
      </c>
      <c r="G118" s="10">
        <f>'GMT Glossary'!$B$6</f>
        <v>5</v>
      </c>
      <c r="H118" s="2" t="str">
        <f t="shared" si="6"/>
        <v>2024-09-20</v>
      </c>
      <c r="I118" s="2" t="str">
        <f t="shared" si="7"/>
        <v>06:00</v>
      </c>
    </row>
    <row r="119" spans="1:9" x14ac:dyDescent="0.25">
      <c r="A119" s="17">
        <v>45555</v>
      </c>
      <c r="B119" s="16">
        <v>0.125</v>
      </c>
      <c r="C119" s="18" t="s">
        <v>26</v>
      </c>
      <c r="D119" s="43" t="s">
        <v>53</v>
      </c>
      <c r="E119" s="41" t="s">
        <v>22</v>
      </c>
      <c r="F119" s="8">
        <f>(INT(Table_Uzbekistan[[#This Row],[Date]]) - DATE(1970, 1, 1)) * 86400000</f>
        <v>1726790400000</v>
      </c>
      <c r="G119" s="10">
        <f>'GMT Glossary'!$B$6</f>
        <v>5</v>
      </c>
      <c r="H119" s="2" t="str">
        <f t="shared" si="6"/>
        <v>2024-09-20</v>
      </c>
      <c r="I119" s="2" t="str">
        <f t="shared" si="7"/>
        <v>08:00</v>
      </c>
    </row>
    <row r="120" spans="1:9" x14ac:dyDescent="0.25">
      <c r="A120" s="17">
        <v>45555</v>
      </c>
      <c r="B120" s="16">
        <v>0.20833333333333334</v>
      </c>
      <c r="C120" s="18" t="s">
        <v>36</v>
      </c>
      <c r="D120" s="36" t="s">
        <v>105</v>
      </c>
      <c r="E120" s="41" t="s">
        <v>22</v>
      </c>
      <c r="F120" s="8">
        <f>(INT(Table_Uzbekistan[[#This Row],[Date]]) - DATE(1970, 1, 1)) * 86400000</f>
        <v>1726790400000</v>
      </c>
      <c r="G120" s="10">
        <f>'GMT Glossary'!$B$6</f>
        <v>5</v>
      </c>
      <c r="H120" s="2" t="str">
        <f t="shared" ref="H120:H151" si="8">TEXT(IF(B120&lt;0, A120+1+((B120+(G120/24))-(INT(B120+(G120/24)))), A120+(B120+(G120/24))), "yyyy-mm-dd")</f>
        <v>2024-09-20</v>
      </c>
      <c r="I120" s="2" t="str">
        <f t="shared" ref="I120:I151" si="9">TEXT(IF(B120&lt;0, A120+1+((B120+(G120/24))-(INT(B120+(G120/24)))), A120+(B120+(G120/24))), "hh:mm")</f>
        <v>10:00</v>
      </c>
    </row>
    <row r="121" spans="1:9" x14ac:dyDescent="0.25">
      <c r="A121" s="17">
        <v>45555</v>
      </c>
      <c r="B121" s="16">
        <v>0.27083333333333331</v>
      </c>
      <c r="C121" s="18" t="s">
        <v>36</v>
      </c>
      <c r="D121" s="36" t="s">
        <v>106</v>
      </c>
      <c r="E121" s="41" t="s">
        <v>22</v>
      </c>
      <c r="F121" s="8">
        <f>(INT(Table_Uzbekistan[[#This Row],[Date]]) - DATE(1970, 1, 1)) * 86400000</f>
        <v>1726790400000</v>
      </c>
      <c r="G121" s="10">
        <f>'GMT Glossary'!$B$6</f>
        <v>5</v>
      </c>
      <c r="H121" s="2" t="str">
        <f t="shared" si="8"/>
        <v>2024-09-20</v>
      </c>
      <c r="I121" s="2" t="str">
        <f t="shared" si="9"/>
        <v>11:30</v>
      </c>
    </row>
    <row r="122" spans="1:9" x14ac:dyDescent="0.25">
      <c r="A122" s="17">
        <v>45555</v>
      </c>
      <c r="B122" s="16">
        <v>0.33333333333333331</v>
      </c>
      <c r="C122" s="18" t="s">
        <v>36</v>
      </c>
      <c r="D122" s="36" t="s">
        <v>107</v>
      </c>
      <c r="E122" s="41" t="s">
        <v>22</v>
      </c>
      <c r="F122" s="8">
        <f>(INT(Table_Uzbekistan[[#This Row],[Date]]) - DATE(1970, 1, 1)) * 86400000</f>
        <v>1726790400000</v>
      </c>
      <c r="G122" s="10">
        <f>'GMT Glossary'!$B$6</f>
        <v>5</v>
      </c>
      <c r="H122" s="2" t="str">
        <f t="shared" si="8"/>
        <v>2024-09-20</v>
      </c>
      <c r="I122" s="2" t="str">
        <f t="shared" si="9"/>
        <v>13:00</v>
      </c>
    </row>
    <row r="123" spans="1:9" x14ac:dyDescent="0.25">
      <c r="A123" s="17">
        <v>45555</v>
      </c>
      <c r="B123" s="16">
        <v>0.41666666666666669</v>
      </c>
      <c r="C123" s="18" t="s">
        <v>36</v>
      </c>
      <c r="D123" s="36" t="s">
        <v>108</v>
      </c>
      <c r="E123" s="41" t="s">
        <v>22</v>
      </c>
      <c r="F123" s="8">
        <f>(INT(Table_Uzbekistan[[#This Row],[Date]]) - DATE(1970, 1, 1)) * 86400000</f>
        <v>1726790400000</v>
      </c>
      <c r="G123" s="10">
        <f>'GMT Glossary'!$B$6</f>
        <v>5</v>
      </c>
      <c r="H123" s="2" t="str">
        <f t="shared" si="8"/>
        <v>2024-09-20</v>
      </c>
      <c r="I123" s="2" t="str">
        <f t="shared" si="9"/>
        <v>15:00</v>
      </c>
    </row>
    <row r="124" spans="1:9" x14ac:dyDescent="0.25">
      <c r="A124" s="17">
        <v>45555</v>
      </c>
      <c r="B124" s="16">
        <v>0.54166666666666663</v>
      </c>
      <c r="C124" s="18" t="s">
        <v>26</v>
      </c>
      <c r="D124" s="43" t="s">
        <v>98</v>
      </c>
      <c r="E124" s="41" t="s">
        <v>22</v>
      </c>
      <c r="F124" s="8">
        <f>(INT(Table_Uzbekistan[[#This Row],[Date]]) - DATE(1970, 1, 1)) * 86400000</f>
        <v>1726790400000</v>
      </c>
      <c r="G124" s="10">
        <f>'GMT Glossary'!$B$6</f>
        <v>5</v>
      </c>
      <c r="H124" s="2" t="str">
        <f t="shared" si="8"/>
        <v>2024-09-20</v>
      </c>
      <c r="I124" s="2" t="str">
        <f t="shared" si="9"/>
        <v>18:00</v>
      </c>
    </row>
    <row r="125" spans="1:9" x14ac:dyDescent="0.25">
      <c r="A125" s="17">
        <v>45555</v>
      </c>
      <c r="B125" s="16">
        <v>0.64583333333333337</v>
      </c>
      <c r="C125" s="18" t="s">
        <v>21</v>
      </c>
      <c r="D125" s="36" t="s">
        <v>109</v>
      </c>
      <c r="E125" s="41" t="s">
        <v>22</v>
      </c>
      <c r="F125" s="8">
        <f>(INT(Table_Uzbekistan[[#This Row],[Date]]) - DATE(1970, 1, 1)) * 86400000</f>
        <v>1726790400000</v>
      </c>
      <c r="G125" s="10">
        <f>'GMT Glossary'!$B$6</f>
        <v>5</v>
      </c>
      <c r="H125" s="2" t="str">
        <f t="shared" si="8"/>
        <v>2024-09-20</v>
      </c>
      <c r="I125" s="2" t="str">
        <f t="shared" si="9"/>
        <v>20:30</v>
      </c>
    </row>
    <row r="126" spans="1:9" x14ac:dyDescent="0.25">
      <c r="A126" s="17">
        <v>45555</v>
      </c>
      <c r="B126" s="16">
        <v>0.79166666666666663</v>
      </c>
      <c r="C126" s="18" t="s">
        <v>26</v>
      </c>
      <c r="D126" s="43" t="s">
        <v>45</v>
      </c>
      <c r="E126" s="41" t="s">
        <v>22</v>
      </c>
      <c r="F126" s="8">
        <f>(INT(Table_Uzbekistan[[#This Row],[Date]]) - DATE(1970, 1, 1)) * 86400000</f>
        <v>1726790400000</v>
      </c>
      <c r="G126" s="10">
        <f>'GMT Glossary'!$B$6</f>
        <v>5</v>
      </c>
      <c r="H126" s="2" t="str">
        <f t="shared" si="8"/>
        <v>2024-09-21</v>
      </c>
      <c r="I126" s="2" t="str">
        <f t="shared" si="9"/>
        <v>00:00</v>
      </c>
    </row>
    <row r="127" spans="1:9" x14ac:dyDescent="0.25">
      <c r="A127" s="17">
        <v>45555</v>
      </c>
      <c r="B127" s="16">
        <v>0.875</v>
      </c>
      <c r="C127" s="18" t="s">
        <v>26</v>
      </c>
      <c r="D127" s="43" t="s">
        <v>49</v>
      </c>
      <c r="E127" s="41" t="s">
        <v>22</v>
      </c>
      <c r="F127" s="8">
        <f>(INT(Table_Uzbekistan[[#This Row],[Date]]) - DATE(1970, 1, 1)) * 86400000</f>
        <v>1726790400000</v>
      </c>
      <c r="G127" s="10">
        <f>'GMT Glossary'!$B$6</f>
        <v>5</v>
      </c>
      <c r="H127" s="2" t="str">
        <f t="shared" si="8"/>
        <v>2024-09-21</v>
      </c>
      <c r="I127" s="2" t="str">
        <f t="shared" si="9"/>
        <v>02:00</v>
      </c>
    </row>
    <row r="128" spans="1:9" x14ac:dyDescent="0.25">
      <c r="A128" s="17">
        <v>45555</v>
      </c>
      <c r="B128" s="16">
        <v>0.95833333333333337</v>
      </c>
      <c r="C128" s="18" t="s">
        <v>26</v>
      </c>
      <c r="D128" s="30" t="s">
        <v>43</v>
      </c>
      <c r="E128" s="41" t="s">
        <v>22</v>
      </c>
      <c r="F128" s="8">
        <f>(INT(Table_Uzbekistan[[#This Row],[Date]]) - DATE(1970, 1, 1)) * 86400000</f>
        <v>1726790400000</v>
      </c>
      <c r="G128" s="10">
        <f>'GMT Glossary'!$B$6</f>
        <v>5</v>
      </c>
      <c r="H128" s="2" t="str">
        <f t="shared" si="8"/>
        <v>2024-09-21</v>
      </c>
      <c r="I128" s="2" t="str">
        <f t="shared" si="9"/>
        <v>04:00</v>
      </c>
    </row>
    <row r="129" spans="1:9" x14ac:dyDescent="0.25">
      <c r="A129" s="17">
        <v>45556</v>
      </c>
      <c r="B129" s="16">
        <v>4.1666666666666664E-2</v>
      </c>
      <c r="C129" s="18" t="s">
        <v>26</v>
      </c>
      <c r="D129" s="43" t="s">
        <v>42</v>
      </c>
      <c r="E129" s="41" t="s">
        <v>22</v>
      </c>
      <c r="F129" s="8">
        <f>(INT(Table_Uzbekistan[[#This Row],[Date]]) - DATE(1970, 1, 1)) * 86400000</f>
        <v>1726876800000</v>
      </c>
      <c r="G129" s="10">
        <f>'GMT Glossary'!$B$6</f>
        <v>5</v>
      </c>
      <c r="H129" s="2" t="str">
        <f t="shared" si="8"/>
        <v>2024-09-21</v>
      </c>
      <c r="I129" s="2" t="str">
        <f t="shared" si="9"/>
        <v>06:00</v>
      </c>
    </row>
    <row r="130" spans="1:9" x14ac:dyDescent="0.25">
      <c r="A130" s="17">
        <v>45556</v>
      </c>
      <c r="B130" s="16">
        <v>0.125</v>
      </c>
      <c r="C130" s="18" t="s">
        <v>26</v>
      </c>
      <c r="D130" s="43" t="s">
        <v>102</v>
      </c>
      <c r="E130" s="41" t="s">
        <v>22</v>
      </c>
      <c r="F130" s="8">
        <f>(INT(Table_Uzbekistan[[#This Row],[Date]]) - DATE(1970, 1, 1)) * 86400000</f>
        <v>1726876800000</v>
      </c>
      <c r="G130" s="10">
        <f>'GMT Glossary'!$B$6</f>
        <v>5</v>
      </c>
      <c r="H130" s="2" t="str">
        <f t="shared" si="8"/>
        <v>2024-09-21</v>
      </c>
      <c r="I130" s="2" t="str">
        <f t="shared" si="9"/>
        <v>08:00</v>
      </c>
    </row>
    <row r="131" spans="1:9" x14ac:dyDescent="0.25">
      <c r="A131" s="17">
        <v>45556</v>
      </c>
      <c r="B131" s="16">
        <v>0.20833333333333334</v>
      </c>
      <c r="C131" s="18" t="s">
        <v>37</v>
      </c>
      <c r="D131" s="43" t="s">
        <v>46</v>
      </c>
      <c r="E131" s="41" t="s">
        <v>22</v>
      </c>
      <c r="F131" s="8">
        <f>(INT(Table_Uzbekistan[[#This Row],[Date]]) - DATE(1970, 1, 1)) * 86400000</f>
        <v>1726876800000</v>
      </c>
      <c r="G131" s="10">
        <f>'GMT Glossary'!$B$6</f>
        <v>5</v>
      </c>
      <c r="H131" s="2" t="str">
        <f t="shared" si="8"/>
        <v>2024-09-21</v>
      </c>
      <c r="I131" s="2" t="str">
        <f t="shared" si="9"/>
        <v>10:00</v>
      </c>
    </row>
    <row r="132" spans="1:9" x14ac:dyDescent="0.25">
      <c r="A132" s="17">
        <v>45556</v>
      </c>
      <c r="B132" s="16">
        <v>0.29166666666666669</v>
      </c>
      <c r="C132" s="18" t="s">
        <v>36</v>
      </c>
      <c r="D132" s="36" t="s">
        <v>110</v>
      </c>
      <c r="E132" s="41" t="s">
        <v>22</v>
      </c>
      <c r="F132" s="8">
        <f>(INT(Table_Uzbekistan[[#This Row],[Date]]) - DATE(1970, 1, 1)) * 86400000</f>
        <v>1726876800000</v>
      </c>
      <c r="G132" s="10">
        <f>'GMT Glossary'!$B$6</f>
        <v>5</v>
      </c>
      <c r="H132" s="2" t="str">
        <f t="shared" si="8"/>
        <v>2024-09-21</v>
      </c>
      <c r="I132" s="2" t="str">
        <f t="shared" si="9"/>
        <v>12:00</v>
      </c>
    </row>
    <row r="133" spans="1:9" x14ac:dyDescent="0.25">
      <c r="A133" s="17">
        <v>45556</v>
      </c>
      <c r="B133" s="16">
        <v>0.35416666666666669</v>
      </c>
      <c r="C133" s="18" t="s">
        <v>36</v>
      </c>
      <c r="D133" s="36" t="s">
        <v>111</v>
      </c>
      <c r="E133" s="41" t="s">
        <v>22</v>
      </c>
      <c r="F133" s="8">
        <f>(INT(Table_Uzbekistan[[#This Row],[Date]]) - DATE(1970, 1, 1)) * 86400000</f>
        <v>1726876800000</v>
      </c>
      <c r="G133" s="10">
        <f>'GMT Glossary'!$B$6</f>
        <v>5</v>
      </c>
      <c r="H133" s="2" t="str">
        <f t="shared" si="8"/>
        <v>2024-09-21</v>
      </c>
      <c r="I133" s="2" t="str">
        <f t="shared" si="9"/>
        <v>13:30</v>
      </c>
    </row>
    <row r="134" spans="1:9" x14ac:dyDescent="0.25">
      <c r="A134" s="17">
        <v>45556</v>
      </c>
      <c r="B134" s="16">
        <v>0.45833333333333331</v>
      </c>
      <c r="C134" s="18" t="s">
        <v>26</v>
      </c>
      <c r="D134" s="43" t="s">
        <v>112</v>
      </c>
      <c r="E134" s="41" t="s">
        <v>22</v>
      </c>
      <c r="F134" s="8">
        <f>(INT(Table_Uzbekistan[[#This Row],[Date]]) - DATE(1970, 1, 1)) * 86400000</f>
        <v>1726876800000</v>
      </c>
      <c r="G134" s="10">
        <f>'GMT Glossary'!$B$6</f>
        <v>5</v>
      </c>
      <c r="H134" s="2" t="str">
        <f t="shared" si="8"/>
        <v>2024-09-21</v>
      </c>
      <c r="I134" s="2" t="str">
        <f t="shared" si="9"/>
        <v>16:00</v>
      </c>
    </row>
    <row r="135" spans="1:9" x14ac:dyDescent="0.25">
      <c r="A135" s="17">
        <v>45556</v>
      </c>
      <c r="B135" s="16">
        <v>0.54166666666666663</v>
      </c>
      <c r="C135" s="18" t="s">
        <v>37</v>
      </c>
      <c r="D135" s="36" t="s">
        <v>113</v>
      </c>
      <c r="E135" s="41" t="s">
        <v>22</v>
      </c>
      <c r="F135" s="8">
        <f>(INT(Table_Uzbekistan[[#This Row],[Date]]) - DATE(1970, 1, 1)) * 86400000</f>
        <v>1726876800000</v>
      </c>
      <c r="G135" s="10">
        <f>'GMT Glossary'!$B$6</f>
        <v>5</v>
      </c>
      <c r="H135" s="2" t="str">
        <f t="shared" si="8"/>
        <v>2024-09-21</v>
      </c>
      <c r="I135" s="2" t="str">
        <f t="shared" si="9"/>
        <v>18:00</v>
      </c>
    </row>
    <row r="136" spans="1:9" x14ac:dyDescent="0.25">
      <c r="A136" s="17">
        <v>45556</v>
      </c>
      <c r="B136" s="16">
        <v>0.58333333333333337</v>
      </c>
      <c r="C136" s="18" t="s">
        <v>26</v>
      </c>
      <c r="D136" s="36" t="s">
        <v>198</v>
      </c>
      <c r="E136" s="41" t="s">
        <v>22</v>
      </c>
      <c r="F136" s="8">
        <f>(INT(Table_Uzbekistan[[#This Row],[Date]]) - DATE(1970, 1, 1)) * 86400000</f>
        <v>1726876800000</v>
      </c>
      <c r="G136" s="10">
        <f>'GMT Glossary'!$B$6</f>
        <v>5</v>
      </c>
      <c r="H136" s="2" t="str">
        <f t="shared" si="8"/>
        <v>2024-09-21</v>
      </c>
      <c r="I136" s="2" t="str">
        <f t="shared" si="9"/>
        <v>19:00</v>
      </c>
    </row>
    <row r="137" spans="1:9" x14ac:dyDescent="0.25">
      <c r="A137" s="17">
        <v>45556</v>
      </c>
      <c r="B137" s="16">
        <v>0.66666666666666663</v>
      </c>
      <c r="C137" s="18" t="s">
        <v>26</v>
      </c>
      <c r="D137" s="35" t="s">
        <v>115</v>
      </c>
      <c r="E137" s="41" t="s">
        <v>22</v>
      </c>
      <c r="F137" s="8">
        <f>(INT(Table_Uzbekistan[[#This Row],[Date]]) - DATE(1970, 1, 1)) * 86400000</f>
        <v>1726876800000</v>
      </c>
      <c r="G137" s="10">
        <f>'GMT Glossary'!$B$6</f>
        <v>5</v>
      </c>
      <c r="H137" s="2" t="str">
        <f t="shared" si="8"/>
        <v>2024-09-21</v>
      </c>
      <c r="I137" s="2" t="str">
        <f t="shared" si="9"/>
        <v>21:00</v>
      </c>
    </row>
    <row r="138" spans="1:9" x14ac:dyDescent="0.25">
      <c r="A138" s="17">
        <v>45556</v>
      </c>
      <c r="B138" s="16">
        <v>0.79166666666666663</v>
      </c>
      <c r="C138" s="18" t="s">
        <v>26</v>
      </c>
      <c r="D138" s="35" t="s">
        <v>116</v>
      </c>
      <c r="E138" s="41" t="s">
        <v>22</v>
      </c>
      <c r="F138" s="8">
        <f>(INT(Table_Uzbekistan[[#This Row],[Date]]) - DATE(1970, 1, 1)) * 86400000</f>
        <v>1726876800000</v>
      </c>
      <c r="G138" s="10">
        <f>'GMT Glossary'!$B$6</f>
        <v>5</v>
      </c>
      <c r="H138" s="2" t="str">
        <f t="shared" si="8"/>
        <v>2024-09-22</v>
      </c>
      <c r="I138" s="2" t="str">
        <f t="shared" si="9"/>
        <v>00:00</v>
      </c>
    </row>
    <row r="139" spans="1:9" x14ac:dyDescent="0.25">
      <c r="A139" s="17">
        <v>45556</v>
      </c>
      <c r="B139" s="16">
        <v>0.875</v>
      </c>
      <c r="C139" s="18" t="s">
        <v>26</v>
      </c>
      <c r="D139" s="30" t="s">
        <v>117</v>
      </c>
      <c r="E139" s="41" t="s">
        <v>22</v>
      </c>
      <c r="F139" s="8">
        <f>(INT(Table_Uzbekistan[[#This Row],[Date]]) - DATE(1970, 1, 1)) * 86400000</f>
        <v>1726876800000</v>
      </c>
      <c r="G139" s="10">
        <f>'GMT Glossary'!$B$6</f>
        <v>5</v>
      </c>
      <c r="H139" s="2" t="str">
        <f t="shared" si="8"/>
        <v>2024-09-22</v>
      </c>
      <c r="I139" s="2" t="str">
        <f t="shared" si="9"/>
        <v>02:00</v>
      </c>
    </row>
    <row r="140" spans="1:9" x14ac:dyDescent="0.25">
      <c r="A140" s="17">
        <v>45556</v>
      </c>
      <c r="B140" s="16">
        <v>0.95833333333333337</v>
      </c>
      <c r="C140" s="18" t="s">
        <v>26</v>
      </c>
      <c r="D140" s="43" t="s">
        <v>49</v>
      </c>
      <c r="E140" s="41" t="s">
        <v>22</v>
      </c>
      <c r="F140" s="8">
        <f>(INT(Table_Uzbekistan[[#This Row],[Date]]) - DATE(1970, 1, 1)) * 86400000</f>
        <v>1726876800000</v>
      </c>
      <c r="G140" s="10">
        <f>'GMT Glossary'!$B$6</f>
        <v>5</v>
      </c>
      <c r="H140" s="2" t="str">
        <f t="shared" si="8"/>
        <v>2024-09-22</v>
      </c>
      <c r="I140" s="2" t="str">
        <f t="shared" si="9"/>
        <v>04:00</v>
      </c>
    </row>
    <row r="141" spans="1:9" x14ac:dyDescent="0.25">
      <c r="A141" s="17">
        <v>45557</v>
      </c>
      <c r="B141" s="16">
        <v>4.1666666666666664E-2</v>
      </c>
      <c r="C141" s="18" t="s">
        <v>26</v>
      </c>
      <c r="D141" s="43" t="s">
        <v>112</v>
      </c>
      <c r="E141" s="41" t="s">
        <v>22</v>
      </c>
      <c r="F141" s="8">
        <f>(INT(Table_Uzbekistan[[#This Row],[Date]]) - DATE(1970, 1, 1)) * 86400000</f>
        <v>1726963200000</v>
      </c>
      <c r="G141" s="10">
        <f>'GMT Glossary'!$B$6</f>
        <v>5</v>
      </c>
      <c r="H141" s="2" t="str">
        <f t="shared" si="8"/>
        <v>2024-09-22</v>
      </c>
      <c r="I141" s="2" t="str">
        <f t="shared" si="9"/>
        <v>06:00</v>
      </c>
    </row>
    <row r="142" spans="1:9" x14ac:dyDescent="0.25">
      <c r="A142" s="17">
        <v>45557</v>
      </c>
      <c r="B142" s="16">
        <v>0.125</v>
      </c>
      <c r="C142" s="18" t="s">
        <v>26</v>
      </c>
      <c r="D142" s="30" t="s">
        <v>117</v>
      </c>
      <c r="E142" s="41" t="s">
        <v>22</v>
      </c>
      <c r="F142" s="8">
        <f>(INT(Table_Uzbekistan[[#This Row],[Date]]) - DATE(1970, 1, 1)) * 86400000</f>
        <v>1726963200000</v>
      </c>
      <c r="G142" s="10">
        <f>'GMT Glossary'!$B$6</f>
        <v>5</v>
      </c>
      <c r="H142" s="2" t="str">
        <f t="shared" si="8"/>
        <v>2024-09-22</v>
      </c>
      <c r="I142" s="2" t="str">
        <f t="shared" si="9"/>
        <v>08:00</v>
      </c>
    </row>
    <row r="143" spans="1:9" x14ac:dyDescent="0.25">
      <c r="A143" s="17">
        <v>45557</v>
      </c>
      <c r="B143" s="16">
        <v>0.20833333333333334</v>
      </c>
      <c r="C143" s="18" t="s">
        <v>37</v>
      </c>
      <c r="D143" s="43" t="s">
        <v>41</v>
      </c>
      <c r="E143" s="41" t="s">
        <v>22</v>
      </c>
      <c r="F143" s="8">
        <f>(INT(Table_Uzbekistan[[#This Row],[Date]]) - DATE(1970, 1, 1)) * 86400000</f>
        <v>1726963200000</v>
      </c>
      <c r="G143" s="10">
        <f>'GMT Glossary'!$B$6</f>
        <v>5</v>
      </c>
      <c r="H143" s="2" t="str">
        <f t="shared" si="8"/>
        <v>2024-09-22</v>
      </c>
      <c r="I143" s="2" t="str">
        <f t="shared" si="9"/>
        <v>10:00</v>
      </c>
    </row>
    <row r="144" spans="1:9" x14ac:dyDescent="0.25">
      <c r="A144" s="17">
        <v>45557</v>
      </c>
      <c r="B144" s="16">
        <v>0.29166666666666669</v>
      </c>
      <c r="C144" s="18" t="s">
        <v>36</v>
      </c>
      <c r="D144" s="36" t="s">
        <v>118</v>
      </c>
      <c r="E144" s="41" t="s">
        <v>22</v>
      </c>
      <c r="F144" s="8">
        <f>(INT(Table_Uzbekistan[[#This Row],[Date]]) - DATE(1970, 1, 1)) * 86400000</f>
        <v>1726963200000</v>
      </c>
      <c r="G144" s="10">
        <f>'GMT Glossary'!$B$6</f>
        <v>5</v>
      </c>
      <c r="H144" s="2" t="str">
        <f t="shared" si="8"/>
        <v>2024-09-22</v>
      </c>
      <c r="I144" s="2" t="str">
        <f t="shared" si="9"/>
        <v>12:00</v>
      </c>
    </row>
    <row r="145" spans="1:9" x14ac:dyDescent="0.25">
      <c r="A145" s="17">
        <v>45557</v>
      </c>
      <c r="B145" s="16">
        <v>0.375</v>
      </c>
      <c r="C145" s="18" t="s">
        <v>26</v>
      </c>
      <c r="D145" s="43" t="s">
        <v>119</v>
      </c>
      <c r="E145" s="41" t="s">
        <v>22</v>
      </c>
      <c r="F145" s="8">
        <f>(INT(Table_Uzbekistan[[#This Row],[Date]]) - DATE(1970, 1, 1)) * 86400000</f>
        <v>1726963200000</v>
      </c>
      <c r="G145" s="10">
        <f>'GMT Glossary'!$B$6</f>
        <v>5</v>
      </c>
      <c r="H145" s="2" t="str">
        <f t="shared" si="8"/>
        <v>2024-09-22</v>
      </c>
      <c r="I145" s="2" t="str">
        <f t="shared" si="9"/>
        <v>14:00</v>
      </c>
    </row>
    <row r="146" spans="1:9" x14ac:dyDescent="0.25">
      <c r="A146" s="17">
        <v>45557</v>
      </c>
      <c r="B146" s="16">
        <v>0.5</v>
      </c>
      <c r="C146" s="18" t="s">
        <v>37</v>
      </c>
      <c r="D146" s="35" t="s">
        <v>120</v>
      </c>
      <c r="E146" s="41" t="s">
        <v>22</v>
      </c>
      <c r="F146" s="8">
        <f>(INT(Table_Uzbekistan[[#This Row],[Date]]) - DATE(1970, 1, 1)) * 86400000</f>
        <v>1726963200000</v>
      </c>
      <c r="G146" s="10">
        <f>'GMT Glossary'!$B$6</f>
        <v>5</v>
      </c>
      <c r="H146" s="2" t="str">
        <f t="shared" si="8"/>
        <v>2024-09-22</v>
      </c>
      <c r="I146" s="2" t="str">
        <f t="shared" si="9"/>
        <v>17:00</v>
      </c>
    </row>
    <row r="147" spans="1:9" x14ac:dyDescent="0.25">
      <c r="A147" s="17">
        <v>45557</v>
      </c>
      <c r="B147" s="16">
        <v>0.59375</v>
      </c>
      <c r="C147" s="18" t="s">
        <v>26</v>
      </c>
      <c r="D147" s="35" t="s">
        <v>121</v>
      </c>
      <c r="E147" s="41" t="s">
        <v>22</v>
      </c>
      <c r="F147" s="8">
        <f>(INT(Table_Uzbekistan[[#This Row],[Date]]) - DATE(1970, 1, 1)) * 86400000</f>
        <v>1726963200000</v>
      </c>
      <c r="G147" s="10">
        <f>'GMT Glossary'!$B$6</f>
        <v>5</v>
      </c>
      <c r="H147" s="2" t="str">
        <f t="shared" si="8"/>
        <v>2024-09-22</v>
      </c>
      <c r="I147" s="2" t="str">
        <f t="shared" si="9"/>
        <v>19:15</v>
      </c>
    </row>
    <row r="148" spans="1:9" x14ac:dyDescent="0.25">
      <c r="A148" s="17">
        <v>45557</v>
      </c>
      <c r="B148" s="16">
        <v>0.6875</v>
      </c>
      <c r="C148" s="18" t="s">
        <v>26</v>
      </c>
      <c r="D148" s="35" t="s">
        <v>122</v>
      </c>
      <c r="E148" s="41" t="s">
        <v>22</v>
      </c>
      <c r="F148" s="8">
        <f>(INT(Table_Uzbekistan[[#This Row],[Date]]) - DATE(1970, 1, 1)) * 86400000</f>
        <v>1726963200000</v>
      </c>
      <c r="G148" s="10">
        <f>'GMT Glossary'!$B$6</f>
        <v>5</v>
      </c>
      <c r="H148" s="2" t="str">
        <f t="shared" si="8"/>
        <v>2024-09-22</v>
      </c>
      <c r="I148" s="2" t="str">
        <f t="shared" si="9"/>
        <v>21:30</v>
      </c>
    </row>
    <row r="149" spans="1:9" x14ac:dyDescent="0.25">
      <c r="A149" s="17">
        <v>45557</v>
      </c>
      <c r="B149" s="16">
        <v>0.79166666666666663</v>
      </c>
      <c r="C149" s="18" t="s">
        <v>26</v>
      </c>
      <c r="D149" s="35" t="s">
        <v>199</v>
      </c>
      <c r="E149" s="41" t="s">
        <v>22</v>
      </c>
      <c r="F149" s="8">
        <f>(INT(Table_Uzbekistan[[#This Row],[Date]]) - DATE(1970, 1, 1)) * 86400000</f>
        <v>1726963200000</v>
      </c>
      <c r="G149" s="10">
        <f>'GMT Glossary'!$B$6</f>
        <v>5</v>
      </c>
      <c r="H149" s="2" t="str">
        <f t="shared" si="8"/>
        <v>2024-09-23</v>
      </c>
      <c r="I149" s="2" t="str">
        <f t="shared" si="9"/>
        <v>00:00</v>
      </c>
    </row>
    <row r="150" spans="1:9" x14ac:dyDescent="0.25">
      <c r="A150" s="17">
        <v>45557</v>
      </c>
      <c r="B150" s="16">
        <v>0.875</v>
      </c>
      <c r="C150" s="18" t="s">
        <v>26</v>
      </c>
      <c r="D150" s="43" t="s">
        <v>119</v>
      </c>
      <c r="E150" s="41" t="s">
        <v>22</v>
      </c>
      <c r="F150" s="8">
        <f>(INT(Table_Uzbekistan[[#This Row],[Date]]) - DATE(1970, 1, 1)) * 86400000</f>
        <v>1726963200000</v>
      </c>
      <c r="G150" s="10">
        <f>'GMT Glossary'!$B$6</f>
        <v>5</v>
      </c>
      <c r="H150" s="2" t="str">
        <f t="shared" si="8"/>
        <v>2024-09-23</v>
      </c>
      <c r="I150" s="2" t="str">
        <f t="shared" si="9"/>
        <v>02:00</v>
      </c>
    </row>
    <row r="151" spans="1:9" x14ac:dyDescent="0.25">
      <c r="A151" s="17">
        <v>45557</v>
      </c>
      <c r="B151" s="16">
        <v>0.97916666666666663</v>
      </c>
      <c r="C151" s="18" t="s">
        <v>36</v>
      </c>
      <c r="D151" s="43" t="s">
        <v>47</v>
      </c>
      <c r="E151" s="41" t="s">
        <v>22</v>
      </c>
      <c r="F151" s="8">
        <f>(INT(Table_Uzbekistan[[#This Row],[Date]]) - DATE(1970, 1, 1)) * 86400000</f>
        <v>1726963200000</v>
      </c>
      <c r="G151" s="10">
        <f>'GMT Glossary'!$B$6</f>
        <v>5</v>
      </c>
      <c r="H151" s="2" t="str">
        <f t="shared" si="8"/>
        <v>2024-09-23</v>
      </c>
      <c r="I151" s="2" t="str">
        <f t="shared" si="9"/>
        <v>04:30</v>
      </c>
    </row>
    <row r="152" spans="1:9" x14ac:dyDescent="0.25">
      <c r="A152" s="17">
        <v>45558</v>
      </c>
      <c r="B152" s="16">
        <v>8.3333333333333329E-2</v>
      </c>
      <c r="C152" s="18" t="s">
        <v>18</v>
      </c>
      <c r="D152" s="30" t="s">
        <v>124</v>
      </c>
      <c r="E152" s="41" t="s">
        <v>22</v>
      </c>
      <c r="F152" s="8">
        <f>(INT(Table_Uzbekistan[[#This Row],[Date]]) - DATE(1970, 1, 1)) * 86400000</f>
        <v>1727049600000</v>
      </c>
      <c r="G152" s="10">
        <f>'GMT Glossary'!$B$6</f>
        <v>5</v>
      </c>
      <c r="H152" s="2" t="str">
        <f t="shared" ref="H152:H183" si="10">TEXT(IF(B152&lt;0, A152+1+((B152+(G152/24))-(INT(B152+(G152/24)))), A152+(B152+(G152/24))), "yyyy-mm-dd")</f>
        <v>2024-09-23</v>
      </c>
      <c r="I152" s="2" t="str">
        <f t="shared" ref="I152:I165" si="11">TEXT(IF(B152&lt;0, A152+1+((B152+(G152/24))-(INT(B152+(G152/24)))), A152+(B152+(G152/24))), "hh:mm")</f>
        <v>07:00</v>
      </c>
    </row>
    <row r="153" spans="1:9" x14ac:dyDescent="0.25">
      <c r="A153" s="17">
        <v>45558</v>
      </c>
      <c r="B153" s="16">
        <v>0.20833333333333334</v>
      </c>
      <c r="C153" s="18" t="s">
        <v>26</v>
      </c>
      <c r="D153" s="30" t="s">
        <v>125</v>
      </c>
      <c r="E153" s="41" t="s">
        <v>22</v>
      </c>
      <c r="F153" s="8">
        <f>(INT(Table_Uzbekistan[[#This Row],[Date]]) - DATE(1970, 1, 1)) * 86400000</f>
        <v>1727049600000</v>
      </c>
      <c r="G153" s="10">
        <f>'GMT Glossary'!$B$6</f>
        <v>5</v>
      </c>
      <c r="H153" s="2" t="str">
        <f t="shared" si="10"/>
        <v>2024-09-23</v>
      </c>
      <c r="I153" s="2" t="str">
        <f t="shared" si="11"/>
        <v>10:00</v>
      </c>
    </row>
    <row r="154" spans="1:9" x14ac:dyDescent="0.25">
      <c r="A154" s="17">
        <v>45558</v>
      </c>
      <c r="B154" s="16">
        <v>0.29166666666666669</v>
      </c>
      <c r="C154" s="18" t="s">
        <v>26</v>
      </c>
      <c r="D154" s="30" t="s">
        <v>126</v>
      </c>
      <c r="E154" s="41" t="s">
        <v>22</v>
      </c>
      <c r="F154" s="8">
        <f>(INT(Table_Uzbekistan[[#This Row],[Date]]) - DATE(1970, 1, 1)) * 86400000</f>
        <v>1727049600000</v>
      </c>
      <c r="G154" s="10">
        <f>'GMT Glossary'!$B$6</f>
        <v>5</v>
      </c>
      <c r="H154" s="2" t="str">
        <f t="shared" si="10"/>
        <v>2024-09-23</v>
      </c>
      <c r="I154" s="2" t="str">
        <f t="shared" si="11"/>
        <v>12:00</v>
      </c>
    </row>
    <row r="155" spans="1:9" x14ac:dyDescent="0.25">
      <c r="A155" s="17">
        <v>45558</v>
      </c>
      <c r="B155" s="16">
        <v>0.375</v>
      </c>
      <c r="C155" s="18" t="s">
        <v>26</v>
      </c>
      <c r="D155" s="43" t="s">
        <v>127</v>
      </c>
      <c r="E155" s="41" t="s">
        <v>22</v>
      </c>
      <c r="F155" s="8">
        <f>(INT(Table_Uzbekistan[[#This Row],[Date]]) - DATE(1970, 1, 1)) * 86400000</f>
        <v>1727049600000</v>
      </c>
      <c r="G155" s="10">
        <f>'GMT Glossary'!$B$6</f>
        <v>5</v>
      </c>
      <c r="H155" s="2" t="str">
        <f t="shared" si="10"/>
        <v>2024-09-23</v>
      </c>
      <c r="I155" s="2" t="str">
        <f t="shared" si="11"/>
        <v>14:00</v>
      </c>
    </row>
    <row r="156" spans="1:9" x14ac:dyDescent="0.25">
      <c r="A156" s="17">
        <v>45558</v>
      </c>
      <c r="B156" s="16">
        <v>0.45833333333333331</v>
      </c>
      <c r="C156" s="18" t="s">
        <v>37</v>
      </c>
      <c r="D156" s="43" t="s">
        <v>46</v>
      </c>
      <c r="E156" s="41" t="s">
        <v>22</v>
      </c>
      <c r="F156" s="8">
        <f>(INT(Table_Uzbekistan[[#This Row],[Date]]) - DATE(1970, 1, 1)) * 86400000</f>
        <v>1727049600000</v>
      </c>
      <c r="G156" s="10">
        <f>'GMT Glossary'!$B$6</f>
        <v>5</v>
      </c>
      <c r="H156" s="2" t="str">
        <f t="shared" si="10"/>
        <v>2024-09-23</v>
      </c>
      <c r="I156" s="2" t="str">
        <f t="shared" si="11"/>
        <v>16:00</v>
      </c>
    </row>
    <row r="157" spans="1:9" x14ac:dyDescent="0.25">
      <c r="A157" s="17">
        <v>45558</v>
      </c>
      <c r="B157" s="16">
        <v>0.54166666666666663</v>
      </c>
      <c r="C157" s="18" t="s">
        <v>36</v>
      </c>
      <c r="D157" s="43" t="s">
        <v>47</v>
      </c>
      <c r="E157" s="41" t="s">
        <v>22</v>
      </c>
      <c r="F157" s="8">
        <f>(INT(Table_Uzbekistan[[#This Row],[Date]]) - DATE(1970, 1, 1)) * 86400000</f>
        <v>1727049600000</v>
      </c>
      <c r="G157" s="10">
        <f>'GMT Glossary'!$B$6</f>
        <v>5</v>
      </c>
      <c r="H157" s="2" t="str">
        <f t="shared" si="10"/>
        <v>2024-09-23</v>
      </c>
      <c r="I157" s="2" t="str">
        <f t="shared" si="11"/>
        <v>18:00</v>
      </c>
    </row>
    <row r="158" spans="1:9" x14ac:dyDescent="0.25">
      <c r="A158" s="17">
        <v>45558</v>
      </c>
      <c r="B158" s="16">
        <v>0.625</v>
      </c>
      <c r="C158" s="18" t="s">
        <v>26</v>
      </c>
      <c r="D158" s="43" t="s">
        <v>128</v>
      </c>
      <c r="E158" s="41" t="s">
        <v>22</v>
      </c>
      <c r="F158" s="8">
        <f>(INT(Table_Uzbekistan[[#This Row],[Date]]) - DATE(1970, 1, 1)) * 86400000</f>
        <v>1727049600000</v>
      </c>
      <c r="G158" s="10">
        <f>'GMT Glossary'!$B$6</f>
        <v>5</v>
      </c>
      <c r="H158" s="2" t="str">
        <f t="shared" si="10"/>
        <v>2024-09-23</v>
      </c>
      <c r="I158" s="2" t="str">
        <f t="shared" si="11"/>
        <v>20:00</v>
      </c>
    </row>
    <row r="159" spans="1:9" x14ac:dyDescent="0.25">
      <c r="A159" s="17">
        <v>45558</v>
      </c>
      <c r="B159" s="16">
        <v>0.70833333333333337</v>
      </c>
      <c r="C159" s="18" t="s">
        <v>26</v>
      </c>
      <c r="D159" s="43" t="s">
        <v>129</v>
      </c>
      <c r="E159" s="41" t="s">
        <v>22</v>
      </c>
      <c r="F159" s="8">
        <f>(INT(Table_Uzbekistan[[#This Row],[Date]]) - DATE(1970, 1, 1)) * 86400000</f>
        <v>1727049600000</v>
      </c>
      <c r="G159" s="10">
        <f>'GMT Glossary'!$B$6</f>
        <v>5</v>
      </c>
      <c r="H159" s="2" t="str">
        <f t="shared" si="10"/>
        <v>2024-09-23</v>
      </c>
      <c r="I159" s="2" t="str">
        <f t="shared" si="11"/>
        <v>22:00</v>
      </c>
    </row>
    <row r="160" spans="1:9" x14ac:dyDescent="0.25">
      <c r="A160" s="17">
        <v>45558</v>
      </c>
      <c r="B160" s="16">
        <v>0.79166666666666663</v>
      </c>
      <c r="C160" s="18" t="s">
        <v>26</v>
      </c>
      <c r="D160" s="43" t="s">
        <v>119</v>
      </c>
      <c r="E160" s="41" t="s">
        <v>22</v>
      </c>
      <c r="F160" s="8">
        <f>(INT(Table_Uzbekistan[[#This Row],[Date]]) - DATE(1970, 1, 1)) * 86400000</f>
        <v>1727049600000</v>
      </c>
      <c r="G160" s="10">
        <f>'GMT Glossary'!$B$6</f>
        <v>5</v>
      </c>
      <c r="H160" s="2" t="str">
        <f t="shared" si="10"/>
        <v>2024-09-24</v>
      </c>
      <c r="I160" s="2" t="str">
        <f t="shared" si="11"/>
        <v>00:00</v>
      </c>
    </row>
    <row r="161" spans="1:9" x14ac:dyDescent="0.25">
      <c r="A161" s="17">
        <v>45558</v>
      </c>
      <c r="B161" s="16">
        <v>0.875</v>
      </c>
      <c r="C161" s="18" t="s">
        <v>26</v>
      </c>
      <c r="D161" s="43" t="s">
        <v>112</v>
      </c>
      <c r="E161" s="41" t="s">
        <v>22</v>
      </c>
      <c r="F161" s="8">
        <f>(INT(Table_Uzbekistan[[#This Row],[Date]]) - DATE(1970, 1, 1)) * 86400000</f>
        <v>1727049600000</v>
      </c>
      <c r="G161" s="10">
        <f>'GMT Glossary'!$B$6</f>
        <v>5</v>
      </c>
      <c r="H161" s="2" t="str">
        <f t="shared" si="10"/>
        <v>2024-09-24</v>
      </c>
      <c r="I161" s="2" t="str">
        <f t="shared" si="11"/>
        <v>02:00</v>
      </c>
    </row>
    <row r="162" spans="1:9" x14ac:dyDescent="0.25">
      <c r="A162" s="17">
        <v>45558</v>
      </c>
      <c r="B162" s="16">
        <v>0.95833333333333337</v>
      </c>
      <c r="C162" s="18" t="s">
        <v>18</v>
      </c>
      <c r="D162" s="30" t="s">
        <v>124</v>
      </c>
      <c r="E162" s="41" t="s">
        <v>22</v>
      </c>
      <c r="F162" s="8">
        <f>(INT(Table_Uzbekistan[[#This Row],[Date]]) - DATE(1970, 1, 1)) * 86400000</f>
        <v>1727049600000</v>
      </c>
      <c r="G162" s="10">
        <f>'GMT Glossary'!$B$6</f>
        <v>5</v>
      </c>
      <c r="H162" s="2" t="str">
        <f t="shared" si="10"/>
        <v>2024-09-24</v>
      </c>
      <c r="I162" s="2" t="str">
        <f t="shared" si="11"/>
        <v>04:00</v>
      </c>
    </row>
    <row r="163" spans="1:9" x14ac:dyDescent="0.25">
      <c r="A163" s="17">
        <v>45559</v>
      </c>
      <c r="B163" s="16">
        <v>8.3333333333333329E-2</v>
      </c>
      <c r="C163" s="18" t="s">
        <v>37</v>
      </c>
      <c r="D163" s="43" t="s">
        <v>46</v>
      </c>
      <c r="E163" s="41" t="s">
        <v>22</v>
      </c>
      <c r="F163" s="8">
        <f>(INT(Table_Uzbekistan[[#This Row],[Date]]) - DATE(1970, 1, 1)) * 86400000</f>
        <v>1727136000000</v>
      </c>
      <c r="G163" s="10">
        <f>'GMT Glossary'!$B$6</f>
        <v>5</v>
      </c>
      <c r="H163" s="2" t="str">
        <f t="shared" si="10"/>
        <v>2024-09-24</v>
      </c>
      <c r="I163" s="2" t="str">
        <f t="shared" si="11"/>
        <v>07:00</v>
      </c>
    </row>
    <row r="164" spans="1:9" x14ac:dyDescent="0.25">
      <c r="A164" s="17">
        <v>45559</v>
      </c>
      <c r="B164" s="16">
        <v>0.20833333333333334</v>
      </c>
      <c r="C164" s="18" t="s">
        <v>36</v>
      </c>
      <c r="D164" s="43" t="s">
        <v>47</v>
      </c>
      <c r="E164" s="41" t="s">
        <v>22</v>
      </c>
      <c r="F164" s="8">
        <f>(INT(Table_Uzbekistan[[#This Row],[Date]]) - DATE(1970, 1, 1)) * 86400000</f>
        <v>1727136000000</v>
      </c>
      <c r="G164" s="10">
        <f>'GMT Glossary'!$B$6</f>
        <v>5</v>
      </c>
      <c r="H164" s="2" t="str">
        <f t="shared" si="10"/>
        <v>2024-09-24</v>
      </c>
      <c r="I164" s="2" t="str">
        <f t="shared" si="11"/>
        <v>10:00</v>
      </c>
    </row>
    <row r="165" spans="1:9" x14ac:dyDescent="0.25">
      <c r="A165" s="37">
        <v>45559</v>
      </c>
      <c r="B165" s="40">
        <v>0.29166666666666669</v>
      </c>
      <c r="C165" s="32" t="s">
        <v>26</v>
      </c>
      <c r="D165" s="44" t="s">
        <v>127</v>
      </c>
      <c r="E165" s="41" t="s">
        <v>22</v>
      </c>
      <c r="F165" s="42">
        <f>(INT(Table_Uzbekistan[[#This Row],[Date]]) - DATE(1970, 1, 1)) * 86400000</f>
        <v>1727136000000</v>
      </c>
      <c r="G165" s="31">
        <f>'GMT Glossary'!$B$6</f>
        <v>5</v>
      </c>
      <c r="H165" s="39" t="str">
        <f t="shared" si="10"/>
        <v>2024-09-24</v>
      </c>
      <c r="I165" s="39" t="str">
        <f t="shared" si="11"/>
        <v>12:00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A70A4-41CD-4E13-B798-4FDF7D4403A5}">
  <dimension ref="A1:I165"/>
  <sheetViews>
    <sheetView topLeftCell="A149" workbookViewId="0">
      <selection activeCell="A2" sqref="A2:I165"/>
    </sheetView>
  </sheetViews>
  <sheetFormatPr defaultRowHeight="15" x14ac:dyDescent="0.25"/>
  <cols>
    <col min="1" max="1" width="27.28515625" style="1" customWidth="1"/>
    <col min="2" max="2" width="25.5703125" customWidth="1"/>
    <col min="3" max="3" width="26.7109375" customWidth="1"/>
    <col min="4" max="4" width="50.5703125" customWidth="1"/>
    <col min="5" max="5" width="32.7109375" customWidth="1"/>
    <col min="6" max="6" width="46.28515625" style="8" customWidth="1"/>
    <col min="7" max="7" width="44.42578125" customWidth="1"/>
    <col min="8" max="8" width="28.5703125" style="5" customWidth="1"/>
    <col min="9" max="9" width="31.28515625" customWidth="1"/>
    <col min="10" max="10" width="8.85546875" customWidth="1"/>
  </cols>
  <sheetData>
    <row r="1" spans="1:9" x14ac:dyDescent="0.25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5" t="s">
        <v>19</v>
      </c>
      <c r="I1" t="s">
        <v>7</v>
      </c>
    </row>
    <row r="2" spans="1:9" x14ac:dyDescent="0.25">
      <c r="A2" s="23">
        <v>45552</v>
      </c>
      <c r="B2" s="20">
        <v>0.375</v>
      </c>
      <c r="C2" s="24" t="s">
        <v>26</v>
      </c>
      <c r="D2" s="22" t="s">
        <v>58</v>
      </c>
      <c r="E2" s="9" t="s">
        <v>20</v>
      </c>
      <c r="F2" s="8">
        <f>(INT(Table_Kyrgyzstan[[#This Row],[Date]]) - DATE(1970, 1, 1)) * 86400000</f>
        <v>1726531200000</v>
      </c>
      <c r="G2">
        <f>'GMT Glossary'!$B$2</f>
        <v>6</v>
      </c>
      <c r="H2" s="2" t="str">
        <f t="shared" ref="H2:H65" si="0">TEXT(IF(B2&lt;0, A2+1+((B2+(G2/24))-(INT(B2+(G2/24)))), A2+(B2+(G2/24))), "yyyy-mm-dd")</f>
        <v>2024-09-17</v>
      </c>
      <c r="I2" s="2" t="str">
        <f t="shared" ref="I2:I65" si="1">TEXT(IF(B2&lt;0, A2+1+((B2+(G2/24))-(INT(B2+(G2/24)))), A2+(B2+(G2/24))), "hh:mm")</f>
        <v>15:00</v>
      </c>
    </row>
    <row r="3" spans="1:9" x14ac:dyDescent="0.25">
      <c r="A3" s="23">
        <v>45552</v>
      </c>
      <c r="B3" s="20">
        <v>0.45833333333333331</v>
      </c>
      <c r="C3" s="24" t="s">
        <v>26</v>
      </c>
      <c r="D3" s="22" t="s">
        <v>59</v>
      </c>
      <c r="E3" s="9" t="s">
        <v>20</v>
      </c>
      <c r="F3" s="8">
        <f>(INT(Table_Kyrgyzstan[[#This Row],[Date]]) - DATE(1970, 1, 1)) * 86400000</f>
        <v>1726531200000</v>
      </c>
      <c r="G3">
        <f>'GMT Glossary'!$B$2</f>
        <v>6</v>
      </c>
      <c r="H3" s="2" t="str">
        <f t="shared" si="0"/>
        <v>2024-09-17</v>
      </c>
      <c r="I3" s="2" t="str">
        <f t="shared" si="1"/>
        <v>17:00</v>
      </c>
    </row>
    <row r="4" spans="1:9" x14ac:dyDescent="0.25">
      <c r="A4" s="23">
        <v>45552</v>
      </c>
      <c r="B4" s="20">
        <v>0.54166666666666663</v>
      </c>
      <c r="C4" s="24" t="s">
        <v>26</v>
      </c>
      <c r="D4" s="22" t="s">
        <v>60</v>
      </c>
      <c r="E4" s="9" t="s">
        <v>20</v>
      </c>
      <c r="F4" s="8">
        <f>(INT(Table_Kyrgyzstan[[#This Row],[Date]]) - DATE(1970, 1, 1)) * 86400000</f>
        <v>1726531200000</v>
      </c>
      <c r="G4">
        <f>'GMT Glossary'!$B$2</f>
        <v>6</v>
      </c>
      <c r="H4" s="2" t="str">
        <f t="shared" si="0"/>
        <v>2024-09-17</v>
      </c>
      <c r="I4" s="2" t="str">
        <f t="shared" si="1"/>
        <v>19:00</v>
      </c>
    </row>
    <row r="5" spans="1:9" x14ac:dyDescent="0.25">
      <c r="A5" s="23">
        <v>45552</v>
      </c>
      <c r="B5" s="20">
        <v>0.625</v>
      </c>
      <c r="C5" s="24" t="s">
        <v>26</v>
      </c>
      <c r="D5" s="22" t="s">
        <v>33</v>
      </c>
      <c r="E5" s="9" t="s">
        <v>20</v>
      </c>
      <c r="F5" s="8">
        <f>(INT(Table_Kyrgyzstan[[#This Row],[Date]]) - DATE(1970, 1, 1)) * 86400000</f>
        <v>1726531200000</v>
      </c>
      <c r="G5">
        <f>'GMT Glossary'!$B$2</f>
        <v>6</v>
      </c>
      <c r="H5" s="2" t="str">
        <f t="shared" si="0"/>
        <v>2024-09-17</v>
      </c>
      <c r="I5" s="2" t="str">
        <f t="shared" si="1"/>
        <v>21:00</v>
      </c>
    </row>
    <row r="6" spans="1:9" x14ac:dyDescent="0.25">
      <c r="A6" s="23">
        <v>45552</v>
      </c>
      <c r="B6" s="20">
        <v>0.70833333333333337</v>
      </c>
      <c r="C6" s="24" t="s">
        <v>26</v>
      </c>
      <c r="D6" s="22" t="s">
        <v>34</v>
      </c>
      <c r="E6" s="9" t="s">
        <v>20</v>
      </c>
      <c r="F6" s="8">
        <f>(INT(Table_Kyrgyzstan[[#This Row],[Date]]) - DATE(1970, 1, 1)) * 86400000</f>
        <v>1726531200000</v>
      </c>
      <c r="G6">
        <f>'GMT Glossary'!$B$2</f>
        <v>6</v>
      </c>
      <c r="H6" s="2" t="str">
        <f t="shared" si="0"/>
        <v>2024-09-17</v>
      </c>
      <c r="I6" s="2" t="str">
        <f t="shared" si="1"/>
        <v>23:00</v>
      </c>
    </row>
    <row r="7" spans="1:9" x14ac:dyDescent="0.25">
      <c r="A7" s="23">
        <v>45552</v>
      </c>
      <c r="B7" s="20">
        <v>0.79166666666666663</v>
      </c>
      <c r="C7" s="24" t="s">
        <v>26</v>
      </c>
      <c r="D7" s="21" t="s">
        <v>61</v>
      </c>
      <c r="E7" s="9" t="s">
        <v>20</v>
      </c>
      <c r="F7" s="8">
        <f>(INT(Table_Kyrgyzstan[[#This Row],[Date]]) - DATE(1970, 1, 1)) * 86400000</f>
        <v>1726531200000</v>
      </c>
      <c r="G7">
        <f>'GMT Glossary'!$B$2</f>
        <v>6</v>
      </c>
      <c r="H7" s="2" t="str">
        <f t="shared" si="0"/>
        <v>2024-09-18</v>
      </c>
      <c r="I7" s="2" t="str">
        <f t="shared" si="1"/>
        <v>01:00</v>
      </c>
    </row>
    <row r="8" spans="1:9" x14ac:dyDescent="0.25">
      <c r="A8" s="23">
        <v>45552</v>
      </c>
      <c r="B8" s="20">
        <v>0.875</v>
      </c>
      <c r="C8" s="24" t="s">
        <v>26</v>
      </c>
      <c r="D8" s="22" t="s">
        <v>62</v>
      </c>
      <c r="E8" s="9" t="s">
        <v>20</v>
      </c>
      <c r="F8" s="8">
        <f>(INT(Table_Kyrgyzstan[[#This Row],[Date]]) - DATE(1970, 1, 1)) * 86400000</f>
        <v>1726531200000</v>
      </c>
      <c r="G8">
        <f>'GMT Glossary'!$B$2</f>
        <v>6</v>
      </c>
      <c r="H8" s="2" t="str">
        <f t="shared" si="0"/>
        <v>2024-09-18</v>
      </c>
      <c r="I8" s="2" t="str">
        <f t="shared" si="1"/>
        <v>03:00</v>
      </c>
    </row>
    <row r="9" spans="1:9" x14ac:dyDescent="0.25">
      <c r="A9" s="23">
        <v>45552</v>
      </c>
      <c r="B9" s="20">
        <v>0.95833333333333337</v>
      </c>
      <c r="C9" s="24" t="s">
        <v>26</v>
      </c>
      <c r="D9" s="22" t="s">
        <v>56</v>
      </c>
      <c r="E9" s="9" t="s">
        <v>20</v>
      </c>
      <c r="F9" s="8">
        <f>(INT(Table_Kyrgyzstan[[#This Row],[Date]]) - DATE(1970, 1, 1)) * 86400000</f>
        <v>1726531200000</v>
      </c>
      <c r="G9">
        <f>'GMT Glossary'!$B$2</f>
        <v>6</v>
      </c>
      <c r="H9" s="2" t="str">
        <f t="shared" si="0"/>
        <v>2024-09-18</v>
      </c>
      <c r="I9" s="2" t="str">
        <f t="shared" si="1"/>
        <v>05:00</v>
      </c>
    </row>
    <row r="10" spans="1:9" x14ac:dyDescent="0.25">
      <c r="A10" s="23">
        <v>45553</v>
      </c>
      <c r="B10" s="20">
        <v>4.1666666666666664E-2</v>
      </c>
      <c r="C10" s="24" t="s">
        <v>26</v>
      </c>
      <c r="D10" s="22" t="s">
        <v>29</v>
      </c>
      <c r="E10" s="9" t="s">
        <v>20</v>
      </c>
      <c r="F10" s="8">
        <f>(INT(Table_Kyrgyzstan[[#This Row],[Date]]) - DATE(1970, 1, 1)) * 86400000</f>
        <v>1726617600000</v>
      </c>
      <c r="G10">
        <f>'GMT Glossary'!$B$2</f>
        <v>6</v>
      </c>
      <c r="H10" s="2" t="str">
        <f t="shared" si="0"/>
        <v>2024-09-18</v>
      </c>
      <c r="I10" s="2" t="str">
        <f t="shared" si="1"/>
        <v>07:00</v>
      </c>
    </row>
    <row r="11" spans="1:9" x14ac:dyDescent="0.25">
      <c r="A11" s="23">
        <v>45553</v>
      </c>
      <c r="B11" s="20">
        <v>0.125</v>
      </c>
      <c r="C11" s="24" t="s">
        <v>26</v>
      </c>
      <c r="D11" s="22" t="s">
        <v>32</v>
      </c>
      <c r="E11" s="9" t="s">
        <v>20</v>
      </c>
      <c r="F11" s="8">
        <f>(INT(Table_Kyrgyzstan[[#This Row],[Date]]) - DATE(1970, 1, 1)) * 86400000</f>
        <v>1726617600000</v>
      </c>
      <c r="G11">
        <f>'GMT Glossary'!$B$2</f>
        <v>6</v>
      </c>
      <c r="H11" s="2" t="str">
        <f t="shared" si="0"/>
        <v>2024-09-18</v>
      </c>
      <c r="I11" s="2" t="str">
        <f t="shared" si="1"/>
        <v>09:00</v>
      </c>
    </row>
    <row r="12" spans="1:9" x14ac:dyDescent="0.25">
      <c r="A12" s="23">
        <v>45553</v>
      </c>
      <c r="B12" s="20">
        <v>0.20833333333333334</v>
      </c>
      <c r="C12" s="24" t="s">
        <v>26</v>
      </c>
      <c r="D12" s="22" t="s">
        <v>35</v>
      </c>
      <c r="E12" s="9" t="s">
        <v>20</v>
      </c>
      <c r="F12" s="8">
        <f>(INT(Table_Kyrgyzstan[[#This Row],[Date]]) - DATE(1970, 1, 1)) * 86400000</f>
        <v>1726617600000</v>
      </c>
      <c r="G12">
        <f>'GMT Glossary'!$B$2</f>
        <v>6</v>
      </c>
      <c r="H12" s="2" t="str">
        <f t="shared" si="0"/>
        <v>2024-09-18</v>
      </c>
      <c r="I12" s="2" t="str">
        <f t="shared" si="1"/>
        <v>11:00</v>
      </c>
    </row>
    <row r="13" spans="1:9" x14ac:dyDescent="0.25">
      <c r="A13" s="23">
        <v>45553</v>
      </c>
      <c r="B13" s="20">
        <v>0.29166666666666669</v>
      </c>
      <c r="C13" s="24" t="s">
        <v>26</v>
      </c>
      <c r="D13" s="22" t="s">
        <v>63</v>
      </c>
      <c r="E13" s="9" t="s">
        <v>20</v>
      </c>
      <c r="F13" s="8">
        <f>(INT(Table_Kyrgyzstan[[#This Row],[Date]]) - DATE(1970, 1, 1)) * 86400000</f>
        <v>1726617600000</v>
      </c>
      <c r="G13">
        <f>'GMT Glossary'!$B$2</f>
        <v>6</v>
      </c>
      <c r="H13" s="2" t="str">
        <f t="shared" si="0"/>
        <v>2024-09-18</v>
      </c>
      <c r="I13" s="2" t="str">
        <f t="shared" si="1"/>
        <v>13:00</v>
      </c>
    </row>
    <row r="14" spans="1:9" x14ac:dyDescent="0.25">
      <c r="A14" s="23">
        <v>45553</v>
      </c>
      <c r="B14" s="20">
        <v>0.375</v>
      </c>
      <c r="C14" s="24" t="s">
        <v>26</v>
      </c>
      <c r="D14" s="22" t="s">
        <v>64</v>
      </c>
      <c r="E14" s="9" t="s">
        <v>20</v>
      </c>
      <c r="F14" s="8">
        <f>(INT(Table_Kyrgyzstan[[#This Row],[Date]]) - DATE(1970, 1, 1)) * 86400000</f>
        <v>1726617600000</v>
      </c>
      <c r="G14">
        <f>'GMT Glossary'!$B$2</f>
        <v>6</v>
      </c>
      <c r="H14" s="2" t="str">
        <f t="shared" si="0"/>
        <v>2024-09-18</v>
      </c>
      <c r="I14" s="2" t="str">
        <f t="shared" si="1"/>
        <v>15:00</v>
      </c>
    </row>
    <row r="15" spans="1:9" x14ac:dyDescent="0.25">
      <c r="A15" s="23">
        <v>45553</v>
      </c>
      <c r="B15" s="20">
        <v>0.41666666666666669</v>
      </c>
      <c r="C15" s="24" t="s">
        <v>26</v>
      </c>
      <c r="D15" s="22" t="s">
        <v>65</v>
      </c>
      <c r="E15" s="9" t="s">
        <v>20</v>
      </c>
      <c r="F15" s="8">
        <f>(INT(Table_Kyrgyzstan[[#This Row],[Date]]) - DATE(1970, 1, 1)) * 86400000</f>
        <v>1726617600000</v>
      </c>
      <c r="G15">
        <f>'GMT Glossary'!$B$2</f>
        <v>6</v>
      </c>
      <c r="H15" s="2" t="str">
        <f t="shared" si="0"/>
        <v>2024-09-18</v>
      </c>
      <c r="I15" s="2" t="str">
        <f t="shared" si="1"/>
        <v>16:00</v>
      </c>
    </row>
    <row r="16" spans="1:9" x14ac:dyDescent="0.25">
      <c r="A16" s="23">
        <v>45553</v>
      </c>
      <c r="B16" s="20">
        <v>0.45833333333333331</v>
      </c>
      <c r="C16" s="24" t="s">
        <v>26</v>
      </c>
      <c r="D16" s="22" t="s">
        <v>66</v>
      </c>
      <c r="E16" s="9" t="s">
        <v>20</v>
      </c>
      <c r="F16" s="8">
        <f>(INT(Table_Kyrgyzstan[[#This Row],[Date]]) - DATE(1970, 1, 1)) * 86400000</f>
        <v>1726617600000</v>
      </c>
      <c r="G16">
        <f>'GMT Glossary'!$B$2</f>
        <v>6</v>
      </c>
      <c r="H16" s="2" t="str">
        <f t="shared" si="0"/>
        <v>2024-09-18</v>
      </c>
      <c r="I16" s="2" t="str">
        <f t="shared" si="1"/>
        <v>17:00</v>
      </c>
    </row>
    <row r="17" spans="1:9" x14ac:dyDescent="0.25">
      <c r="A17" s="23">
        <v>45553</v>
      </c>
      <c r="B17" s="20">
        <v>0.5</v>
      </c>
      <c r="C17" s="24" t="s">
        <v>26</v>
      </c>
      <c r="D17" s="22" t="s">
        <v>67</v>
      </c>
      <c r="E17" s="9" t="s">
        <v>20</v>
      </c>
      <c r="F17" s="8">
        <f>(INT(Table_Kyrgyzstan[[#This Row],[Date]]) - DATE(1970, 1, 1)) * 86400000</f>
        <v>1726617600000</v>
      </c>
      <c r="G17">
        <f>'GMT Glossary'!$B$2</f>
        <v>6</v>
      </c>
      <c r="H17" s="2" t="str">
        <f t="shared" si="0"/>
        <v>2024-09-18</v>
      </c>
      <c r="I17" s="2" t="str">
        <f t="shared" si="1"/>
        <v>18:00</v>
      </c>
    </row>
    <row r="18" spans="1:9" x14ac:dyDescent="0.25">
      <c r="A18" s="23">
        <v>45553</v>
      </c>
      <c r="B18" s="20">
        <v>0.54166666666666663</v>
      </c>
      <c r="C18" s="24" t="s">
        <v>26</v>
      </c>
      <c r="D18" s="22" t="s">
        <v>68</v>
      </c>
      <c r="E18" s="9" t="s">
        <v>20</v>
      </c>
      <c r="F18" s="8">
        <f>(INT(Table_Kyrgyzstan[[#This Row],[Date]]) - DATE(1970, 1, 1)) * 86400000</f>
        <v>1726617600000</v>
      </c>
      <c r="G18">
        <f>'GMT Glossary'!$B$2</f>
        <v>6</v>
      </c>
      <c r="H18" s="2" t="str">
        <f t="shared" si="0"/>
        <v>2024-09-18</v>
      </c>
      <c r="I18" s="2" t="str">
        <f t="shared" si="1"/>
        <v>19:00</v>
      </c>
    </row>
    <row r="19" spans="1:9" x14ac:dyDescent="0.25">
      <c r="A19" s="23">
        <v>45553</v>
      </c>
      <c r="B19" s="20">
        <v>0.625</v>
      </c>
      <c r="C19" s="24" t="s">
        <v>26</v>
      </c>
      <c r="D19" s="22" t="s">
        <v>29</v>
      </c>
      <c r="E19" s="9" t="s">
        <v>20</v>
      </c>
      <c r="F19" s="8">
        <f>(INT(Table_Kyrgyzstan[[#This Row],[Date]]) - DATE(1970, 1, 1)) * 86400000</f>
        <v>1726617600000</v>
      </c>
      <c r="G19">
        <f>'GMT Glossary'!$B$2</f>
        <v>6</v>
      </c>
      <c r="H19" s="2" t="str">
        <f t="shared" si="0"/>
        <v>2024-09-18</v>
      </c>
      <c r="I19" s="2" t="str">
        <f t="shared" si="1"/>
        <v>21:00</v>
      </c>
    </row>
    <row r="20" spans="1:9" x14ac:dyDescent="0.25">
      <c r="A20" s="23">
        <v>45553</v>
      </c>
      <c r="B20" s="20">
        <v>0.70833333333333337</v>
      </c>
      <c r="C20" s="24" t="s">
        <v>26</v>
      </c>
      <c r="D20" s="22" t="s">
        <v>69</v>
      </c>
      <c r="E20" s="9" t="s">
        <v>20</v>
      </c>
      <c r="F20" s="8">
        <f>(INT(Table_Kyrgyzstan[[#This Row],[Date]]) - DATE(1970, 1, 1)) * 86400000</f>
        <v>1726617600000</v>
      </c>
      <c r="G20">
        <f>'GMT Glossary'!$B$2</f>
        <v>6</v>
      </c>
      <c r="H20" s="2" t="str">
        <f t="shared" si="0"/>
        <v>2024-09-18</v>
      </c>
      <c r="I20" s="2" t="str">
        <f t="shared" si="1"/>
        <v>23:00</v>
      </c>
    </row>
    <row r="21" spans="1:9" x14ac:dyDescent="0.25">
      <c r="A21" s="23">
        <v>45553</v>
      </c>
      <c r="B21" s="20">
        <v>0.79166666666666663</v>
      </c>
      <c r="C21" s="24" t="s">
        <v>26</v>
      </c>
      <c r="D21" s="21" t="s">
        <v>70</v>
      </c>
      <c r="E21" s="9" t="s">
        <v>20</v>
      </c>
      <c r="F21" s="8">
        <f>(INT(Table_Kyrgyzstan[[#This Row],[Date]]) - DATE(1970, 1, 1)) * 86400000</f>
        <v>1726617600000</v>
      </c>
      <c r="G21">
        <f>'GMT Glossary'!$B$2</f>
        <v>6</v>
      </c>
      <c r="H21" s="2" t="str">
        <f t="shared" si="0"/>
        <v>2024-09-19</v>
      </c>
      <c r="I21" s="2" t="str">
        <f t="shared" si="1"/>
        <v>01:00</v>
      </c>
    </row>
    <row r="22" spans="1:9" x14ac:dyDescent="0.25">
      <c r="A22" s="23">
        <v>45553</v>
      </c>
      <c r="B22" s="20">
        <v>0.875</v>
      </c>
      <c r="C22" s="24" t="s">
        <v>26</v>
      </c>
      <c r="D22" s="22" t="s">
        <v>71</v>
      </c>
      <c r="E22" s="9" t="s">
        <v>20</v>
      </c>
      <c r="F22" s="8">
        <f>(INT(Table_Kyrgyzstan[[#This Row],[Date]]) - DATE(1970, 1, 1)) * 86400000</f>
        <v>1726617600000</v>
      </c>
      <c r="G22">
        <f>'GMT Glossary'!$B$2</f>
        <v>6</v>
      </c>
      <c r="H22" s="2" t="str">
        <f t="shared" si="0"/>
        <v>2024-09-19</v>
      </c>
      <c r="I22" s="2" t="str">
        <f t="shared" si="1"/>
        <v>03:00</v>
      </c>
    </row>
    <row r="23" spans="1:9" x14ac:dyDescent="0.25">
      <c r="A23" s="23">
        <v>45553</v>
      </c>
      <c r="B23" s="20">
        <v>0.95833333333333337</v>
      </c>
      <c r="C23" s="24" t="s">
        <v>26</v>
      </c>
      <c r="D23" s="22" t="s">
        <v>28</v>
      </c>
      <c r="E23" s="9" t="s">
        <v>20</v>
      </c>
      <c r="F23" s="8">
        <f>(INT(Table_Kyrgyzstan[[#This Row],[Date]]) - DATE(1970, 1, 1)) * 86400000</f>
        <v>1726617600000</v>
      </c>
      <c r="G23">
        <f>'GMT Glossary'!$B$2</f>
        <v>6</v>
      </c>
      <c r="H23" s="2" t="str">
        <f t="shared" si="0"/>
        <v>2024-09-19</v>
      </c>
      <c r="I23" s="2" t="str">
        <f t="shared" si="1"/>
        <v>05:00</v>
      </c>
    </row>
    <row r="24" spans="1:9" x14ac:dyDescent="0.25">
      <c r="A24" s="23">
        <v>45553</v>
      </c>
      <c r="B24" s="20">
        <v>4.1666666666666664E-2</v>
      </c>
      <c r="C24" s="24" t="s">
        <v>26</v>
      </c>
      <c r="D24" s="22" t="s">
        <v>30</v>
      </c>
      <c r="E24" s="9" t="s">
        <v>20</v>
      </c>
      <c r="F24" s="8">
        <f>(INT(Table_Kyrgyzstan[[#This Row],[Date]]) - DATE(1970, 1, 1)) * 86400000</f>
        <v>1726617600000</v>
      </c>
      <c r="G24">
        <f>'GMT Glossary'!$B$2</f>
        <v>6</v>
      </c>
      <c r="H24" s="2" t="str">
        <f t="shared" si="0"/>
        <v>2024-09-18</v>
      </c>
      <c r="I24" s="2" t="str">
        <f t="shared" si="1"/>
        <v>07:00</v>
      </c>
    </row>
    <row r="25" spans="1:9" x14ac:dyDescent="0.25">
      <c r="A25" s="23">
        <v>45554</v>
      </c>
      <c r="B25" s="20">
        <v>0.125</v>
      </c>
      <c r="C25" s="24" t="s">
        <v>26</v>
      </c>
      <c r="D25" s="22" t="s">
        <v>58</v>
      </c>
      <c r="E25" s="9" t="s">
        <v>20</v>
      </c>
      <c r="F25" s="8">
        <f>(INT(Table_Kyrgyzstan[[#This Row],[Date]]) - DATE(1970, 1, 1)) * 86400000</f>
        <v>1726704000000</v>
      </c>
      <c r="G25">
        <f>'GMT Glossary'!$B$2</f>
        <v>6</v>
      </c>
      <c r="H25" s="2" t="str">
        <f t="shared" si="0"/>
        <v>2024-09-19</v>
      </c>
      <c r="I25" s="2" t="str">
        <f t="shared" si="1"/>
        <v>09:00</v>
      </c>
    </row>
    <row r="26" spans="1:9" x14ac:dyDescent="0.25">
      <c r="A26" s="23">
        <v>45554</v>
      </c>
      <c r="B26" s="20">
        <v>0.20833333333333334</v>
      </c>
      <c r="C26" s="24" t="s">
        <v>26</v>
      </c>
      <c r="D26" s="22" t="s">
        <v>59</v>
      </c>
      <c r="E26" s="9" t="s">
        <v>20</v>
      </c>
      <c r="F26" s="8">
        <f>(INT(Table_Kyrgyzstan[[#This Row],[Date]]) - DATE(1970, 1, 1)) * 86400000</f>
        <v>1726704000000</v>
      </c>
      <c r="G26">
        <f>'GMT Glossary'!$B$2</f>
        <v>6</v>
      </c>
      <c r="H26" s="2" t="str">
        <f t="shared" si="0"/>
        <v>2024-09-19</v>
      </c>
      <c r="I26" s="2" t="str">
        <f t="shared" si="1"/>
        <v>11:00</v>
      </c>
    </row>
    <row r="27" spans="1:9" x14ac:dyDescent="0.25">
      <c r="A27" s="23">
        <v>45554</v>
      </c>
      <c r="B27" s="20">
        <v>0.29166666666666669</v>
      </c>
      <c r="C27" s="24" t="s">
        <v>26</v>
      </c>
      <c r="D27" s="22" t="s">
        <v>33</v>
      </c>
      <c r="E27" s="9" t="s">
        <v>20</v>
      </c>
      <c r="F27" s="8">
        <f>(INT(Table_Kyrgyzstan[[#This Row],[Date]]) - DATE(1970, 1, 1)) * 86400000</f>
        <v>1726704000000</v>
      </c>
      <c r="G27">
        <f>'GMT Glossary'!$B$2</f>
        <v>6</v>
      </c>
      <c r="H27" s="2" t="str">
        <f t="shared" si="0"/>
        <v>2024-09-19</v>
      </c>
      <c r="I27" s="2" t="str">
        <f t="shared" si="1"/>
        <v>13:00</v>
      </c>
    </row>
    <row r="28" spans="1:9" x14ac:dyDescent="0.25">
      <c r="A28" s="23">
        <v>45554</v>
      </c>
      <c r="B28" s="20">
        <v>0.375</v>
      </c>
      <c r="C28" s="24" t="s">
        <v>26</v>
      </c>
      <c r="D28" s="22" t="s">
        <v>64</v>
      </c>
      <c r="E28" s="9" t="s">
        <v>20</v>
      </c>
      <c r="F28" s="8">
        <f>(INT(Table_Kyrgyzstan[[#This Row],[Date]]) - DATE(1970, 1, 1)) * 86400000</f>
        <v>1726704000000</v>
      </c>
      <c r="G28">
        <f>'GMT Glossary'!$B$2</f>
        <v>6</v>
      </c>
      <c r="H28" s="2" t="str">
        <f t="shared" si="0"/>
        <v>2024-09-19</v>
      </c>
      <c r="I28" s="2" t="str">
        <f t="shared" si="1"/>
        <v>15:00</v>
      </c>
    </row>
    <row r="29" spans="1:9" x14ac:dyDescent="0.25">
      <c r="A29" s="23">
        <v>45554</v>
      </c>
      <c r="B29" s="20">
        <v>0.41666666666666669</v>
      </c>
      <c r="C29" s="24" t="s">
        <v>26</v>
      </c>
      <c r="D29" s="22" t="s">
        <v>65</v>
      </c>
      <c r="E29" s="9" t="s">
        <v>20</v>
      </c>
      <c r="F29" s="8">
        <f>(INT(Table_Kyrgyzstan[[#This Row],[Date]]) - DATE(1970, 1, 1)) * 86400000</f>
        <v>1726704000000</v>
      </c>
      <c r="G29">
        <f>'GMT Glossary'!$B$2</f>
        <v>6</v>
      </c>
      <c r="H29" s="2" t="str">
        <f t="shared" si="0"/>
        <v>2024-09-19</v>
      </c>
      <c r="I29" s="2" t="str">
        <f t="shared" si="1"/>
        <v>16:00</v>
      </c>
    </row>
    <row r="30" spans="1:9" x14ac:dyDescent="0.25">
      <c r="A30" s="23">
        <v>45554</v>
      </c>
      <c r="B30" s="20">
        <v>0.45833333333333331</v>
      </c>
      <c r="C30" s="24" t="s">
        <v>26</v>
      </c>
      <c r="D30" s="22" t="s">
        <v>66</v>
      </c>
      <c r="E30" s="9" t="s">
        <v>20</v>
      </c>
      <c r="F30" s="8">
        <f>(INT(Table_Kyrgyzstan[[#This Row],[Date]]) - DATE(1970, 1, 1)) * 86400000</f>
        <v>1726704000000</v>
      </c>
      <c r="G30">
        <f>'GMT Glossary'!$B$2</f>
        <v>6</v>
      </c>
      <c r="H30" s="2" t="str">
        <f t="shared" si="0"/>
        <v>2024-09-19</v>
      </c>
      <c r="I30" s="2" t="str">
        <f t="shared" si="1"/>
        <v>17:00</v>
      </c>
    </row>
    <row r="31" spans="1:9" x14ac:dyDescent="0.25">
      <c r="A31" s="23">
        <v>45554</v>
      </c>
      <c r="B31" s="20">
        <v>0.5</v>
      </c>
      <c r="C31" s="24" t="s">
        <v>26</v>
      </c>
      <c r="D31" s="22" t="s">
        <v>67</v>
      </c>
      <c r="E31" s="9" t="s">
        <v>20</v>
      </c>
      <c r="F31" s="8">
        <f>(INT(Table_Kyrgyzstan[[#This Row],[Date]]) - DATE(1970, 1, 1)) * 86400000</f>
        <v>1726704000000</v>
      </c>
      <c r="G31">
        <f>'GMT Glossary'!$B$2</f>
        <v>6</v>
      </c>
      <c r="H31" s="2" t="str">
        <f t="shared" si="0"/>
        <v>2024-09-19</v>
      </c>
      <c r="I31" s="2" t="str">
        <f t="shared" si="1"/>
        <v>18:00</v>
      </c>
    </row>
    <row r="32" spans="1:9" x14ac:dyDescent="0.25">
      <c r="A32" s="23">
        <v>45554</v>
      </c>
      <c r="B32" s="20">
        <v>0.54166666666666663</v>
      </c>
      <c r="C32" s="24" t="s">
        <v>26</v>
      </c>
      <c r="D32" s="22" t="s">
        <v>72</v>
      </c>
      <c r="E32" s="9" t="s">
        <v>20</v>
      </c>
      <c r="F32" s="8">
        <f>(INT(Table_Kyrgyzstan[[#This Row],[Date]]) - DATE(1970, 1, 1)) * 86400000</f>
        <v>1726704000000</v>
      </c>
      <c r="G32">
        <f>'GMT Glossary'!$B$2</f>
        <v>6</v>
      </c>
      <c r="H32" s="2" t="str">
        <f t="shared" si="0"/>
        <v>2024-09-19</v>
      </c>
      <c r="I32" s="2" t="str">
        <f t="shared" si="1"/>
        <v>19:00</v>
      </c>
    </row>
    <row r="33" spans="1:9" x14ac:dyDescent="0.25">
      <c r="A33" s="23">
        <v>45554</v>
      </c>
      <c r="B33" s="20">
        <v>0.625</v>
      </c>
      <c r="C33" s="24" t="s">
        <v>26</v>
      </c>
      <c r="D33" s="22" t="s">
        <v>34</v>
      </c>
      <c r="E33" s="9" t="s">
        <v>20</v>
      </c>
      <c r="F33" s="8">
        <f>(INT(Table_Kyrgyzstan[[#This Row],[Date]]) - DATE(1970, 1, 1)) * 86400000</f>
        <v>1726704000000</v>
      </c>
      <c r="G33">
        <f>'GMT Glossary'!$B$2</f>
        <v>6</v>
      </c>
      <c r="H33" s="2" t="str">
        <f t="shared" si="0"/>
        <v>2024-09-19</v>
      </c>
      <c r="I33" s="2" t="str">
        <f t="shared" si="1"/>
        <v>21:00</v>
      </c>
    </row>
    <row r="34" spans="1:9" x14ac:dyDescent="0.25">
      <c r="A34" s="23">
        <v>45554</v>
      </c>
      <c r="B34" s="20">
        <v>0.70833333333333337</v>
      </c>
      <c r="C34" s="24" t="s">
        <v>26</v>
      </c>
      <c r="D34" s="21" t="s">
        <v>73</v>
      </c>
      <c r="E34" s="9" t="s">
        <v>20</v>
      </c>
      <c r="F34" s="8">
        <f>(INT(Table_Kyrgyzstan[[#This Row],[Date]]) - DATE(1970, 1, 1)) * 86400000</f>
        <v>1726704000000</v>
      </c>
      <c r="G34">
        <f>'GMT Glossary'!$B$2</f>
        <v>6</v>
      </c>
      <c r="H34" s="2" t="str">
        <f t="shared" si="0"/>
        <v>2024-09-19</v>
      </c>
      <c r="I34" s="2" t="str">
        <f t="shared" si="1"/>
        <v>23:00</v>
      </c>
    </row>
    <row r="35" spans="1:9" x14ac:dyDescent="0.25">
      <c r="A35" s="23">
        <v>45554</v>
      </c>
      <c r="B35" s="20">
        <v>0.79166666666666663</v>
      </c>
      <c r="C35" s="24" t="s">
        <v>26</v>
      </c>
      <c r="D35" s="22" t="s">
        <v>62</v>
      </c>
      <c r="E35" s="9" t="s">
        <v>20</v>
      </c>
      <c r="F35" s="8">
        <f>(INT(Table_Kyrgyzstan[[#This Row],[Date]]) - DATE(1970, 1, 1)) * 86400000</f>
        <v>1726704000000</v>
      </c>
      <c r="G35">
        <f>'GMT Glossary'!$B$2</f>
        <v>6</v>
      </c>
      <c r="H35" s="2" t="str">
        <f t="shared" si="0"/>
        <v>2024-09-20</v>
      </c>
      <c r="I35" s="2" t="str">
        <f t="shared" si="1"/>
        <v>01:00</v>
      </c>
    </row>
    <row r="36" spans="1:9" x14ac:dyDescent="0.25">
      <c r="A36" s="23">
        <v>45554</v>
      </c>
      <c r="B36" s="20">
        <v>0.875</v>
      </c>
      <c r="C36" s="24" t="s">
        <v>26</v>
      </c>
      <c r="D36" s="22" t="s">
        <v>32</v>
      </c>
      <c r="E36" s="9" t="s">
        <v>20</v>
      </c>
      <c r="F36" s="8">
        <f>(INT(Table_Kyrgyzstan[[#This Row],[Date]]) - DATE(1970, 1, 1)) * 86400000</f>
        <v>1726704000000</v>
      </c>
      <c r="G36">
        <f>'GMT Glossary'!$B$2</f>
        <v>6</v>
      </c>
      <c r="H36" s="2" t="str">
        <f t="shared" si="0"/>
        <v>2024-09-20</v>
      </c>
      <c r="I36" s="2" t="str">
        <f t="shared" si="1"/>
        <v>03:00</v>
      </c>
    </row>
    <row r="37" spans="1:9" x14ac:dyDescent="0.25">
      <c r="A37" s="23">
        <v>45554</v>
      </c>
      <c r="B37" s="20">
        <v>0.95833333333333337</v>
      </c>
      <c r="C37" s="24" t="s">
        <v>26</v>
      </c>
      <c r="D37" s="22" t="s">
        <v>31</v>
      </c>
      <c r="E37" s="9" t="s">
        <v>20</v>
      </c>
      <c r="F37" s="8">
        <f>(INT(Table_Kyrgyzstan[[#This Row],[Date]]) - DATE(1970, 1, 1)) * 86400000</f>
        <v>1726704000000</v>
      </c>
      <c r="G37">
        <f>'GMT Glossary'!$B$2</f>
        <v>6</v>
      </c>
      <c r="H37" s="2" t="str">
        <f t="shared" si="0"/>
        <v>2024-09-20</v>
      </c>
      <c r="I37" s="2" t="str">
        <f t="shared" si="1"/>
        <v>05:00</v>
      </c>
    </row>
    <row r="38" spans="1:9" x14ac:dyDescent="0.25">
      <c r="A38" s="23">
        <v>45555</v>
      </c>
      <c r="B38" s="20">
        <v>4.1666666666666664E-2</v>
      </c>
      <c r="C38" s="24" t="s">
        <v>26</v>
      </c>
      <c r="D38" s="22" t="s">
        <v>56</v>
      </c>
      <c r="E38" s="9" t="s">
        <v>20</v>
      </c>
      <c r="F38" s="8">
        <f>(INT(Table_Kyrgyzstan[[#This Row],[Date]]) - DATE(1970, 1, 1)) * 86400000</f>
        <v>1726790400000</v>
      </c>
      <c r="G38">
        <f>'GMT Glossary'!$B$2</f>
        <v>6</v>
      </c>
      <c r="H38" s="2" t="str">
        <f t="shared" si="0"/>
        <v>2024-09-20</v>
      </c>
      <c r="I38" s="2" t="str">
        <f t="shared" si="1"/>
        <v>07:00</v>
      </c>
    </row>
    <row r="39" spans="1:9" x14ac:dyDescent="0.25">
      <c r="A39" s="23">
        <v>45555</v>
      </c>
      <c r="B39" s="20">
        <v>0.125</v>
      </c>
      <c r="C39" s="24" t="s">
        <v>26</v>
      </c>
      <c r="D39" s="22" t="s">
        <v>29</v>
      </c>
      <c r="E39" s="9" t="s">
        <v>20</v>
      </c>
      <c r="F39" s="8">
        <f>(INT(Table_Kyrgyzstan[[#This Row],[Date]]) - DATE(1970, 1, 1)) * 86400000</f>
        <v>1726790400000</v>
      </c>
      <c r="G39">
        <f>'GMT Glossary'!$B$2</f>
        <v>6</v>
      </c>
      <c r="H39" s="2" t="str">
        <f t="shared" si="0"/>
        <v>2024-09-20</v>
      </c>
      <c r="I39" s="2" t="str">
        <f t="shared" si="1"/>
        <v>09:00</v>
      </c>
    </row>
    <row r="40" spans="1:9" x14ac:dyDescent="0.25">
      <c r="A40" s="23">
        <v>45555</v>
      </c>
      <c r="B40" s="20">
        <v>0.20833333333333334</v>
      </c>
      <c r="C40" s="24" t="s">
        <v>26</v>
      </c>
      <c r="D40" s="22" t="s">
        <v>35</v>
      </c>
      <c r="E40" s="9" t="s">
        <v>20</v>
      </c>
      <c r="F40" s="8">
        <f>(INT(Table_Kyrgyzstan[[#This Row],[Date]]) - DATE(1970, 1, 1)) * 86400000</f>
        <v>1726790400000</v>
      </c>
      <c r="G40">
        <f>'GMT Glossary'!$B$2</f>
        <v>6</v>
      </c>
      <c r="H40" s="2" t="str">
        <f t="shared" si="0"/>
        <v>2024-09-20</v>
      </c>
      <c r="I40" s="2" t="str">
        <f t="shared" si="1"/>
        <v>11:00</v>
      </c>
    </row>
    <row r="41" spans="1:9" x14ac:dyDescent="0.25">
      <c r="A41" s="23">
        <v>45555</v>
      </c>
      <c r="B41" s="20">
        <v>0.29166666666666669</v>
      </c>
      <c r="C41" s="24" t="s">
        <v>26</v>
      </c>
      <c r="D41" s="22" t="s">
        <v>71</v>
      </c>
      <c r="E41" s="9" t="s">
        <v>20</v>
      </c>
      <c r="F41" s="8">
        <f>(INT(Table_Kyrgyzstan[[#This Row],[Date]]) - DATE(1970, 1, 1)) * 86400000</f>
        <v>1726790400000</v>
      </c>
      <c r="G41">
        <f>'GMT Glossary'!$B$2</f>
        <v>6</v>
      </c>
      <c r="H41" s="2" t="str">
        <f t="shared" si="0"/>
        <v>2024-09-20</v>
      </c>
      <c r="I41" s="2" t="str">
        <f t="shared" si="1"/>
        <v>13:00</v>
      </c>
    </row>
    <row r="42" spans="1:9" x14ac:dyDescent="0.25">
      <c r="A42" s="23">
        <v>45555</v>
      </c>
      <c r="B42" s="20">
        <v>0.375</v>
      </c>
      <c r="C42" s="24" t="s">
        <v>26</v>
      </c>
      <c r="D42" s="22" t="s">
        <v>68</v>
      </c>
      <c r="E42" s="9" t="s">
        <v>20</v>
      </c>
      <c r="F42" s="8">
        <f>(INT(Table_Kyrgyzstan[[#This Row],[Date]]) - DATE(1970, 1, 1)) * 86400000</f>
        <v>1726790400000</v>
      </c>
      <c r="G42">
        <f>'GMT Glossary'!$B$2</f>
        <v>6</v>
      </c>
      <c r="H42" s="2" t="str">
        <f t="shared" si="0"/>
        <v>2024-09-20</v>
      </c>
      <c r="I42" s="2" t="str">
        <f t="shared" si="1"/>
        <v>15:00</v>
      </c>
    </row>
    <row r="43" spans="1:9" x14ac:dyDescent="0.25">
      <c r="A43" s="23">
        <v>45555</v>
      </c>
      <c r="B43" s="20">
        <v>0.45833333333333331</v>
      </c>
      <c r="C43" s="24" t="s">
        <v>26</v>
      </c>
      <c r="D43" s="22" t="s">
        <v>28</v>
      </c>
      <c r="E43" s="9" t="s">
        <v>20</v>
      </c>
      <c r="F43" s="8">
        <f>(INT(Table_Kyrgyzstan[[#This Row],[Date]]) - DATE(1970, 1, 1)) * 86400000</f>
        <v>1726790400000</v>
      </c>
      <c r="G43">
        <f>'GMT Glossary'!$B$2</f>
        <v>6</v>
      </c>
      <c r="H43" s="2" t="str">
        <f t="shared" si="0"/>
        <v>2024-09-20</v>
      </c>
      <c r="I43" s="2" t="str">
        <f t="shared" si="1"/>
        <v>17:00</v>
      </c>
    </row>
    <row r="44" spans="1:9" x14ac:dyDescent="0.25">
      <c r="A44" s="23">
        <v>45555</v>
      </c>
      <c r="B44" s="20">
        <v>0.54166666666666663</v>
      </c>
      <c r="C44" s="24" t="s">
        <v>26</v>
      </c>
      <c r="D44" s="22" t="s">
        <v>58</v>
      </c>
      <c r="E44" s="9" t="s">
        <v>20</v>
      </c>
      <c r="F44" s="8">
        <f>(INT(Table_Kyrgyzstan[[#This Row],[Date]]) - DATE(1970, 1, 1)) * 86400000</f>
        <v>1726790400000</v>
      </c>
      <c r="G44">
        <f>'GMT Glossary'!$B$2</f>
        <v>6</v>
      </c>
      <c r="H44" s="2" t="str">
        <f t="shared" si="0"/>
        <v>2024-09-20</v>
      </c>
      <c r="I44" s="2" t="str">
        <f t="shared" si="1"/>
        <v>19:00</v>
      </c>
    </row>
    <row r="45" spans="1:9" x14ac:dyDescent="0.25">
      <c r="A45" s="23">
        <v>45555</v>
      </c>
      <c r="B45" s="20">
        <v>0.625</v>
      </c>
      <c r="C45" s="24" t="s">
        <v>26</v>
      </c>
      <c r="D45" s="22" t="s">
        <v>27</v>
      </c>
      <c r="E45" s="9" t="s">
        <v>20</v>
      </c>
      <c r="F45" s="8">
        <f>(INT(Table_Kyrgyzstan[[#This Row],[Date]]) - DATE(1970, 1, 1)) * 86400000</f>
        <v>1726790400000</v>
      </c>
      <c r="G45">
        <f>'GMT Glossary'!$B$2</f>
        <v>6</v>
      </c>
      <c r="H45" s="2" t="str">
        <f t="shared" si="0"/>
        <v>2024-09-20</v>
      </c>
      <c r="I45" s="2" t="str">
        <f t="shared" si="1"/>
        <v>21:00</v>
      </c>
    </row>
    <row r="46" spans="1:9" x14ac:dyDescent="0.25">
      <c r="A46" s="23">
        <v>45555</v>
      </c>
      <c r="B46" s="20">
        <v>0.6875</v>
      </c>
      <c r="C46" s="24" t="s">
        <v>26</v>
      </c>
      <c r="D46" s="21" t="s">
        <v>74</v>
      </c>
      <c r="E46" s="9" t="s">
        <v>20</v>
      </c>
      <c r="F46" s="8">
        <f>(INT(Table_Kyrgyzstan[[#This Row],[Date]]) - DATE(1970, 1, 1)) * 86400000</f>
        <v>1726790400000</v>
      </c>
      <c r="G46">
        <f>'GMT Glossary'!$B$2</f>
        <v>6</v>
      </c>
      <c r="H46" s="2" t="str">
        <f t="shared" si="0"/>
        <v>2024-09-20</v>
      </c>
      <c r="I46" s="2" t="str">
        <f t="shared" si="1"/>
        <v>22:30</v>
      </c>
    </row>
    <row r="47" spans="1:9" x14ac:dyDescent="0.25">
      <c r="A47" s="23">
        <v>45555</v>
      </c>
      <c r="B47" s="20">
        <v>0.78125</v>
      </c>
      <c r="C47" s="24" t="s">
        <v>26</v>
      </c>
      <c r="D47" s="21" t="s">
        <v>75</v>
      </c>
      <c r="E47" s="9" t="s">
        <v>20</v>
      </c>
      <c r="F47" s="8">
        <f>(INT(Table_Kyrgyzstan[[#This Row],[Date]]) - DATE(1970, 1, 1)) * 86400000</f>
        <v>1726790400000</v>
      </c>
      <c r="G47">
        <f>'GMT Glossary'!$B$2</f>
        <v>6</v>
      </c>
      <c r="H47" s="2" t="str">
        <f t="shared" si="0"/>
        <v>2024-09-21</v>
      </c>
      <c r="I47" s="2" t="str">
        <f t="shared" si="1"/>
        <v>00:45</v>
      </c>
    </row>
    <row r="48" spans="1:9" x14ac:dyDescent="0.25">
      <c r="A48" s="23">
        <v>45555</v>
      </c>
      <c r="B48" s="20">
        <v>0.875</v>
      </c>
      <c r="C48" s="24" t="s">
        <v>26</v>
      </c>
      <c r="D48" s="22" t="s">
        <v>33</v>
      </c>
      <c r="E48" s="9" t="s">
        <v>20</v>
      </c>
      <c r="F48" s="8">
        <f>(INT(Table_Kyrgyzstan[[#This Row],[Date]]) - DATE(1970, 1, 1)) * 86400000</f>
        <v>1726790400000</v>
      </c>
      <c r="G48">
        <f>'GMT Glossary'!$B$2</f>
        <v>6</v>
      </c>
      <c r="H48" s="2" t="str">
        <f t="shared" si="0"/>
        <v>2024-09-21</v>
      </c>
      <c r="I48" s="2" t="str">
        <f t="shared" si="1"/>
        <v>03:00</v>
      </c>
    </row>
    <row r="49" spans="1:9" x14ac:dyDescent="0.25">
      <c r="A49" s="23">
        <v>45555</v>
      </c>
      <c r="B49" s="20">
        <v>0.95833333333333337</v>
      </c>
      <c r="C49" s="24" t="s">
        <v>26</v>
      </c>
      <c r="D49" s="22" t="s">
        <v>72</v>
      </c>
      <c r="E49" s="9" t="s">
        <v>20</v>
      </c>
      <c r="F49" s="8">
        <f>(INT(Table_Kyrgyzstan[[#This Row],[Date]]) - DATE(1970, 1, 1)) * 86400000</f>
        <v>1726790400000</v>
      </c>
      <c r="G49">
        <f>'GMT Glossary'!$B$2</f>
        <v>6</v>
      </c>
      <c r="H49" s="2" t="str">
        <f t="shared" si="0"/>
        <v>2024-09-21</v>
      </c>
      <c r="I49" s="2" t="str">
        <f t="shared" si="1"/>
        <v>05:00</v>
      </c>
    </row>
    <row r="50" spans="1:9" x14ac:dyDescent="0.25">
      <c r="A50" s="23">
        <v>45556</v>
      </c>
      <c r="B50" s="20">
        <v>4.1666666666666664E-2</v>
      </c>
      <c r="C50" s="24" t="s">
        <v>26</v>
      </c>
      <c r="D50" s="22" t="s">
        <v>63</v>
      </c>
      <c r="E50" s="9" t="s">
        <v>20</v>
      </c>
      <c r="F50" s="8">
        <f>(INT(Table_Kyrgyzstan[[#This Row],[Date]]) - DATE(1970, 1, 1)) * 86400000</f>
        <v>1726876800000</v>
      </c>
      <c r="G50">
        <f>'GMT Glossary'!$B$2</f>
        <v>6</v>
      </c>
      <c r="H50" s="2" t="str">
        <f t="shared" si="0"/>
        <v>2024-09-21</v>
      </c>
      <c r="I50" s="2" t="str">
        <f t="shared" si="1"/>
        <v>07:00</v>
      </c>
    </row>
    <row r="51" spans="1:9" x14ac:dyDescent="0.25">
      <c r="A51" s="23">
        <v>45556</v>
      </c>
      <c r="B51" s="20">
        <v>0.125</v>
      </c>
      <c r="C51" s="24" t="s">
        <v>26</v>
      </c>
      <c r="D51" s="22" t="s">
        <v>32</v>
      </c>
      <c r="E51" s="9" t="s">
        <v>20</v>
      </c>
      <c r="F51" s="8">
        <f>(INT(Table_Kyrgyzstan[[#This Row],[Date]]) - DATE(1970, 1, 1)) * 86400000</f>
        <v>1726876800000</v>
      </c>
      <c r="G51">
        <f>'GMT Glossary'!$B$2</f>
        <v>6</v>
      </c>
      <c r="H51" s="2" t="str">
        <f t="shared" si="0"/>
        <v>2024-09-21</v>
      </c>
      <c r="I51" s="2" t="str">
        <f t="shared" si="1"/>
        <v>09:00</v>
      </c>
    </row>
    <row r="52" spans="1:9" x14ac:dyDescent="0.25">
      <c r="A52" s="23">
        <v>45556</v>
      </c>
      <c r="B52" s="20">
        <v>0.20833333333333334</v>
      </c>
      <c r="C52" s="24" t="s">
        <v>26</v>
      </c>
      <c r="D52" s="22" t="s">
        <v>30</v>
      </c>
      <c r="E52" s="9" t="s">
        <v>20</v>
      </c>
      <c r="F52" s="8">
        <f>(INT(Table_Kyrgyzstan[[#This Row],[Date]]) - DATE(1970, 1, 1)) * 86400000</f>
        <v>1726876800000</v>
      </c>
      <c r="G52">
        <f>'GMT Glossary'!$B$2</f>
        <v>6</v>
      </c>
      <c r="H52" s="2" t="str">
        <f t="shared" si="0"/>
        <v>2024-09-21</v>
      </c>
      <c r="I52" s="2" t="str">
        <f t="shared" si="1"/>
        <v>11:00</v>
      </c>
    </row>
    <row r="53" spans="1:9" x14ac:dyDescent="0.25">
      <c r="A53" s="23">
        <v>45556</v>
      </c>
      <c r="B53" s="20">
        <v>0.29166666666666669</v>
      </c>
      <c r="C53" s="24" t="s">
        <v>26</v>
      </c>
      <c r="D53" s="22" t="s">
        <v>31</v>
      </c>
      <c r="E53" s="9" t="s">
        <v>20</v>
      </c>
      <c r="F53" s="8">
        <f>(INT(Table_Kyrgyzstan[[#This Row],[Date]]) - DATE(1970, 1, 1)) * 86400000</f>
        <v>1726876800000</v>
      </c>
      <c r="G53">
        <f>'GMT Glossary'!$B$2</f>
        <v>6</v>
      </c>
      <c r="H53" s="2" t="str">
        <f t="shared" si="0"/>
        <v>2024-09-21</v>
      </c>
      <c r="I53" s="2" t="str">
        <f t="shared" si="1"/>
        <v>13:00</v>
      </c>
    </row>
    <row r="54" spans="1:9" x14ac:dyDescent="0.25">
      <c r="A54" s="23">
        <v>45556</v>
      </c>
      <c r="B54" s="20">
        <v>0.375</v>
      </c>
      <c r="C54" s="24" t="s">
        <v>26</v>
      </c>
      <c r="D54" s="22" t="s">
        <v>29</v>
      </c>
      <c r="E54" s="9" t="s">
        <v>20</v>
      </c>
      <c r="F54" s="8">
        <f>(INT(Table_Kyrgyzstan[[#This Row],[Date]]) - DATE(1970, 1, 1)) * 86400000</f>
        <v>1726876800000</v>
      </c>
      <c r="G54">
        <f>'GMT Glossary'!$B$2</f>
        <v>6</v>
      </c>
      <c r="H54" s="2" t="str">
        <f t="shared" si="0"/>
        <v>2024-09-21</v>
      </c>
      <c r="I54" s="2" t="str">
        <f t="shared" si="1"/>
        <v>15:00</v>
      </c>
    </row>
    <row r="55" spans="1:9" x14ac:dyDescent="0.25">
      <c r="A55" s="23">
        <v>45556</v>
      </c>
      <c r="B55" s="20">
        <v>0.47916666666666669</v>
      </c>
      <c r="C55" s="24" t="s">
        <v>26</v>
      </c>
      <c r="D55" s="21" t="s">
        <v>76</v>
      </c>
      <c r="E55" s="9" t="s">
        <v>20</v>
      </c>
      <c r="F55" s="8">
        <f>(INT(Table_Kyrgyzstan[[#This Row],[Date]]) - DATE(1970, 1, 1)) * 86400000</f>
        <v>1726876800000</v>
      </c>
      <c r="G55">
        <f>'GMT Glossary'!$B$2</f>
        <v>6</v>
      </c>
      <c r="H55" s="2" t="str">
        <f t="shared" si="0"/>
        <v>2024-09-21</v>
      </c>
      <c r="I55" s="2" t="str">
        <f t="shared" si="1"/>
        <v>17:30</v>
      </c>
    </row>
    <row r="56" spans="1:9" x14ac:dyDescent="0.25">
      <c r="A56" s="23">
        <v>45556</v>
      </c>
      <c r="B56" s="20">
        <v>0.58333333333333337</v>
      </c>
      <c r="C56" s="24" t="s">
        <v>26</v>
      </c>
      <c r="D56" s="21" t="s">
        <v>77</v>
      </c>
      <c r="E56" s="9" t="s">
        <v>20</v>
      </c>
      <c r="F56" s="8">
        <f>(INT(Table_Kyrgyzstan[[#This Row],[Date]]) - DATE(1970, 1, 1)) * 86400000</f>
        <v>1726876800000</v>
      </c>
      <c r="G56">
        <f>'GMT Glossary'!$B$2</f>
        <v>6</v>
      </c>
      <c r="H56" s="2" t="str">
        <f t="shared" si="0"/>
        <v>2024-09-21</v>
      </c>
      <c r="I56" s="2" t="str">
        <f t="shared" si="1"/>
        <v>20:00</v>
      </c>
    </row>
    <row r="57" spans="1:9" x14ac:dyDescent="0.25">
      <c r="A57" s="23">
        <v>45556</v>
      </c>
      <c r="B57" s="20">
        <v>0.6875</v>
      </c>
      <c r="C57" s="24" t="s">
        <v>26</v>
      </c>
      <c r="D57" s="21" t="s">
        <v>78</v>
      </c>
      <c r="E57" s="9" t="s">
        <v>20</v>
      </c>
      <c r="F57" s="8">
        <f>(INT(Table_Kyrgyzstan[[#This Row],[Date]]) - DATE(1970, 1, 1)) * 86400000</f>
        <v>1726876800000</v>
      </c>
      <c r="G57">
        <f>'GMT Glossary'!$B$2</f>
        <v>6</v>
      </c>
      <c r="H57" s="2" t="str">
        <f t="shared" si="0"/>
        <v>2024-09-21</v>
      </c>
      <c r="I57" s="2" t="str">
        <f t="shared" si="1"/>
        <v>22:30</v>
      </c>
    </row>
    <row r="58" spans="1:9" x14ac:dyDescent="0.25">
      <c r="A58" s="23">
        <v>45556</v>
      </c>
      <c r="B58" s="20">
        <v>0.79166666666666663</v>
      </c>
      <c r="C58" s="24" t="s">
        <v>26</v>
      </c>
      <c r="D58" s="21" t="s">
        <v>79</v>
      </c>
      <c r="E58" s="9" t="s">
        <v>20</v>
      </c>
      <c r="F58" s="8">
        <f>(INT(Table_Kyrgyzstan[[#This Row],[Date]]) - DATE(1970, 1, 1)) * 86400000</f>
        <v>1726876800000</v>
      </c>
      <c r="G58">
        <f>'GMT Glossary'!$B$2</f>
        <v>6</v>
      </c>
      <c r="H58" s="2" t="str">
        <f t="shared" si="0"/>
        <v>2024-09-22</v>
      </c>
      <c r="I58" s="2" t="str">
        <f t="shared" si="1"/>
        <v>01:00</v>
      </c>
    </row>
    <row r="59" spans="1:9" x14ac:dyDescent="0.25">
      <c r="A59" s="23">
        <v>45556</v>
      </c>
      <c r="B59" s="20">
        <v>0.875</v>
      </c>
      <c r="C59" s="24" t="s">
        <v>26</v>
      </c>
      <c r="D59" s="22" t="s">
        <v>33</v>
      </c>
      <c r="E59" s="9" t="s">
        <v>20</v>
      </c>
      <c r="F59" s="8">
        <f>(INT(Table_Kyrgyzstan[[#This Row],[Date]]) - DATE(1970, 1, 1)) * 86400000</f>
        <v>1726876800000</v>
      </c>
      <c r="G59">
        <f>'GMT Glossary'!$B$2</f>
        <v>6</v>
      </c>
      <c r="H59" s="2" t="str">
        <f t="shared" si="0"/>
        <v>2024-09-22</v>
      </c>
      <c r="I59" s="2" t="str">
        <f t="shared" si="1"/>
        <v>03:00</v>
      </c>
    </row>
    <row r="60" spans="1:9" x14ac:dyDescent="0.25">
      <c r="A60" s="23">
        <v>45556</v>
      </c>
      <c r="B60" s="20">
        <v>0.95833333333333337</v>
      </c>
      <c r="C60" s="24" t="s">
        <v>26</v>
      </c>
      <c r="D60" s="22" t="s">
        <v>80</v>
      </c>
      <c r="E60" s="9" t="s">
        <v>20</v>
      </c>
      <c r="F60" s="8">
        <f>(INT(Table_Kyrgyzstan[[#This Row],[Date]]) - DATE(1970, 1, 1)) * 86400000</f>
        <v>1726876800000</v>
      </c>
      <c r="G60">
        <f>'GMT Glossary'!$B$2</f>
        <v>6</v>
      </c>
      <c r="H60" s="2" t="str">
        <f t="shared" si="0"/>
        <v>2024-09-22</v>
      </c>
      <c r="I60" s="2" t="str">
        <f t="shared" si="1"/>
        <v>05:00</v>
      </c>
    </row>
    <row r="61" spans="1:9" x14ac:dyDescent="0.25">
      <c r="A61" s="23">
        <v>45557</v>
      </c>
      <c r="B61" s="20">
        <v>4.1666666666666664E-2</v>
      </c>
      <c r="C61" s="24" t="s">
        <v>26</v>
      </c>
      <c r="D61" s="22" t="s">
        <v>32</v>
      </c>
      <c r="E61" s="9" t="s">
        <v>20</v>
      </c>
      <c r="F61" s="8">
        <f>(INT(Table_Kyrgyzstan[[#This Row],[Date]]) - DATE(1970, 1, 1)) * 86400000</f>
        <v>1726963200000</v>
      </c>
      <c r="G61">
        <f>'GMT Glossary'!$B$2</f>
        <v>6</v>
      </c>
      <c r="H61" s="2" t="str">
        <f t="shared" si="0"/>
        <v>2024-09-22</v>
      </c>
      <c r="I61" s="2" t="str">
        <f t="shared" si="1"/>
        <v>07:00</v>
      </c>
    </row>
    <row r="62" spans="1:9" x14ac:dyDescent="0.25">
      <c r="A62" s="23">
        <v>45557</v>
      </c>
      <c r="B62" s="20">
        <v>0.125</v>
      </c>
      <c r="C62" s="24" t="s">
        <v>26</v>
      </c>
      <c r="D62" s="22" t="s">
        <v>59</v>
      </c>
      <c r="E62" s="9" t="s">
        <v>20</v>
      </c>
      <c r="F62" s="8">
        <f>(INT(Table_Kyrgyzstan[[#This Row],[Date]]) - DATE(1970, 1, 1)) * 86400000</f>
        <v>1726963200000</v>
      </c>
      <c r="G62">
        <f>'GMT Glossary'!$B$2</f>
        <v>6</v>
      </c>
      <c r="H62" s="2" t="str">
        <f t="shared" si="0"/>
        <v>2024-09-22</v>
      </c>
      <c r="I62" s="2" t="str">
        <f t="shared" si="1"/>
        <v>09:00</v>
      </c>
    </row>
    <row r="63" spans="1:9" x14ac:dyDescent="0.25">
      <c r="A63" s="23">
        <v>45557</v>
      </c>
      <c r="B63" s="20">
        <v>0.20833333333333334</v>
      </c>
      <c r="C63" s="24" t="s">
        <v>26</v>
      </c>
      <c r="D63" s="22" t="s">
        <v>60</v>
      </c>
      <c r="E63" s="9" t="s">
        <v>20</v>
      </c>
      <c r="F63" s="8">
        <f>(INT(Table_Kyrgyzstan[[#This Row],[Date]]) - DATE(1970, 1, 1)) * 86400000</f>
        <v>1726963200000</v>
      </c>
      <c r="G63">
        <f>'GMT Glossary'!$B$2</f>
        <v>6</v>
      </c>
      <c r="H63" s="2" t="str">
        <f t="shared" si="0"/>
        <v>2024-09-22</v>
      </c>
      <c r="I63" s="2" t="str">
        <f t="shared" si="1"/>
        <v>11:00</v>
      </c>
    </row>
    <row r="64" spans="1:9" x14ac:dyDescent="0.25">
      <c r="A64" s="23">
        <v>45557</v>
      </c>
      <c r="B64" s="20">
        <v>0.29166666666666669</v>
      </c>
      <c r="C64" s="24" t="s">
        <v>26</v>
      </c>
      <c r="D64" s="22" t="s">
        <v>29</v>
      </c>
      <c r="E64" s="9" t="s">
        <v>20</v>
      </c>
      <c r="F64" s="8">
        <f>(INT(Table_Kyrgyzstan[[#This Row],[Date]]) - DATE(1970, 1, 1)) * 86400000</f>
        <v>1726963200000</v>
      </c>
      <c r="G64">
        <f>'GMT Glossary'!$B$2</f>
        <v>6</v>
      </c>
      <c r="H64" s="2" t="str">
        <f t="shared" si="0"/>
        <v>2024-09-22</v>
      </c>
      <c r="I64" s="2" t="str">
        <f t="shared" si="1"/>
        <v>13:00</v>
      </c>
    </row>
    <row r="65" spans="1:9" x14ac:dyDescent="0.25">
      <c r="A65" s="23">
        <v>45557</v>
      </c>
      <c r="B65" s="20">
        <v>0.375</v>
      </c>
      <c r="C65" s="24" t="s">
        <v>26</v>
      </c>
      <c r="D65" s="22" t="s">
        <v>27</v>
      </c>
      <c r="E65" s="9" t="s">
        <v>20</v>
      </c>
      <c r="F65" s="8">
        <f>(INT(Table_Kyrgyzstan[[#This Row],[Date]]) - DATE(1970, 1, 1)) * 86400000</f>
        <v>1726963200000</v>
      </c>
      <c r="G65">
        <f>'GMT Glossary'!$B$2</f>
        <v>6</v>
      </c>
      <c r="H65" s="2" t="str">
        <f t="shared" si="0"/>
        <v>2024-09-22</v>
      </c>
      <c r="I65" s="2" t="str">
        <f t="shared" si="1"/>
        <v>15:00</v>
      </c>
    </row>
    <row r="66" spans="1:9" x14ac:dyDescent="0.25">
      <c r="A66" s="23">
        <v>45557</v>
      </c>
      <c r="B66" s="20">
        <v>0.4375</v>
      </c>
      <c r="C66" s="24" t="s">
        <v>26</v>
      </c>
      <c r="D66" s="21" t="s">
        <v>81</v>
      </c>
      <c r="E66" s="9" t="s">
        <v>20</v>
      </c>
      <c r="F66" s="8">
        <f>(INT(Table_Kyrgyzstan[[#This Row],[Date]]) - DATE(1970, 1, 1)) * 86400000</f>
        <v>1726963200000</v>
      </c>
      <c r="G66">
        <f>'GMT Glossary'!$B$2</f>
        <v>6</v>
      </c>
      <c r="H66" s="2" t="str">
        <f t="shared" ref="H66:H129" si="2">TEXT(IF(B66&lt;0, A66+1+((B66+(G66/24))-(INT(B66+(G66/24)))), A66+(B66+(G66/24))), "yyyy-mm-dd")</f>
        <v>2024-09-22</v>
      </c>
      <c r="I66" s="2" t="str">
        <f t="shared" ref="I66:I129" si="3">TEXT(IF(B66&lt;0, A66+1+((B66+(G66/24))-(INT(B66+(G66/24)))), A66+(B66+(G66/24))), "hh:mm")</f>
        <v>16:30</v>
      </c>
    </row>
    <row r="67" spans="1:9" x14ac:dyDescent="0.25">
      <c r="A67" s="23">
        <v>45557</v>
      </c>
      <c r="B67" s="20">
        <v>0.54166666666666663</v>
      </c>
      <c r="C67" s="24" t="s">
        <v>26</v>
      </c>
      <c r="D67" s="21" t="s">
        <v>82</v>
      </c>
      <c r="E67" s="9" t="s">
        <v>20</v>
      </c>
      <c r="F67" s="8">
        <f>(INT(Table_Kyrgyzstan[[#This Row],[Date]]) - DATE(1970, 1, 1)) * 86400000</f>
        <v>1726963200000</v>
      </c>
      <c r="G67">
        <f>'GMT Glossary'!$B$2</f>
        <v>6</v>
      </c>
      <c r="H67" s="2" t="str">
        <f t="shared" si="2"/>
        <v>2024-09-22</v>
      </c>
      <c r="I67" s="2" t="str">
        <f t="shared" si="3"/>
        <v>19:00</v>
      </c>
    </row>
    <row r="68" spans="1:9" x14ac:dyDescent="0.25">
      <c r="A68" s="23">
        <v>45557</v>
      </c>
      <c r="B68" s="20">
        <v>0.64583333333333337</v>
      </c>
      <c r="C68" s="24" t="s">
        <v>26</v>
      </c>
      <c r="D68" s="21" t="s">
        <v>83</v>
      </c>
      <c r="E68" s="9" t="s">
        <v>20</v>
      </c>
      <c r="F68" s="8">
        <f>(INT(Table_Kyrgyzstan[[#This Row],[Date]]) - DATE(1970, 1, 1)) * 86400000</f>
        <v>1726963200000</v>
      </c>
      <c r="G68">
        <f>'GMT Glossary'!$B$2</f>
        <v>6</v>
      </c>
      <c r="H68" s="2" t="str">
        <f t="shared" si="2"/>
        <v>2024-09-22</v>
      </c>
      <c r="I68" s="2" t="str">
        <f t="shared" si="3"/>
        <v>21:30</v>
      </c>
    </row>
    <row r="69" spans="1:9" x14ac:dyDescent="0.25">
      <c r="A69" s="23">
        <v>45557</v>
      </c>
      <c r="B69" s="20">
        <v>0.78125</v>
      </c>
      <c r="C69" s="24" t="s">
        <v>26</v>
      </c>
      <c r="D69" s="21" t="s">
        <v>84</v>
      </c>
      <c r="E69" s="9" t="s">
        <v>20</v>
      </c>
      <c r="F69" s="8">
        <f>(INT(Table_Kyrgyzstan[[#This Row],[Date]]) - DATE(1970, 1, 1)) * 86400000</f>
        <v>1726963200000</v>
      </c>
      <c r="G69">
        <f>'GMT Glossary'!$B$2</f>
        <v>6</v>
      </c>
      <c r="H69" s="2" t="str">
        <f t="shared" si="2"/>
        <v>2024-09-23</v>
      </c>
      <c r="I69" s="2" t="str">
        <f t="shared" si="3"/>
        <v>00:45</v>
      </c>
    </row>
    <row r="70" spans="1:9" x14ac:dyDescent="0.25">
      <c r="A70" s="23">
        <v>45557</v>
      </c>
      <c r="B70" s="20">
        <v>0.875</v>
      </c>
      <c r="C70" s="24" t="s">
        <v>26</v>
      </c>
      <c r="D70" s="22" t="s">
        <v>85</v>
      </c>
      <c r="E70" s="9" t="s">
        <v>20</v>
      </c>
      <c r="F70" s="8">
        <f>(INT(Table_Kyrgyzstan[[#This Row],[Date]]) - DATE(1970, 1, 1)) * 86400000</f>
        <v>1726963200000</v>
      </c>
      <c r="G70">
        <f>'GMT Glossary'!$B$2</f>
        <v>6</v>
      </c>
      <c r="H70" s="2" t="str">
        <f t="shared" si="2"/>
        <v>2024-09-23</v>
      </c>
      <c r="I70" s="2" t="str">
        <f t="shared" si="3"/>
        <v>03:00</v>
      </c>
    </row>
    <row r="71" spans="1:9" x14ac:dyDescent="0.25">
      <c r="A71" s="23">
        <v>45557</v>
      </c>
      <c r="B71" s="20">
        <v>0.95833333333333337</v>
      </c>
      <c r="C71" s="24" t="s">
        <v>26</v>
      </c>
      <c r="D71" s="22" t="s">
        <v>86</v>
      </c>
      <c r="E71" s="9" t="s">
        <v>20</v>
      </c>
      <c r="F71" s="8">
        <f>(INT(Table_Kyrgyzstan[[#This Row],[Date]]) - DATE(1970, 1, 1)) * 86400000</f>
        <v>1726963200000</v>
      </c>
      <c r="G71">
        <f>'GMT Glossary'!$B$2</f>
        <v>6</v>
      </c>
      <c r="H71" s="2" t="str">
        <f t="shared" si="2"/>
        <v>2024-09-23</v>
      </c>
      <c r="I71" s="2" t="str">
        <f t="shared" si="3"/>
        <v>05:00</v>
      </c>
    </row>
    <row r="72" spans="1:9" x14ac:dyDescent="0.25">
      <c r="A72" s="23">
        <v>45558</v>
      </c>
      <c r="B72" s="20">
        <v>4.1666666666666664E-2</v>
      </c>
      <c r="C72" s="24" t="s">
        <v>26</v>
      </c>
      <c r="D72" s="22" t="s">
        <v>87</v>
      </c>
      <c r="E72" s="9" t="s">
        <v>20</v>
      </c>
      <c r="F72" s="8">
        <f>(INT(Table_Kyrgyzstan[[#This Row],[Date]]) - DATE(1970, 1, 1)) * 86400000</f>
        <v>1727049600000</v>
      </c>
      <c r="G72">
        <f>'GMT Glossary'!$B$2</f>
        <v>6</v>
      </c>
      <c r="H72" s="2" t="str">
        <f t="shared" si="2"/>
        <v>2024-09-23</v>
      </c>
      <c r="I72" s="2" t="str">
        <f t="shared" si="3"/>
        <v>07:00</v>
      </c>
    </row>
    <row r="73" spans="1:9" x14ac:dyDescent="0.25">
      <c r="A73" s="23">
        <v>45558</v>
      </c>
      <c r="B73" s="20">
        <v>0.125</v>
      </c>
      <c r="C73" s="24" t="s">
        <v>26</v>
      </c>
      <c r="D73" s="22" t="s">
        <v>88</v>
      </c>
      <c r="E73" s="9" t="s">
        <v>20</v>
      </c>
      <c r="F73" s="8">
        <f>(INT(Table_Kyrgyzstan[[#This Row],[Date]]) - DATE(1970, 1, 1)) * 86400000</f>
        <v>1727049600000</v>
      </c>
      <c r="G73">
        <f>'GMT Glossary'!$B$2</f>
        <v>6</v>
      </c>
      <c r="H73" s="2" t="str">
        <f t="shared" si="2"/>
        <v>2024-09-23</v>
      </c>
      <c r="I73" s="2" t="str">
        <f t="shared" si="3"/>
        <v>09:00</v>
      </c>
    </row>
    <row r="74" spans="1:9" x14ac:dyDescent="0.25">
      <c r="A74" s="23">
        <v>45558</v>
      </c>
      <c r="B74" s="20">
        <v>0.20833333333333334</v>
      </c>
      <c r="C74" s="24" t="s">
        <v>26</v>
      </c>
      <c r="D74" s="22" t="s">
        <v>89</v>
      </c>
      <c r="E74" s="9" t="s">
        <v>20</v>
      </c>
      <c r="F74" s="8">
        <f>(INT(Table_Kyrgyzstan[[#This Row],[Date]]) - DATE(1970, 1, 1)) * 86400000</f>
        <v>1727049600000</v>
      </c>
      <c r="G74">
        <f>'GMT Glossary'!$B$2</f>
        <v>6</v>
      </c>
      <c r="H74" s="2" t="str">
        <f t="shared" si="2"/>
        <v>2024-09-23</v>
      </c>
      <c r="I74" s="2" t="str">
        <f t="shared" si="3"/>
        <v>11:00</v>
      </c>
    </row>
    <row r="75" spans="1:9" x14ac:dyDescent="0.25">
      <c r="A75" s="23">
        <v>45558</v>
      </c>
      <c r="B75" s="20">
        <v>0.29166666666666669</v>
      </c>
      <c r="C75" s="24" t="s">
        <v>26</v>
      </c>
      <c r="D75" s="22" t="s">
        <v>85</v>
      </c>
      <c r="E75" s="9" t="s">
        <v>20</v>
      </c>
      <c r="F75" s="8">
        <f>(INT(Table_Kyrgyzstan[[#This Row],[Date]]) - DATE(1970, 1, 1)) * 86400000</f>
        <v>1727049600000</v>
      </c>
      <c r="G75">
        <f>'GMT Glossary'!$B$2</f>
        <v>6</v>
      </c>
      <c r="H75" s="2" t="str">
        <f t="shared" si="2"/>
        <v>2024-09-23</v>
      </c>
      <c r="I75" s="2" t="str">
        <f t="shared" si="3"/>
        <v>13:00</v>
      </c>
    </row>
    <row r="76" spans="1:9" x14ac:dyDescent="0.25">
      <c r="A76" s="23">
        <v>45558</v>
      </c>
      <c r="B76" s="20">
        <v>0.375</v>
      </c>
      <c r="C76" s="24" t="s">
        <v>26</v>
      </c>
      <c r="D76" s="22" t="s">
        <v>90</v>
      </c>
      <c r="E76" s="9" t="s">
        <v>20</v>
      </c>
      <c r="F76" s="8">
        <f>(INT(Table_Kyrgyzstan[[#This Row],[Date]]) - DATE(1970, 1, 1)) * 86400000</f>
        <v>1727049600000</v>
      </c>
      <c r="G76">
        <f>'GMT Glossary'!$B$2</f>
        <v>6</v>
      </c>
      <c r="H76" s="2" t="str">
        <f t="shared" si="2"/>
        <v>2024-09-23</v>
      </c>
      <c r="I76" s="2" t="str">
        <f t="shared" si="3"/>
        <v>15:00</v>
      </c>
    </row>
    <row r="77" spans="1:9" x14ac:dyDescent="0.25">
      <c r="A77" s="23">
        <v>45558</v>
      </c>
      <c r="B77" s="20">
        <v>0.45833333333333331</v>
      </c>
      <c r="C77" s="24" t="s">
        <v>26</v>
      </c>
      <c r="D77" s="22" t="s">
        <v>91</v>
      </c>
      <c r="E77" s="9" t="s">
        <v>20</v>
      </c>
      <c r="F77" s="8">
        <f>(INT(Table_Kyrgyzstan[[#This Row],[Date]]) - DATE(1970, 1, 1)) * 86400000</f>
        <v>1727049600000</v>
      </c>
      <c r="G77">
        <f>'GMT Glossary'!$B$2</f>
        <v>6</v>
      </c>
      <c r="H77" s="2" t="str">
        <f t="shared" si="2"/>
        <v>2024-09-23</v>
      </c>
      <c r="I77" s="2" t="str">
        <f t="shared" si="3"/>
        <v>17:00</v>
      </c>
    </row>
    <row r="78" spans="1:9" x14ac:dyDescent="0.25">
      <c r="A78" s="23">
        <v>45558</v>
      </c>
      <c r="B78" s="20">
        <v>0.54166666666666663</v>
      </c>
      <c r="C78" s="24" t="s">
        <v>26</v>
      </c>
      <c r="D78" s="22" t="s">
        <v>92</v>
      </c>
      <c r="E78" s="9" t="s">
        <v>20</v>
      </c>
      <c r="F78" s="8">
        <f>(INT(Table_Kyrgyzstan[[#This Row],[Date]]) - DATE(1970, 1, 1)) * 86400000</f>
        <v>1727049600000</v>
      </c>
      <c r="G78">
        <f>'GMT Glossary'!$B$2</f>
        <v>6</v>
      </c>
      <c r="H78" s="2" t="str">
        <f t="shared" si="2"/>
        <v>2024-09-23</v>
      </c>
      <c r="I78" s="2" t="str">
        <f t="shared" si="3"/>
        <v>19:00</v>
      </c>
    </row>
    <row r="79" spans="1:9" x14ac:dyDescent="0.25">
      <c r="A79" s="23">
        <v>45558</v>
      </c>
      <c r="B79" s="20">
        <v>0.625</v>
      </c>
      <c r="C79" s="24" t="s">
        <v>26</v>
      </c>
      <c r="D79" s="22" t="s">
        <v>89</v>
      </c>
      <c r="E79" s="9" t="s">
        <v>20</v>
      </c>
      <c r="F79" s="8">
        <f>(INT(Table_Kyrgyzstan[[#This Row],[Date]]) - DATE(1970, 1, 1)) * 86400000</f>
        <v>1727049600000</v>
      </c>
      <c r="G79">
        <f>'GMT Glossary'!$B$2</f>
        <v>6</v>
      </c>
      <c r="H79" s="2" t="str">
        <f t="shared" si="2"/>
        <v>2024-09-23</v>
      </c>
      <c r="I79" s="2" t="str">
        <f t="shared" si="3"/>
        <v>21:00</v>
      </c>
    </row>
    <row r="80" spans="1:9" x14ac:dyDescent="0.25">
      <c r="A80" s="23">
        <v>45558</v>
      </c>
      <c r="B80" s="20">
        <v>0.70833333333333337</v>
      </c>
      <c r="C80" s="24" t="s">
        <v>26</v>
      </c>
      <c r="D80" s="22" t="s">
        <v>87</v>
      </c>
      <c r="E80" s="9" t="s">
        <v>20</v>
      </c>
      <c r="F80" s="8">
        <f>(INT(Table_Kyrgyzstan[[#This Row],[Date]]) - DATE(1970, 1, 1)) * 86400000</f>
        <v>1727049600000</v>
      </c>
      <c r="G80">
        <f>'GMT Glossary'!$B$2</f>
        <v>6</v>
      </c>
      <c r="H80" s="2" t="str">
        <f t="shared" si="2"/>
        <v>2024-09-23</v>
      </c>
      <c r="I80" s="2" t="str">
        <f t="shared" si="3"/>
        <v>23:00</v>
      </c>
    </row>
    <row r="81" spans="1:9" x14ac:dyDescent="0.25">
      <c r="A81" s="23">
        <v>45558</v>
      </c>
      <c r="B81" s="20">
        <v>0.78125</v>
      </c>
      <c r="C81" s="24" t="s">
        <v>26</v>
      </c>
      <c r="D81" s="21" t="s">
        <v>93</v>
      </c>
      <c r="E81" s="9" t="s">
        <v>20</v>
      </c>
      <c r="F81" s="8">
        <f>(INT(Table_Kyrgyzstan[[#This Row],[Date]]) - DATE(1970, 1, 1)) * 86400000</f>
        <v>1727049600000</v>
      </c>
      <c r="G81">
        <f>'GMT Glossary'!$B$2</f>
        <v>6</v>
      </c>
      <c r="H81" s="2" t="str">
        <f t="shared" si="2"/>
        <v>2024-09-24</v>
      </c>
      <c r="I81" s="2" t="str">
        <f t="shared" si="3"/>
        <v>00:45</v>
      </c>
    </row>
    <row r="82" spans="1:9" x14ac:dyDescent="0.25">
      <c r="A82" s="23">
        <v>45558</v>
      </c>
      <c r="B82" s="20">
        <v>0.875</v>
      </c>
      <c r="C82" s="24" t="s">
        <v>26</v>
      </c>
      <c r="D82" s="22" t="s">
        <v>91</v>
      </c>
      <c r="E82" s="9" t="s">
        <v>20</v>
      </c>
      <c r="F82" s="8">
        <f>(INT(Table_Kyrgyzstan[[#This Row],[Date]]) - DATE(1970, 1, 1)) * 86400000</f>
        <v>1727049600000</v>
      </c>
      <c r="G82">
        <f>'GMT Glossary'!$B$2</f>
        <v>6</v>
      </c>
      <c r="H82" s="2" t="str">
        <f t="shared" si="2"/>
        <v>2024-09-24</v>
      </c>
      <c r="I82" s="2" t="str">
        <f t="shared" si="3"/>
        <v>03:00</v>
      </c>
    </row>
    <row r="83" spans="1:9" x14ac:dyDescent="0.25">
      <c r="A83" s="23">
        <v>45558</v>
      </c>
      <c r="B83" s="20">
        <v>0.95833333333333337</v>
      </c>
      <c r="C83" s="24" t="s">
        <v>26</v>
      </c>
      <c r="D83" s="22" t="s">
        <v>94</v>
      </c>
      <c r="E83" s="9" t="s">
        <v>20</v>
      </c>
      <c r="F83" s="8">
        <f>(INT(Table_Kyrgyzstan[[#This Row],[Date]]) - DATE(1970, 1, 1)) * 86400000</f>
        <v>1727049600000</v>
      </c>
      <c r="G83">
        <f>'GMT Glossary'!$B$2</f>
        <v>6</v>
      </c>
      <c r="H83" s="2" t="str">
        <f t="shared" si="2"/>
        <v>2024-09-24</v>
      </c>
      <c r="I83" s="2" t="str">
        <f t="shared" si="3"/>
        <v>05:00</v>
      </c>
    </row>
    <row r="84" spans="1:9" x14ac:dyDescent="0.25">
      <c r="A84" s="23">
        <v>45559</v>
      </c>
      <c r="B84" s="20">
        <v>4.1666666666666664E-2</v>
      </c>
      <c r="C84" s="24" t="s">
        <v>26</v>
      </c>
      <c r="D84" s="22" t="s">
        <v>90</v>
      </c>
      <c r="E84" s="9" t="s">
        <v>20</v>
      </c>
      <c r="F84" s="8">
        <f>(INT(Table_Kyrgyzstan[[#This Row],[Date]]) - DATE(1970, 1, 1)) * 86400000</f>
        <v>1727136000000</v>
      </c>
      <c r="G84">
        <f>'GMT Glossary'!$B$2</f>
        <v>6</v>
      </c>
      <c r="H84" s="2" t="str">
        <f t="shared" si="2"/>
        <v>2024-09-24</v>
      </c>
      <c r="I84" s="2" t="str">
        <f t="shared" si="3"/>
        <v>07:00</v>
      </c>
    </row>
    <row r="85" spans="1:9" x14ac:dyDescent="0.25">
      <c r="A85" s="23">
        <v>45559</v>
      </c>
      <c r="B85" s="20">
        <v>0.125</v>
      </c>
      <c r="C85" s="24" t="s">
        <v>26</v>
      </c>
      <c r="D85" s="22" t="s">
        <v>86</v>
      </c>
      <c r="E85" s="9" t="s">
        <v>20</v>
      </c>
      <c r="F85" s="8">
        <f>(INT(Table_Kyrgyzstan[[#This Row],[Date]]) - DATE(1970, 1, 1)) * 86400000</f>
        <v>1727136000000</v>
      </c>
      <c r="G85">
        <f>'GMT Glossary'!$B$2</f>
        <v>6</v>
      </c>
      <c r="H85" s="2" t="str">
        <f t="shared" si="2"/>
        <v>2024-09-24</v>
      </c>
      <c r="I85" s="2" t="str">
        <f t="shared" si="3"/>
        <v>09:00</v>
      </c>
    </row>
    <row r="86" spans="1:9" x14ac:dyDescent="0.25">
      <c r="A86" s="23">
        <v>45559</v>
      </c>
      <c r="B86" s="20">
        <v>0.20833333333333334</v>
      </c>
      <c r="C86" s="24" t="s">
        <v>26</v>
      </c>
      <c r="D86" s="22" t="s">
        <v>88</v>
      </c>
      <c r="E86" s="9" t="s">
        <v>20</v>
      </c>
      <c r="F86" s="8">
        <f>(INT(Table_Kyrgyzstan[[#This Row],[Date]]) - DATE(1970, 1, 1)) * 86400000</f>
        <v>1727136000000</v>
      </c>
      <c r="G86">
        <f>'GMT Glossary'!$B$2</f>
        <v>6</v>
      </c>
      <c r="H86" s="2" t="str">
        <f t="shared" si="2"/>
        <v>2024-09-24</v>
      </c>
      <c r="I86" s="2" t="str">
        <f t="shared" si="3"/>
        <v>11:00</v>
      </c>
    </row>
    <row r="87" spans="1:9" x14ac:dyDescent="0.25">
      <c r="A87" s="23">
        <v>45559</v>
      </c>
      <c r="B87" s="20">
        <v>0.29166666666666669</v>
      </c>
      <c r="C87" s="24" t="s">
        <v>26</v>
      </c>
      <c r="D87" s="22" t="s">
        <v>85</v>
      </c>
      <c r="E87" s="11" t="s">
        <v>20</v>
      </c>
      <c r="F87" s="8">
        <f>(INT(Table_Kyrgyzstan[[#This Row],[Date]]) - DATE(1970, 1, 1)) * 86400000</f>
        <v>1727136000000</v>
      </c>
      <c r="G87" s="10">
        <f>'GMT Glossary'!$B$2</f>
        <v>6</v>
      </c>
      <c r="H87" s="2" t="str">
        <f t="shared" si="2"/>
        <v>2024-09-24</v>
      </c>
      <c r="I87" s="2" t="str">
        <f t="shared" si="3"/>
        <v>13:00</v>
      </c>
    </row>
    <row r="88" spans="1:9" x14ac:dyDescent="0.25">
      <c r="A88" s="12">
        <v>45552</v>
      </c>
      <c r="B88" s="15">
        <v>0.375</v>
      </c>
      <c r="C88" s="14" t="s">
        <v>26</v>
      </c>
      <c r="D88" s="19" t="s">
        <v>57</v>
      </c>
      <c r="E88" s="11" t="s">
        <v>22</v>
      </c>
      <c r="F88" s="8">
        <f>(INT(Table_Kyrgyzstan[[#This Row],[Date]]) - DATE(1970, 1, 1)) * 86400000</f>
        <v>1726531200000</v>
      </c>
      <c r="G88" s="10">
        <f>'GMT Glossary'!$B$2</f>
        <v>6</v>
      </c>
      <c r="H88" s="2" t="str">
        <f t="shared" si="2"/>
        <v>2024-09-17</v>
      </c>
      <c r="I88" s="2" t="str">
        <f t="shared" si="3"/>
        <v>15:00</v>
      </c>
    </row>
    <row r="89" spans="1:9" x14ac:dyDescent="0.25">
      <c r="A89" s="12">
        <v>45552</v>
      </c>
      <c r="B89" s="15">
        <v>0.45833333333333331</v>
      </c>
      <c r="C89" s="14" t="s">
        <v>26</v>
      </c>
      <c r="D89" s="19" t="s">
        <v>95</v>
      </c>
      <c r="E89" s="11" t="s">
        <v>22</v>
      </c>
      <c r="F89" s="8">
        <f>(INT(Table_Kyrgyzstan[[#This Row],[Date]]) - DATE(1970, 1, 1)) * 86400000</f>
        <v>1726531200000</v>
      </c>
      <c r="G89" s="10">
        <f>'GMT Glossary'!$B$2</f>
        <v>6</v>
      </c>
      <c r="H89" s="2" t="str">
        <f t="shared" si="2"/>
        <v>2024-09-17</v>
      </c>
      <c r="I89" s="2" t="str">
        <f t="shared" si="3"/>
        <v>17:00</v>
      </c>
    </row>
    <row r="90" spans="1:9" x14ac:dyDescent="0.25">
      <c r="A90" s="12">
        <v>45552</v>
      </c>
      <c r="B90" s="15">
        <v>0.54166666666666663</v>
      </c>
      <c r="C90" s="14" t="s">
        <v>26</v>
      </c>
      <c r="D90" s="19" t="s">
        <v>96</v>
      </c>
      <c r="E90" s="11" t="s">
        <v>22</v>
      </c>
      <c r="F90" s="8">
        <f>(INT(Table_Kyrgyzstan[[#This Row],[Date]]) - DATE(1970, 1, 1)) * 86400000</f>
        <v>1726531200000</v>
      </c>
      <c r="G90" s="10">
        <f>'GMT Glossary'!$B$2</f>
        <v>6</v>
      </c>
      <c r="H90" s="2" t="str">
        <f t="shared" si="2"/>
        <v>2024-09-17</v>
      </c>
      <c r="I90" s="2" t="str">
        <f t="shared" si="3"/>
        <v>19:00</v>
      </c>
    </row>
    <row r="91" spans="1:9" x14ac:dyDescent="0.25">
      <c r="A91" s="12">
        <v>45552</v>
      </c>
      <c r="B91" s="15">
        <v>0.625</v>
      </c>
      <c r="C91" s="14" t="s">
        <v>26</v>
      </c>
      <c r="D91" s="19" t="s">
        <v>43</v>
      </c>
      <c r="E91" s="11" t="s">
        <v>22</v>
      </c>
      <c r="F91" s="8">
        <f>(INT(Table_Kyrgyzstan[[#This Row],[Date]]) - DATE(1970, 1, 1)) * 86400000</f>
        <v>1726531200000</v>
      </c>
      <c r="G91" s="10">
        <f>'GMT Glossary'!$B$2</f>
        <v>6</v>
      </c>
      <c r="H91" s="2" t="str">
        <f t="shared" si="2"/>
        <v>2024-09-17</v>
      </c>
      <c r="I91" s="2" t="str">
        <f t="shared" si="3"/>
        <v>21:00</v>
      </c>
    </row>
    <row r="92" spans="1:9" x14ac:dyDescent="0.25">
      <c r="A92" s="12">
        <v>45552</v>
      </c>
      <c r="B92" s="15">
        <v>0.70833333333333337</v>
      </c>
      <c r="C92" s="14" t="s">
        <v>26</v>
      </c>
      <c r="D92" s="19" t="s">
        <v>48</v>
      </c>
      <c r="E92" s="11" t="s">
        <v>22</v>
      </c>
      <c r="F92" s="8">
        <f>(INT(Table_Kyrgyzstan[[#This Row],[Date]]) - DATE(1970, 1, 1)) * 86400000</f>
        <v>1726531200000</v>
      </c>
      <c r="G92" s="10">
        <f>'GMT Glossary'!$B$2</f>
        <v>6</v>
      </c>
      <c r="H92" s="2" t="str">
        <f t="shared" si="2"/>
        <v>2024-09-17</v>
      </c>
      <c r="I92" s="2" t="str">
        <f t="shared" si="3"/>
        <v>23:00</v>
      </c>
    </row>
    <row r="93" spans="1:9" x14ac:dyDescent="0.25">
      <c r="A93" s="12">
        <v>45552</v>
      </c>
      <c r="B93" s="15">
        <v>0.78125</v>
      </c>
      <c r="C93" s="14" t="s">
        <v>26</v>
      </c>
      <c r="D93" s="19" t="s">
        <v>97</v>
      </c>
      <c r="E93" s="11" t="s">
        <v>22</v>
      </c>
      <c r="F93" s="8">
        <f>(INT(Table_Kyrgyzstan[[#This Row],[Date]]) - DATE(1970, 1, 1)) * 86400000</f>
        <v>1726531200000</v>
      </c>
      <c r="G93" s="10">
        <f>'GMT Glossary'!$B$2</f>
        <v>6</v>
      </c>
      <c r="H93" s="2" t="str">
        <f t="shared" si="2"/>
        <v>2024-09-18</v>
      </c>
      <c r="I93" s="2" t="str">
        <f t="shared" si="3"/>
        <v>00:45</v>
      </c>
    </row>
    <row r="94" spans="1:9" x14ac:dyDescent="0.25">
      <c r="A94" s="12">
        <v>45552</v>
      </c>
      <c r="B94" s="15">
        <v>0.875</v>
      </c>
      <c r="C94" s="14" t="s">
        <v>26</v>
      </c>
      <c r="D94" s="19" t="s">
        <v>44</v>
      </c>
      <c r="E94" s="11" t="s">
        <v>22</v>
      </c>
      <c r="F94" s="8">
        <f>(INT(Table_Kyrgyzstan[[#This Row],[Date]]) - DATE(1970, 1, 1)) * 86400000</f>
        <v>1726531200000</v>
      </c>
      <c r="G94" s="10">
        <f>'GMT Glossary'!$B$2</f>
        <v>6</v>
      </c>
      <c r="H94" s="2" t="str">
        <f t="shared" si="2"/>
        <v>2024-09-18</v>
      </c>
      <c r="I94" s="2" t="str">
        <f t="shared" si="3"/>
        <v>03:00</v>
      </c>
    </row>
    <row r="95" spans="1:9" x14ac:dyDescent="0.25">
      <c r="A95" s="12">
        <v>45552</v>
      </c>
      <c r="B95" s="15">
        <v>0.95833333333333337</v>
      </c>
      <c r="C95" s="14" t="s">
        <v>26</v>
      </c>
      <c r="D95" s="19" t="s">
        <v>98</v>
      </c>
      <c r="E95" s="11" t="s">
        <v>22</v>
      </c>
      <c r="F95" s="8">
        <f>(INT(Table_Kyrgyzstan[[#This Row],[Date]]) - DATE(1970, 1, 1)) * 86400000</f>
        <v>1726531200000</v>
      </c>
      <c r="G95" s="10">
        <f>'GMT Glossary'!$B$2</f>
        <v>6</v>
      </c>
      <c r="H95" s="2" t="str">
        <f t="shared" si="2"/>
        <v>2024-09-18</v>
      </c>
      <c r="I95" s="2" t="str">
        <f t="shared" si="3"/>
        <v>05:00</v>
      </c>
    </row>
    <row r="96" spans="1:9" x14ac:dyDescent="0.25">
      <c r="A96" s="12">
        <v>45553</v>
      </c>
      <c r="B96" s="15">
        <v>4.1666666666666664E-2</v>
      </c>
      <c r="C96" s="14" t="s">
        <v>26</v>
      </c>
      <c r="D96" s="19" t="s">
        <v>52</v>
      </c>
      <c r="E96" s="11" t="s">
        <v>22</v>
      </c>
      <c r="F96" s="8">
        <f>(INT(Table_Kyrgyzstan[[#This Row],[Date]]) - DATE(1970, 1, 1)) * 86400000</f>
        <v>1726617600000</v>
      </c>
      <c r="G96" s="10">
        <f>'GMT Glossary'!$B$2</f>
        <v>6</v>
      </c>
      <c r="H96" s="2" t="str">
        <f t="shared" si="2"/>
        <v>2024-09-18</v>
      </c>
      <c r="I96" s="2" t="str">
        <f t="shared" si="3"/>
        <v>07:00</v>
      </c>
    </row>
    <row r="97" spans="1:9" x14ac:dyDescent="0.25">
      <c r="A97" s="12">
        <v>45553</v>
      </c>
      <c r="B97" s="15">
        <v>0.125</v>
      </c>
      <c r="C97" s="14" t="s">
        <v>18</v>
      </c>
      <c r="D97" s="19" t="s">
        <v>99</v>
      </c>
      <c r="E97" s="11" t="s">
        <v>22</v>
      </c>
      <c r="F97" s="8">
        <f>(INT(Table_Kyrgyzstan[[#This Row],[Date]]) - DATE(1970, 1, 1)) * 86400000</f>
        <v>1726617600000</v>
      </c>
      <c r="G97" s="10">
        <f>'GMT Glossary'!$B$2</f>
        <v>6</v>
      </c>
      <c r="H97" s="2" t="str">
        <f t="shared" si="2"/>
        <v>2024-09-18</v>
      </c>
      <c r="I97" s="2" t="str">
        <f t="shared" si="3"/>
        <v>09:00</v>
      </c>
    </row>
    <row r="98" spans="1:9" x14ac:dyDescent="0.25">
      <c r="A98" s="12">
        <v>45553</v>
      </c>
      <c r="B98" s="15">
        <v>0.25</v>
      </c>
      <c r="C98" s="14" t="s">
        <v>37</v>
      </c>
      <c r="D98" s="19" t="s">
        <v>38</v>
      </c>
      <c r="E98" s="11" t="s">
        <v>22</v>
      </c>
      <c r="F98" s="8">
        <f>(INT(Table_Kyrgyzstan[[#This Row],[Date]]) - DATE(1970, 1, 1)) * 86400000</f>
        <v>1726617600000</v>
      </c>
      <c r="G98" s="10">
        <f>'GMT Glossary'!$B$2</f>
        <v>6</v>
      </c>
      <c r="H98" s="2" t="str">
        <f t="shared" si="2"/>
        <v>2024-09-18</v>
      </c>
      <c r="I98" s="2" t="str">
        <f t="shared" si="3"/>
        <v>12:00</v>
      </c>
    </row>
    <row r="99" spans="1:9" x14ac:dyDescent="0.25">
      <c r="A99" s="12">
        <v>45553</v>
      </c>
      <c r="B99" s="15">
        <v>0.375</v>
      </c>
      <c r="C99" s="14" t="s">
        <v>26</v>
      </c>
      <c r="D99" s="19" t="s">
        <v>45</v>
      </c>
      <c r="E99" s="11" t="s">
        <v>22</v>
      </c>
      <c r="F99" s="8">
        <f>(INT(Table_Kyrgyzstan[[#This Row],[Date]]) - DATE(1970, 1, 1)) * 86400000</f>
        <v>1726617600000</v>
      </c>
      <c r="G99" s="10">
        <f>'GMT Glossary'!$B$2</f>
        <v>6</v>
      </c>
      <c r="H99" s="2" t="str">
        <f t="shared" si="2"/>
        <v>2024-09-18</v>
      </c>
      <c r="I99" s="2" t="str">
        <f t="shared" si="3"/>
        <v>15:00</v>
      </c>
    </row>
    <row r="100" spans="1:9" x14ac:dyDescent="0.25">
      <c r="A100" s="12">
        <v>45553</v>
      </c>
      <c r="B100" s="15">
        <v>0.45833333333333331</v>
      </c>
      <c r="C100" s="14" t="s">
        <v>26</v>
      </c>
      <c r="D100" s="19" t="s">
        <v>57</v>
      </c>
      <c r="E100" s="11" t="s">
        <v>22</v>
      </c>
      <c r="F100" s="8">
        <f>(INT(Table_Kyrgyzstan[[#This Row],[Date]]) - DATE(1970, 1, 1)) * 86400000</f>
        <v>1726617600000</v>
      </c>
      <c r="G100" s="10">
        <f>'GMT Glossary'!$B$2</f>
        <v>6</v>
      </c>
      <c r="H100" s="2" t="str">
        <f t="shared" si="2"/>
        <v>2024-09-18</v>
      </c>
      <c r="I100" s="2" t="str">
        <f t="shared" si="3"/>
        <v>17:00</v>
      </c>
    </row>
    <row r="101" spans="1:9" x14ac:dyDescent="0.25">
      <c r="A101" s="12">
        <v>45553</v>
      </c>
      <c r="B101" s="15">
        <v>0.54166666666666663</v>
      </c>
      <c r="C101" s="14" t="s">
        <v>26</v>
      </c>
      <c r="D101" s="19" t="s">
        <v>100</v>
      </c>
      <c r="E101" s="11" t="s">
        <v>22</v>
      </c>
      <c r="F101" s="8">
        <f>(INT(Table_Kyrgyzstan[[#This Row],[Date]]) - DATE(1970, 1, 1)) * 86400000</f>
        <v>1726617600000</v>
      </c>
      <c r="G101" s="10">
        <f>'GMT Glossary'!$B$2</f>
        <v>6</v>
      </c>
      <c r="H101" s="2" t="str">
        <f t="shared" si="2"/>
        <v>2024-09-18</v>
      </c>
      <c r="I101" s="2" t="str">
        <f t="shared" si="3"/>
        <v>19:00</v>
      </c>
    </row>
    <row r="102" spans="1:9" x14ac:dyDescent="0.25">
      <c r="A102" s="12">
        <v>45553</v>
      </c>
      <c r="B102" s="15">
        <v>0.625</v>
      </c>
      <c r="C102" s="14" t="s">
        <v>26</v>
      </c>
      <c r="D102" s="19" t="s">
        <v>42</v>
      </c>
      <c r="E102" s="11" t="s">
        <v>22</v>
      </c>
      <c r="F102" s="8">
        <f>(INT(Table_Kyrgyzstan[[#This Row],[Date]]) - DATE(1970, 1, 1)) * 86400000</f>
        <v>1726617600000</v>
      </c>
      <c r="G102" s="10">
        <f>'GMT Glossary'!$B$2</f>
        <v>6</v>
      </c>
      <c r="H102" s="2" t="str">
        <f t="shared" si="2"/>
        <v>2024-09-18</v>
      </c>
      <c r="I102" s="2" t="str">
        <f t="shared" si="3"/>
        <v>21:00</v>
      </c>
    </row>
    <row r="103" spans="1:9" x14ac:dyDescent="0.25">
      <c r="A103" s="12">
        <v>45553</v>
      </c>
      <c r="B103" s="15">
        <v>0.70833333333333337</v>
      </c>
      <c r="C103" s="14" t="s">
        <v>26</v>
      </c>
      <c r="D103" s="19" t="s">
        <v>101</v>
      </c>
      <c r="E103" s="11" t="s">
        <v>22</v>
      </c>
      <c r="F103" s="8">
        <f>(INT(Table_Kyrgyzstan[[#This Row],[Date]]) - DATE(1970, 1, 1)) * 86400000</f>
        <v>1726617600000</v>
      </c>
      <c r="G103" s="10">
        <f>'GMT Glossary'!$B$2</f>
        <v>6</v>
      </c>
      <c r="H103" s="2" t="str">
        <f t="shared" si="2"/>
        <v>2024-09-18</v>
      </c>
      <c r="I103" s="2" t="str">
        <f t="shared" si="3"/>
        <v>23:00</v>
      </c>
    </row>
    <row r="104" spans="1:9" x14ac:dyDescent="0.25">
      <c r="A104" s="12">
        <v>45553</v>
      </c>
      <c r="B104" s="15">
        <v>0.79166666666666663</v>
      </c>
      <c r="C104" s="14" t="s">
        <v>26</v>
      </c>
      <c r="D104" s="19" t="s">
        <v>49</v>
      </c>
      <c r="E104" s="11" t="s">
        <v>22</v>
      </c>
      <c r="F104" s="8">
        <f>(INT(Table_Kyrgyzstan[[#This Row],[Date]]) - DATE(1970, 1, 1)) * 86400000</f>
        <v>1726617600000</v>
      </c>
      <c r="G104" s="10">
        <f>'GMT Glossary'!$B$2</f>
        <v>6</v>
      </c>
      <c r="H104" s="2" t="str">
        <f t="shared" si="2"/>
        <v>2024-09-19</v>
      </c>
      <c r="I104" s="2" t="str">
        <f t="shared" si="3"/>
        <v>01:00</v>
      </c>
    </row>
    <row r="105" spans="1:9" x14ac:dyDescent="0.25">
      <c r="A105" s="12">
        <v>45553</v>
      </c>
      <c r="B105" s="15">
        <v>0.875</v>
      </c>
      <c r="C105" s="14" t="s">
        <v>26</v>
      </c>
      <c r="D105" s="19" t="s">
        <v>43</v>
      </c>
      <c r="E105" s="11" t="s">
        <v>22</v>
      </c>
      <c r="F105" s="8">
        <f>(INT(Table_Kyrgyzstan[[#This Row],[Date]]) - DATE(1970, 1, 1)) * 86400000</f>
        <v>1726617600000</v>
      </c>
      <c r="G105" s="10">
        <f>'GMT Glossary'!$B$2</f>
        <v>6</v>
      </c>
      <c r="H105" s="2" t="str">
        <f t="shared" si="2"/>
        <v>2024-09-19</v>
      </c>
      <c r="I105" s="2" t="str">
        <f t="shared" si="3"/>
        <v>03:00</v>
      </c>
    </row>
    <row r="106" spans="1:9" x14ac:dyDescent="0.25">
      <c r="A106" s="12">
        <v>45553</v>
      </c>
      <c r="B106" s="15">
        <v>0.95833333333333337</v>
      </c>
      <c r="C106" s="14" t="s">
        <v>26</v>
      </c>
      <c r="D106" s="19" t="s">
        <v>102</v>
      </c>
      <c r="E106" s="11" t="s">
        <v>22</v>
      </c>
      <c r="F106" s="8">
        <f>(INT(Table_Kyrgyzstan[[#This Row],[Date]]) - DATE(1970, 1, 1)) * 86400000</f>
        <v>1726617600000</v>
      </c>
      <c r="G106" s="10">
        <f>'GMT Glossary'!$B$2</f>
        <v>6</v>
      </c>
      <c r="H106" s="2" t="str">
        <f t="shared" si="2"/>
        <v>2024-09-19</v>
      </c>
      <c r="I106" s="2" t="str">
        <f t="shared" si="3"/>
        <v>05:00</v>
      </c>
    </row>
    <row r="107" spans="1:9" x14ac:dyDescent="0.25">
      <c r="A107" s="12">
        <v>45554</v>
      </c>
      <c r="B107" s="15">
        <v>4.1666666666666664E-2</v>
      </c>
      <c r="C107" s="14" t="s">
        <v>37</v>
      </c>
      <c r="D107" s="19" t="s">
        <v>46</v>
      </c>
      <c r="E107" s="11" t="s">
        <v>22</v>
      </c>
      <c r="F107" s="8">
        <f>(INT(Table_Kyrgyzstan[[#This Row],[Date]]) - DATE(1970, 1, 1)) * 86400000</f>
        <v>1726704000000</v>
      </c>
      <c r="G107" s="10">
        <f>'GMT Glossary'!$B$2</f>
        <v>6</v>
      </c>
      <c r="H107" s="2" t="str">
        <f t="shared" si="2"/>
        <v>2024-09-19</v>
      </c>
      <c r="I107" s="2" t="str">
        <f t="shared" si="3"/>
        <v>07:00</v>
      </c>
    </row>
    <row r="108" spans="1:9" x14ac:dyDescent="0.25">
      <c r="A108" s="12">
        <v>45554</v>
      </c>
      <c r="B108" s="15">
        <v>0.16666666666666666</v>
      </c>
      <c r="C108" s="14" t="s">
        <v>18</v>
      </c>
      <c r="D108" s="19" t="s">
        <v>99</v>
      </c>
      <c r="E108" s="11" t="s">
        <v>22</v>
      </c>
      <c r="F108" s="8">
        <f>(INT(Table_Kyrgyzstan[[#This Row],[Date]]) - DATE(1970, 1, 1)) * 86400000</f>
        <v>1726704000000</v>
      </c>
      <c r="G108" s="10">
        <f>'GMT Glossary'!$B$2</f>
        <v>6</v>
      </c>
      <c r="H108" s="2" t="str">
        <f t="shared" si="2"/>
        <v>2024-09-19</v>
      </c>
      <c r="I108" s="2" t="str">
        <f t="shared" si="3"/>
        <v>10:00</v>
      </c>
    </row>
    <row r="109" spans="1:9" x14ac:dyDescent="0.25">
      <c r="A109" s="12">
        <v>45554</v>
      </c>
      <c r="B109" s="15">
        <v>0.29166666666666669</v>
      </c>
      <c r="C109" s="14" t="s">
        <v>26</v>
      </c>
      <c r="D109" s="19" t="s">
        <v>103</v>
      </c>
      <c r="E109" s="11" t="s">
        <v>22</v>
      </c>
      <c r="F109" s="8">
        <f>(INT(Table_Kyrgyzstan[[#This Row],[Date]]) - DATE(1970, 1, 1)) * 86400000</f>
        <v>1726704000000</v>
      </c>
      <c r="G109" s="10">
        <f>'GMT Glossary'!$B$2</f>
        <v>6</v>
      </c>
      <c r="H109" s="2" t="str">
        <f t="shared" si="2"/>
        <v>2024-09-19</v>
      </c>
      <c r="I109" s="2" t="str">
        <f t="shared" si="3"/>
        <v>13:00</v>
      </c>
    </row>
    <row r="110" spans="1:9" x14ac:dyDescent="0.25">
      <c r="A110" s="12">
        <v>45554</v>
      </c>
      <c r="B110" s="15">
        <v>0.375</v>
      </c>
      <c r="C110" s="14" t="s">
        <v>26</v>
      </c>
      <c r="D110" s="19" t="s">
        <v>52</v>
      </c>
      <c r="E110" s="11" t="s">
        <v>22</v>
      </c>
      <c r="F110" s="8">
        <f>(INT(Table_Kyrgyzstan[[#This Row],[Date]]) - DATE(1970, 1, 1)) * 86400000</f>
        <v>1726704000000</v>
      </c>
      <c r="G110" s="10">
        <f>'GMT Glossary'!$B$2</f>
        <v>6</v>
      </c>
      <c r="H110" s="2" t="str">
        <f t="shared" si="2"/>
        <v>2024-09-19</v>
      </c>
      <c r="I110" s="2" t="str">
        <f t="shared" si="3"/>
        <v>15:00</v>
      </c>
    </row>
    <row r="111" spans="1:9" x14ac:dyDescent="0.25">
      <c r="A111" s="12">
        <v>45554</v>
      </c>
      <c r="B111" s="15">
        <v>0.45833333333333331</v>
      </c>
      <c r="C111" s="14" t="s">
        <v>26</v>
      </c>
      <c r="D111" s="19" t="s">
        <v>40</v>
      </c>
      <c r="E111" s="11" t="s">
        <v>22</v>
      </c>
      <c r="F111" s="8">
        <f>(INT(Table_Kyrgyzstan[[#This Row],[Date]]) - DATE(1970, 1, 1)) * 86400000</f>
        <v>1726704000000</v>
      </c>
      <c r="G111" s="10">
        <f>'GMT Glossary'!$B$2</f>
        <v>6</v>
      </c>
      <c r="H111" s="2" t="str">
        <f t="shared" si="2"/>
        <v>2024-09-19</v>
      </c>
      <c r="I111" s="2" t="str">
        <f t="shared" si="3"/>
        <v>17:00</v>
      </c>
    </row>
    <row r="112" spans="1:9" x14ac:dyDescent="0.25">
      <c r="A112" s="12">
        <v>45554</v>
      </c>
      <c r="B112" s="15">
        <v>0.54166666666666663</v>
      </c>
      <c r="C112" s="14" t="s">
        <v>26</v>
      </c>
      <c r="D112" s="19" t="s">
        <v>100</v>
      </c>
      <c r="E112" s="11" t="s">
        <v>22</v>
      </c>
      <c r="F112" s="8">
        <f>(INT(Table_Kyrgyzstan[[#This Row],[Date]]) - DATE(1970, 1, 1)) * 86400000</f>
        <v>1726704000000</v>
      </c>
      <c r="G112" s="10">
        <f>'GMT Glossary'!$B$2</f>
        <v>6</v>
      </c>
      <c r="H112" s="2" t="str">
        <f t="shared" si="2"/>
        <v>2024-09-19</v>
      </c>
      <c r="I112" s="2" t="str">
        <f t="shared" si="3"/>
        <v>19:00</v>
      </c>
    </row>
    <row r="113" spans="1:9" x14ac:dyDescent="0.25">
      <c r="A113" s="12">
        <v>45554</v>
      </c>
      <c r="B113" s="15">
        <v>0.625</v>
      </c>
      <c r="C113" s="14" t="s">
        <v>26</v>
      </c>
      <c r="D113" s="19" t="s">
        <v>104</v>
      </c>
      <c r="E113" s="11" t="s">
        <v>22</v>
      </c>
      <c r="F113" s="8">
        <f>(INT(Table_Kyrgyzstan[[#This Row],[Date]]) - DATE(1970, 1, 1)) * 86400000</f>
        <v>1726704000000</v>
      </c>
      <c r="G113" s="10">
        <f>'GMT Glossary'!$B$2</f>
        <v>6</v>
      </c>
      <c r="H113" s="2" t="str">
        <f t="shared" si="2"/>
        <v>2024-09-19</v>
      </c>
      <c r="I113" s="2" t="str">
        <f t="shared" si="3"/>
        <v>21:00</v>
      </c>
    </row>
    <row r="114" spans="1:9" x14ac:dyDescent="0.25">
      <c r="A114" s="12">
        <v>45554</v>
      </c>
      <c r="B114" s="15">
        <v>0.70833333333333337</v>
      </c>
      <c r="C114" s="14" t="s">
        <v>26</v>
      </c>
      <c r="D114" s="19" t="s">
        <v>44</v>
      </c>
      <c r="E114" s="11" t="s">
        <v>22</v>
      </c>
      <c r="F114" s="8">
        <f>(INT(Table_Kyrgyzstan[[#This Row],[Date]]) - DATE(1970, 1, 1)) * 86400000</f>
        <v>1726704000000</v>
      </c>
      <c r="G114" s="10">
        <f>'GMT Glossary'!$B$2</f>
        <v>6</v>
      </c>
      <c r="H114" s="2" t="str">
        <f t="shared" si="2"/>
        <v>2024-09-19</v>
      </c>
      <c r="I114" s="2" t="str">
        <f t="shared" si="3"/>
        <v>23:00</v>
      </c>
    </row>
    <row r="115" spans="1:9" x14ac:dyDescent="0.25">
      <c r="A115" s="12">
        <v>45554</v>
      </c>
      <c r="B115" s="15">
        <v>0.79166666666666663</v>
      </c>
      <c r="C115" s="14" t="s">
        <v>26</v>
      </c>
      <c r="D115" s="19" t="s">
        <v>54</v>
      </c>
      <c r="E115" s="11" t="s">
        <v>22</v>
      </c>
      <c r="F115" s="8">
        <f>(INT(Table_Kyrgyzstan[[#This Row],[Date]]) - DATE(1970, 1, 1)) * 86400000</f>
        <v>1726704000000</v>
      </c>
      <c r="G115" s="10">
        <f>'GMT Glossary'!$B$2</f>
        <v>6</v>
      </c>
      <c r="H115" s="2" t="str">
        <f t="shared" si="2"/>
        <v>2024-09-20</v>
      </c>
      <c r="I115" s="2" t="str">
        <f t="shared" si="3"/>
        <v>01:00</v>
      </c>
    </row>
    <row r="116" spans="1:9" x14ac:dyDescent="0.25">
      <c r="A116" s="12">
        <v>45554</v>
      </c>
      <c r="B116" s="15">
        <v>0.875</v>
      </c>
      <c r="C116" s="14" t="s">
        <v>26</v>
      </c>
      <c r="D116" s="19" t="s">
        <v>43</v>
      </c>
      <c r="E116" s="11" t="s">
        <v>22</v>
      </c>
      <c r="F116" s="8">
        <f>(INT(Table_Kyrgyzstan[[#This Row],[Date]]) - DATE(1970, 1, 1)) * 86400000</f>
        <v>1726704000000</v>
      </c>
      <c r="G116" s="10">
        <f>'GMT Glossary'!$B$2</f>
        <v>6</v>
      </c>
      <c r="H116" s="2" t="str">
        <f t="shared" si="2"/>
        <v>2024-09-20</v>
      </c>
      <c r="I116" s="2" t="str">
        <f t="shared" si="3"/>
        <v>03:00</v>
      </c>
    </row>
    <row r="117" spans="1:9" x14ac:dyDescent="0.25">
      <c r="A117" s="12">
        <v>45554</v>
      </c>
      <c r="B117" s="15">
        <v>0.95833333333333337</v>
      </c>
      <c r="C117" s="14" t="s">
        <v>26</v>
      </c>
      <c r="D117" s="19" t="s">
        <v>48</v>
      </c>
      <c r="E117" s="11" t="s">
        <v>22</v>
      </c>
      <c r="F117" s="8">
        <f>(INT(Table_Kyrgyzstan[[#This Row],[Date]]) - DATE(1970, 1, 1)) * 86400000</f>
        <v>1726704000000</v>
      </c>
      <c r="G117" s="10">
        <f>'GMT Glossary'!$B$2</f>
        <v>6</v>
      </c>
      <c r="H117" s="2" t="str">
        <f t="shared" si="2"/>
        <v>2024-09-20</v>
      </c>
      <c r="I117" s="2" t="str">
        <f t="shared" si="3"/>
        <v>05:00</v>
      </c>
    </row>
    <row r="118" spans="1:9" x14ac:dyDescent="0.25">
      <c r="A118" s="12">
        <v>45555</v>
      </c>
      <c r="B118" s="15">
        <v>4.1666666666666664E-2</v>
      </c>
      <c r="C118" s="14" t="s">
        <v>37</v>
      </c>
      <c r="D118" s="19" t="s">
        <v>39</v>
      </c>
      <c r="E118" s="11" t="s">
        <v>22</v>
      </c>
      <c r="F118" s="8">
        <f>(INT(Table_Kyrgyzstan[[#This Row],[Date]]) - DATE(1970, 1, 1)) * 86400000</f>
        <v>1726790400000</v>
      </c>
      <c r="G118" s="10">
        <f>'GMT Glossary'!$B$2</f>
        <v>6</v>
      </c>
      <c r="H118" s="2" t="str">
        <f t="shared" si="2"/>
        <v>2024-09-20</v>
      </c>
      <c r="I118" s="2" t="str">
        <f t="shared" si="3"/>
        <v>07:00</v>
      </c>
    </row>
    <row r="119" spans="1:9" x14ac:dyDescent="0.25">
      <c r="A119" s="12">
        <v>45555</v>
      </c>
      <c r="B119" s="15">
        <v>0.125</v>
      </c>
      <c r="C119" s="14" t="s">
        <v>26</v>
      </c>
      <c r="D119" s="19" t="s">
        <v>53</v>
      </c>
      <c r="E119" s="11" t="s">
        <v>22</v>
      </c>
      <c r="F119" s="8">
        <f>(INT(Table_Kyrgyzstan[[#This Row],[Date]]) - DATE(1970, 1, 1)) * 86400000</f>
        <v>1726790400000</v>
      </c>
      <c r="G119" s="10">
        <f>'GMT Glossary'!$B$2</f>
        <v>6</v>
      </c>
      <c r="H119" s="2" t="str">
        <f t="shared" si="2"/>
        <v>2024-09-20</v>
      </c>
      <c r="I119" s="2" t="str">
        <f t="shared" si="3"/>
        <v>09:00</v>
      </c>
    </row>
    <row r="120" spans="1:9" x14ac:dyDescent="0.25">
      <c r="A120" s="12">
        <v>45555</v>
      </c>
      <c r="B120" s="15">
        <v>0.20833333333333334</v>
      </c>
      <c r="C120" s="14" t="s">
        <v>36</v>
      </c>
      <c r="D120" s="19" t="s">
        <v>105</v>
      </c>
      <c r="E120" s="11" t="s">
        <v>22</v>
      </c>
      <c r="F120" s="8">
        <f>(INT(Table_Kyrgyzstan[[#This Row],[Date]]) - DATE(1970, 1, 1)) * 86400000</f>
        <v>1726790400000</v>
      </c>
      <c r="G120" s="10">
        <f>'GMT Glossary'!$B$2</f>
        <v>6</v>
      </c>
      <c r="H120" s="2" t="str">
        <f t="shared" si="2"/>
        <v>2024-09-20</v>
      </c>
      <c r="I120" s="2" t="str">
        <f t="shared" si="3"/>
        <v>11:00</v>
      </c>
    </row>
    <row r="121" spans="1:9" x14ac:dyDescent="0.25">
      <c r="A121" s="12">
        <v>45555</v>
      </c>
      <c r="B121" s="15">
        <v>0.27083333333333331</v>
      </c>
      <c r="C121" s="14" t="s">
        <v>36</v>
      </c>
      <c r="D121" s="19" t="s">
        <v>106</v>
      </c>
      <c r="E121" s="11" t="s">
        <v>22</v>
      </c>
      <c r="F121" s="8">
        <f>(INT(Table_Kyrgyzstan[[#This Row],[Date]]) - DATE(1970, 1, 1)) * 86400000</f>
        <v>1726790400000</v>
      </c>
      <c r="G121" s="10">
        <f>'GMT Glossary'!$B$2</f>
        <v>6</v>
      </c>
      <c r="H121" s="2" t="str">
        <f t="shared" si="2"/>
        <v>2024-09-20</v>
      </c>
      <c r="I121" s="2" t="str">
        <f t="shared" si="3"/>
        <v>12:30</v>
      </c>
    </row>
    <row r="122" spans="1:9" x14ac:dyDescent="0.25">
      <c r="A122" s="12">
        <v>45555</v>
      </c>
      <c r="B122" s="15">
        <v>0.33333333333333331</v>
      </c>
      <c r="C122" s="14" t="s">
        <v>36</v>
      </c>
      <c r="D122" s="19" t="s">
        <v>107</v>
      </c>
      <c r="E122" s="11" t="s">
        <v>22</v>
      </c>
      <c r="F122" s="8">
        <f>(INT(Table_Kyrgyzstan[[#This Row],[Date]]) - DATE(1970, 1, 1)) * 86400000</f>
        <v>1726790400000</v>
      </c>
      <c r="G122" s="10">
        <f>'GMT Glossary'!$B$2</f>
        <v>6</v>
      </c>
      <c r="H122" s="2" t="str">
        <f t="shared" si="2"/>
        <v>2024-09-20</v>
      </c>
      <c r="I122" s="2" t="str">
        <f t="shared" si="3"/>
        <v>14:00</v>
      </c>
    </row>
    <row r="123" spans="1:9" x14ac:dyDescent="0.25">
      <c r="A123" s="12">
        <v>45555</v>
      </c>
      <c r="B123" s="15">
        <v>0.41666666666666669</v>
      </c>
      <c r="C123" s="14" t="s">
        <v>36</v>
      </c>
      <c r="D123" s="19" t="s">
        <v>108</v>
      </c>
      <c r="E123" s="11" t="s">
        <v>22</v>
      </c>
      <c r="F123" s="8">
        <f>(INT(Table_Kyrgyzstan[[#This Row],[Date]]) - DATE(1970, 1, 1)) * 86400000</f>
        <v>1726790400000</v>
      </c>
      <c r="G123" s="10">
        <f>'GMT Glossary'!$B$2</f>
        <v>6</v>
      </c>
      <c r="H123" s="2" t="str">
        <f t="shared" si="2"/>
        <v>2024-09-20</v>
      </c>
      <c r="I123" s="2" t="str">
        <f t="shared" si="3"/>
        <v>16:00</v>
      </c>
    </row>
    <row r="124" spans="1:9" x14ac:dyDescent="0.25">
      <c r="A124" s="12">
        <v>45555</v>
      </c>
      <c r="B124" s="15">
        <v>0.54166666666666663</v>
      </c>
      <c r="C124" s="14" t="s">
        <v>26</v>
      </c>
      <c r="D124" s="19" t="s">
        <v>98</v>
      </c>
      <c r="E124" s="11" t="s">
        <v>22</v>
      </c>
      <c r="F124" s="8">
        <f>(INT(Table_Kyrgyzstan[[#This Row],[Date]]) - DATE(1970, 1, 1)) * 86400000</f>
        <v>1726790400000</v>
      </c>
      <c r="G124" s="10">
        <f>'GMT Glossary'!$B$2</f>
        <v>6</v>
      </c>
      <c r="H124" s="2" t="str">
        <f t="shared" si="2"/>
        <v>2024-09-20</v>
      </c>
      <c r="I124" s="2" t="str">
        <f t="shared" si="3"/>
        <v>19:00</v>
      </c>
    </row>
    <row r="125" spans="1:9" x14ac:dyDescent="0.25">
      <c r="A125" s="12">
        <v>45555</v>
      </c>
      <c r="B125" s="15">
        <v>0.64583333333333337</v>
      </c>
      <c r="C125" s="14" t="s">
        <v>21</v>
      </c>
      <c r="D125" s="19" t="s">
        <v>109</v>
      </c>
      <c r="E125" s="11" t="s">
        <v>22</v>
      </c>
      <c r="F125" s="8">
        <f>(INT(Table_Kyrgyzstan[[#This Row],[Date]]) - DATE(1970, 1, 1)) * 86400000</f>
        <v>1726790400000</v>
      </c>
      <c r="G125" s="10">
        <f>'GMT Glossary'!$B$2</f>
        <v>6</v>
      </c>
      <c r="H125" s="2" t="str">
        <f t="shared" si="2"/>
        <v>2024-09-20</v>
      </c>
      <c r="I125" s="2" t="str">
        <f t="shared" si="3"/>
        <v>21:30</v>
      </c>
    </row>
    <row r="126" spans="1:9" x14ac:dyDescent="0.25">
      <c r="A126" s="12">
        <v>45555</v>
      </c>
      <c r="B126" s="15">
        <v>0.79166666666666663</v>
      </c>
      <c r="C126" s="14" t="s">
        <v>26</v>
      </c>
      <c r="D126" s="19" t="s">
        <v>45</v>
      </c>
      <c r="E126" s="11" t="s">
        <v>22</v>
      </c>
      <c r="F126" s="8">
        <f>(INT(Table_Kyrgyzstan[[#This Row],[Date]]) - DATE(1970, 1, 1)) * 86400000</f>
        <v>1726790400000</v>
      </c>
      <c r="G126" s="10">
        <f>'GMT Glossary'!$B$2</f>
        <v>6</v>
      </c>
      <c r="H126" s="2" t="str">
        <f t="shared" si="2"/>
        <v>2024-09-21</v>
      </c>
      <c r="I126" s="2" t="str">
        <f t="shared" si="3"/>
        <v>01:00</v>
      </c>
    </row>
    <row r="127" spans="1:9" x14ac:dyDescent="0.25">
      <c r="A127" s="12">
        <v>45555</v>
      </c>
      <c r="B127" s="15">
        <v>0.875</v>
      </c>
      <c r="C127" s="14" t="s">
        <v>26</v>
      </c>
      <c r="D127" s="19" t="s">
        <v>49</v>
      </c>
      <c r="E127" s="11" t="s">
        <v>22</v>
      </c>
      <c r="F127" s="8">
        <f>(INT(Table_Kyrgyzstan[[#This Row],[Date]]) - DATE(1970, 1, 1)) * 86400000</f>
        <v>1726790400000</v>
      </c>
      <c r="G127" s="10">
        <f>'GMT Glossary'!$B$2</f>
        <v>6</v>
      </c>
      <c r="H127" s="2" t="str">
        <f t="shared" si="2"/>
        <v>2024-09-21</v>
      </c>
      <c r="I127" s="2" t="str">
        <f t="shared" si="3"/>
        <v>03:00</v>
      </c>
    </row>
    <row r="128" spans="1:9" x14ac:dyDescent="0.25">
      <c r="A128" s="12">
        <v>45555</v>
      </c>
      <c r="B128" s="15">
        <v>0.95833333333333337</v>
      </c>
      <c r="C128" s="14" t="s">
        <v>26</v>
      </c>
      <c r="D128" s="19" t="s">
        <v>43</v>
      </c>
      <c r="E128" s="11" t="s">
        <v>22</v>
      </c>
      <c r="F128" s="8">
        <f>(INT(Table_Kyrgyzstan[[#This Row],[Date]]) - DATE(1970, 1, 1)) * 86400000</f>
        <v>1726790400000</v>
      </c>
      <c r="G128" s="10">
        <f>'GMT Glossary'!$B$2</f>
        <v>6</v>
      </c>
      <c r="H128" s="2" t="str">
        <f t="shared" si="2"/>
        <v>2024-09-21</v>
      </c>
      <c r="I128" s="2" t="str">
        <f t="shared" si="3"/>
        <v>05:00</v>
      </c>
    </row>
    <row r="129" spans="1:9" x14ac:dyDescent="0.25">
      <c r="A129" s="12">
        <v>45556</v>
      </c>
      <c r="B129" s="15">
        <v>4.1666666666666664E-2</v>
      </c>
      <c r="C129" s="14" t="s">
        <v>26</v>
      </c>
      <c r="D129" s="19" t="s">
        <v>42</v>
      </c>
      <c r="E129" s="11" t="s">
        <v>22</v>
      </c>
      <c r="F129" s="8">
        <f>(INT(Table_Kyrgyzstan[[#This Row],[Date]]) - DATE(1970, 1, 1)) * 86400000</f>
        <v>1726876800000</v>
      </c>
      <c r="G129" s="10">
        <f>'GMT Glossary'!$B$2</f>
        <v>6</v>
      </c>
      <c r="H129" s="2" t="str">
        <f t="shared" si="2"/>
        <v>2024-09-21</v>
      </c>
      <c r="I129" s="2" t="str">
        <f t="shared" si="3"/>
        <v>07:00</v>
      </c>
    </row>
    <row r="130" spans="1:9" x14ac:dyDescent="0.25">
      <c r="A130" s="12">
        <v>45556</v>
      </c>
      <c r="B130" s="15">
        <v>0.125</v>
      </c>
      <c r="C130" s="14" t="s">
        <v>26</v>
      </c>
      <c r="D130" s="19" t="s">
        <v>102</v>
      </c>
      <c r="E130" s="11" t="s">
        <v>22</v>
      </c>
      <c r="F130" s="8">
        <f>(INT(Table_Kyrgyzstan[[#This Row],[Date]]) - DATE(1970, 1, 1)) * 86400000</f>
        <v>1726876800000</v>
      </c>
      <c r="G130" s="10">
        <f>'GMT Glossary'!$B$2</f>
        <v>6</v>
      </c>
      <c r="H130" s="2" t="str">
        <f t="shared" ref="H130:H165" si="4">TEXT(IF(B130&lt;0, A130+1+((B130+(G130/24))-(INT(B130+(G130/24)))), A130+(B130+(G130/24))), "yyyy-mm-dd")</f>
        <v>2024-09-21</v>
      </c>
      <c r="I130" s="2" t="str">
        <f t="shared" ref="I130:I165" si="5">TEXT(IF(B130&lt;0, A130+1+((B130+(G130/24))-(INT(B130+(G130/24)))), A130+(B130+(G130/24))), "hh:mm")</f>
        <v>09:00</v>
      </c>
    </row>
    <row r="131" spans="1:9" x14ac:dyDescent="0.25">
      <c r="A131" s="12">
        <v>45556</v>
      </c>
      <c r="B131" s="15">
        <v>0.20833333333333334</v>
      </c>
      <c r="C131" s="14" t="s">
        <v>37</v>
      </c>
      <c r="D131" s="19" t="s">
        <v>46</v>
      </c>
      <c r="E131" s="11" t="s">
        <v>22</v>
      </c>
      <c r="F131" s="8">
        <f>(INT(Table_Kyrgyzstan[[#This Row],[Date]]) - DATE(1970, 1, 1)) * 86400000</f>
        <v>1726876800000</v>
      </c>
      <c r="G131" s="10">
        <f>'GMT Glossary'!$B$2</f>
        <v>6</v>
      </c>
      <c r="H131" s="2" t="str">
        <f t="shared" si="4"/>
        <v>2024-09-21</v>
      </c>
      <c r="I131" s="2" t="str">
        <f t="shared" si="5"/>
        <v>11:00</v>
      </c>
    </row>
    <row r="132" spans="1:9" x14ac:dyDescent="0.25">
      <c r="A132" s="12">
        <v>45556</v>
      </c>
      <c r="B132" s="15">
        <v>0.29166666666666669</v>
      </c>
      <c r="C132" s="14" t="s">
        <v>36</v>
      </c>
      <c r="D132" s="19" t="s">
        <v>110</v>
      </c>
      <c r="E132" s="11" t="s">
        <v>22</v>
      </c>
      <c r="F132" s="8">
        <f>(INT(Table_Kyrgyzstan[[#This Row],[Date]]) - DATE(1970, 1, 1)) * 86400000</f>
        <v>1726876800000</v>
      </c>
      <c r="G132" s="10">
        <f>'GMT Glossary'!$B$2</f>
        <v>6</v>
      </c>
      <c r="H132" s="2" t="str">
        <f t="shared" si="4"/>
        <v>2024-09-21</v>
      </c>
      <c r="I132" s="2" t="str">
        <f t="shared" si="5"/>
        <v>13:00</v>
      </c>
    </row>
    <row r="133" spans="1:9" x14ac:dyDescent="0.25">
      <c r="A133" s="12">
        <v>45556</v>
      </c>
      <c r="B133" s="15">
        <v>0.35416666666666669</v>
      </c>
      <c r="C133" s="14" t="s">
        <v>36</v>
      </c>
      <c r="D133" s="19" t="s">
        <v>111</v>
      </c>
      <c r="E133" s="11" t="s">
        <v>22</v>
      </c>
      <c r="F133" s="8">
        <f>(INT(Table_Kyrgyzstan[[#This Row],[Date]]) - DATE(1970, 1, 1)) * 86400000</f>
        <v>1726876800000</v>
      </c>
      <c r="G133" s="10">
        <f>'GMT Glossary'!$B$2</f>
        <v>6</v>
      </c>
      <c r="H133" s="2" t="str">
        <f t="shared" si="4"/>
        <v>2024-09-21</v>
      </c>
      <c r="I133" s="2" t="str">
        <f t="shared" si="5"/>
        <v>14:30</v>
      </c>
    </row>
    <row r="134" spans="1:9" x14ac:dyDescent="0.25">
      <c r="A134" s="12">
        <v>45556</v>
      </c>
      <c r="B134" s="15">
        <v>0.45833333333333331</v>
      </c>
      <c r="C134" s="14" t="s">
        <v>26</v>
      </c>
      <c r="D134" s="19" t="s">
        <v>112</v>
      </c>
      <c r="E134" s="11" t="s">
        <v>22</v>
      </c>
      <c r="F134" s="8">
        <f>(INT(Table_Kyrgyzstan[[#This Row],[Date]]) - DATE(1970, 1, 1)) * 86400000</f>
        <v>1726876800000</v>
      </c>
      <c r="G134" s="10">
        <f>'GMT Glossary'!$B$2</f>
        <v>6</v>
      </c>
      <c r="H134" s="2" t="str">
        <f t="shared" si="4"/>
        <v>2024-09-21</v>
      </c>
      <c r="I134" s="2" t="str">
        <f t="shared" si="5"/>
        <v>17:00</v>
      </c>
    </row>
    <row r="135" spans="1:9" x14ac:dyDescent="0.25">
      <c r="A135" s="12">
        <v>45556</v>
      </c>
      <c r="B135" s="15">
        <v>0.54166666666666663</v>
      </c>
      <c r="C135" s="14" t="s">
        <v>37</v>
      </c>
      <c r="D135" s="19" t="s">
        <v>113</v>
      </c>
      <c r="E135" s="11" t="s">
        <v>22</v>
      </c>
      <c r="F135" s="8">
        <f>(INT(Table_Kyrgyzstan[[#This Row],[Date]]) - DATE(1970, 1, 1)) * 86400000</f>
        <v>1726876800000</v>
      </c>
      <c r="G135" s="10">
        <f>'GMT Glossary'!$B$2</f>
        <v>6</v>
      </c>
      <c r="H135" s="2" t="str">
        <f t="shared" si="4"/>
        <v>2024-09-21</v>
      </c>
      <c r="I135" s="2" t="str">
        <f t="shared" si="5"/>
        <v>19:00</v>
      </c>
    </row>
    <row r="136" spans="1:9" x14ac:dyDescent="0.25">
      <c r="A136" s="12">
        <v>45556</v>
      </c>
      <c r="B136" s="15">
        <v>0.58333333333333337</v>
      </c>
      <c r="C136" s="14" t="s">
        <v>26</v>
      </c>
      <c r="D136" s="19" t="s">
        <v>114</v>
      </c>
      <c r="E136" s="11" t="s">
        <v>22</v>
      </c>
      <c r="F136" s="8">
        <f>(INT(Table_Kyrgyzstan[[#This Row],[Date]]) - DATE(1970, 1, 1)) * 86400000</f>
        <v>1726876800000</v>
      </c>
      <c r="G136" s="10">
        <f>'GMT Glossary'!$B$2</f>
        <v>6</v>
      </c>
      <c r="H136" s="2" t="str">
        <f t="shared" si="4"/>
        <v>2024-09-21</v>
      </c>
      <c r="I136" s="2" t="str">
        <f t="shared" si="5"/>
        <v>20:00</v>
      </c>
    </row>
    <row r="137" spans="1:9" x14ac:dyDescent="0.25">
      <c r="A137" s="12">
        <v>45556</v>
      </c>
      <c r="B137" s="15">
        <v>0.66666666666666663</v>
      </c>
      <c r="C137" s="14" t="s">
        <v>26</v>
      </c>
      <c r="D137" s="19" t="s">
        <v>115</v>
      </c>
      <c r="E137" s="11" t="s">
        <v>22</v>
      </c>
      <c r="F137" s="8">
        <f>(INT(Table_Kyrgyzstan[[#This Row],[Date]]) - DATE(1970, 1, 1)) * 86400000</f>
        <v>1726876800000</v>
      </c>
      <c r="G137" s="10">
        <f>'GMT Glossary'!$B$2</f>
        <v>6</v>
      </c>
      <c r="H137" s="2" t="str">
        <f t="shared" si="4"/>
        <v>2024-09-21</v>
      </c>
      <c r="I137" s="2" t="str">
        <f t="shared" si="5"/>
        <v>22:00</v>
      </c>
    </row>
    <row r="138" spans="1:9" x14ac:dyDescent="0.25">
      <c r="A138" s="12">
        <v>45556</v>
      </c>
      <c r="B138" s="15">
        <v>0.79166666666666663</v>
      </c>
      <c r="C138" s="14" t="s">
        <v>26</v>
      </c>
      <c r="D138" s="19" t="s">
        <v>116</v>
      </c>
      <c r="E138" s="11" t="s">
        <v>22</v>
      </c>
      <c r="F138" s="8">
        <f>(INT(Table_Kyrgyzstan[[#This Row],[Date]]) - DATE(1970, 1, 1)) * 86400000</f>
        <v>1726876800000</v>
      </c>
      <c r="G138" s="10">
        <f>'GMT Glossary'!$B$2</f>
        <v>6</v>
      </c>
      <c r="H138" s="2" t="str">
        <f t="shared" si="4"/>
        <v>2024-09-22</v>
      </c>
      <c r="I138" s="2" t="str">
        <f t="shared" si="5"/>
        <v>01:00</v>
      </c>
    </row>
    <row r="139" spans="1:9" x14ac:dyDescent="0.25">
      <c r="A139" s="12">
        <v>45556</v>
      </c>
      <c r="B139" s="15">
        <v>0.875</v>
      </c>
      <c r="C139" s="14" t="s">
        <v>26</v>
      </c>
      <c r="D139" s="19" t="s">
        <v>117</v>
      </c>
      <c r="E139" s="11" t="s">
        <v>22</v>
      </c>
      <c r="F139" s="8">
        <f>(INT(Table_Kyrgyzstan[[#This Row],[Date]]) - DATE(1970, 1, 1)) * 86400000</f>
        <v>1726876800000</v>
      </c>
      <c r="G139" s="10">
        <f>'GMT Glossary'!$B$2</f>
        <v>6</v>
      </c>
      <c r="H139" s="2" t="str">
        <f t="shared" si="4"/>
        <v>2024-09-22</v>
      </c>
      <c r="I139" s="2" t="str">
        <f t="shared" si="5"/>
        <v>03:00</v>
      </c>
    </row>
    <row r="140" spans="1:9" x14ac:dyDescent="0.25">
      <c r="A140" s="12">
        <v>45556</v>
      </c>
      <c r="B140" s="15">
        <v>0.95833333333333337</v>
      </c>
      <c r="C140" s="14" t="s">
        <v>26</v>
      </c>
      <c r="D140" s="19" t="s">
        <v>49</v>
      </c>
      <c r="E140" s="11" t="s">
        <v>22</v>
      </c>
      <c r="F140" s="8">
        <f>(INT(Table_Kyrgyzstan[[#This Row],[Date]]) - DATE(1970, 1, 1)) * 86400000</f>
        <v>1726876800000</v>
      </c>
      <c r="G140" s="10">
        <f>'GMT Glossary'!$B$2</f>
        <v>6</v>
      </c>
      <c r="H140" s="2" t="str">
        <f t="shared" si="4"/>
        <v>2024-09-22</v>
      </c>
      <c r="I140" s="2" t="str">
        <f t="shared" si="5"/>
        <v>05:00</v>
      </c>
    </row>
    <row r="141" spans="1:9" x14ac:dyDescent="0.25">
      <c r="A141" s="12">
        <v>45557</v>
      </c>
      <c r="B141" s="15">
        <v>4.1666666666666664E-2</v>
      </c>
      <c r="C141" s="14" t="s">
        <v>26</v>
      </c>
      <c r="D141" s="19" t="s">
        <v>112</v>
      </c>
      <c r="E141" s="11" t="s">
        <v>22</v>
      </c>
      <c r="F141" s="8">
        <f>(INT(Table_Kyrgyzstan[[#This Row],[Date]]) - DATE(1970, 1, 1)) * 86400000</f>
        <v>1726963200000</v>
      </c>
      <c r="G141" s="10">
        <f>'GMT Glossary'!$B$2</f>
        <v>6</v>
      </c>
      <c r="H141" s="2" t="str">
        <f t="shared" si="4"/>
        <v>2024-09-22</v>
      </c>
      <c r="I141" s="2" t="str">
        <f t="shared" si="5"/>
        <v>07:00</v>
      </c>
    </row>
    <row r="142" spans="1:9" x14ac:dyDescent="0.25">
      <c r="A142" s="12">
        <v>45557</v>
      </c>
      <c r="B142" s="15">
        <v>0.125</v>
      </c>
      <c r="C142" s="14" t="s">
        <v>26</v>
      </c>
      <c r="D142" s="19" t="s">
        <v>117</v>
      </c>
      <c r="E142" s="11" t="s">
        <v>22</v>
      </c>
      <c r="F142" s="8">
        <f>(INT(Table_Kyrgyzstan[[#This Row],[Date]]) - DATE(1970, 1, 1)) * 86400000</f>
        <v>1726963200000</v>
      </c>
      <c r="G142" s="10">
        <f>'GMT Glossary'!$B$2</f>
        <v>6</v>
      </c>
      <c r="H142" s="2" t="str">
        <f t="shared" si="4"/>
        <v>2024-09-22</v>
      </c>
      <c r="I142" s="2" t="str">
        <f t="shared" si="5"/>
        <v>09:00</v>
      </c>
    </row>
    <row r="143" spans="1:9" x14ac:dyDescent="0.25">
      <c r="A143" s="12">
        <v>45557</v>
      </c>
      <c r="B143" s="15">
        <v>0.20833333333333334</v>
      </c>
      <c r="C143" s="14" t="s">
        <v>37</v>
      </c>
      <c r="D143" s="19" t="s">
        <v>41</v>
      </c>
      <c r="E143" s="11" t="s">
        <v>22</v>
      </c>
      <c r="F143" s="8">
        <f>(INT(Table_Kyrgyzstan[[#This Row],[Date]]) - DATE(1970, 1, 1)) * 86400000</f>
        <v>1726963200000</v>
      </c>
      <c r="G143" s="10">
        <f>'GMT Glossary'!$B$2</f>
        <v>6</v>
      </c>
      <c r="H143" s="2" t="str">
        <f t="shared" si="4"/>
        <v>2024-09-22</v>
      </c>
      <c r="I143" s="2" t="str">
        <f t="shared" si="5"/>
        <v>11:00</v>
      </c>
    </row>
    <row r="144" spans="1:9" x14ac:dyDescent="0.25">
      <c r="A144" s="12">
        <v>45557</v>
      </c>
      <c r="B144" s="15">
        <v>0.29166666666666669</v>
      </c>
      <c r="C144" s="14" t="s">
        <v>36</v>
      </c>
      <c r="D144" s="19" t="s">
        <v>118</v>
      </c>
      <c r="E144" s="11" t="s">
        <v>22</v>
      </c>
      <c r="F144" s="8">
        <f>(INT(Table_Kyrgyzstan[[#This Row],[Date]]) - DATE(1970, 1, 1)) * 86400000</f>
        <v>1726963200000</v>
      </c>
      <c r="G144" s="10">
        <f>'GMT Glossary'!$B$2</f>
        <v>6</v>
      </c>
      <c r="H144" s="2" t="str">
        <f t="shared" si="4"/>
        <v>2024-09-22</v>
      </c>
      <c r="I144" s="2" t="str">
        <f t="shared" si="5"/>
        <v>13:00</v>
      </c>
    </row>
    <row r="145" spans="1:9" x14ac:dyDescent="0.25">
      <c r="A145" s="12">
        <v>45557</v>
      </c>
      <c r="B145" s="15">
        <v>0.375</v>
      </c>
      <c r="C145" s="14" t="s">
        <v>26</v>
      </c>
      <c r="D145" s="19" t="s">
        <v>119</v>
      </c>
      <c r="E145" s="11" t="s">
        <v>22</v>
      </c>
      <c r="F145" s="8">
        <f>(INT(Table_Kyrgyzstan[[#This Row],[Date]]) - DATE(1970, 1, 1)) * 86400000</f>
        <v>1726963200000</v>
      </c>
      <c r="G145" s="10">
        <f>'GMT Glossary'!$B$2</f>
        <v>6</v>
      </c>
      <c r="H145" s="2" t="str">
        <f t="shared" si="4"/>
        <v>2024-09-22</v>
      </c>
      <c r="I145" s="2" t="str">
        <f t="shared" si="5"/>
        <v>15:00</v>
      </c>
    </row>
    <row r="146" spans="1:9" x14ac:dyDescent="0.25">
      <c r="A146" s="12">
        <v>45557</v>
      </c>
      <c r="B146" s="15">
        <v>0.5</v>
      </c>
      <c r="C146" s="14" t="s">
        <v>37</v>
      </c>
      <c r="D146" s="19" t="s">
        <v>120</v>
      </c>
      <c r="E146" s="11" t="s">
        <v>22</v>
      </c>
      <c r="F146" s="8">
        <f>(INT(Table_Kyrgyzstan[[#This Row],[Date]]) - DATE(1970, 1, 1)) * 86400000</f>
        <v>1726963200000</v>
      </c>
      <c r="G146" s="10">
        <f>'GMT Glossary'!$B$2</f>
        <v>6</v>
      </c>
      <c r="H146" s="2" t="str">
        <f t="shared" si="4"/>
        <v>2024-09-22</v>
      </c>
      <c r="I146" s="2" t="str">
        <f t="shared" si="5"/>
        <v>18:00</v>
      </c>
    </row>
    <row r="147" spans="1:9" x14ac:dyDescent="0.25">
      <c r="A147" s="12">
        <v>45557</v>
      </c>
      <c r="B147" s="15">
        <v>0.59375</v>
      </c>
      <c r="C147" s="14" t="s">
        <v>26</v>
      </c>
      <c r="D147" s="19" t="s">
        <v>121</v>
      </c>
      <c r="E147" s="11" t="s">
        <v>22</v>
      </c>
      <c r="F147" s="8">
        <f>(INT(Table_Kyrgyzstan[[#This Row],[Date]]) - DATE(1970, 1, 1)) * 86400000</f>
        <v>1726963200000</v>
      </c>
      <c r="G147" s="10">
        <f>'GMT Glossary'!$B$2</f>
        <v>6</v>
      </c>
      <c r="H147" s="2" t="str">
        <f t="shared" si="4"/>
        <v>2024-09-22</v>
      </c>
      <c r="I147" s="2" t="str">
        <f t="shared" si="5"/>
        <v>20:15</v>
      </c>
    </row>
    <row r="148" spans="1:9" x14ac:dyDescent="0.25">
      <c r="A148" s="12">
        <v>45557</v>
      </c>
      <c r="B148" s="15">
        <v>0.6875</v>
      </c>
      <c r="C148" s="14" t="s">
        <v>26</v>
      </c>
      <c r="D148" s="19" t="s">
        <v>122</v>
      </c>
      <c r="E148" s="11" t="s">
        <v>22</v>
      </c>
      <c r="F148" s="8">
        <f>(INT(Table_Kyrgyzstan[[#This Row],[Date]]) - DATE(1970, 1, 1)) * 86400000</f>
        <v>1726963200000</v>
      </c>
      <c r="G148" s="10">
        <f>'GMT Glossary'!$B$2</f>
        <v>6</v>
      </c>
      <c r="H148" s="2" t="str">
        <f t="shared" si="4"/>
        <v>2024-09-22</v>
      </c>
      <c r="I148" s="2" t="str">
        <f t="shared" si="5"/>
        <v>22:30</v>
      </c>
    </row>
    <row r="149" spans="1:9" x14ac:dyDescent="0.25">
      <c r="A149" s="12">
        <v>45557</v>
      </c>
      <c r="B149" s="15">
        <v>0.78125</v>
      </c>
      <c r="C149" s="14" t="s">
        <v>26</v>
      </c>
      <c r="D149" s="19" t="s">
        <v>123</v>
      </c>
      <c r="E149" s="11" t="s">
        <v>22</v>
      </c>
      <c r="F149" s="8">
        <f>(INT(Table_Kyrgyzstan[[#This Row],[Date]]) - DATE(1970, 1, 1)) * 86400000</f>
        <v>1726963200000</v>
      </c>
      <c r="G149" s="10">
        <f>'GMT Glossary'!$B$2</f>
        <v>6</v>
      </c>
      <c r="H149" s="2" t="str">
        <f t="shared" si="4"/>
        <v>2024-09-23</v>
      </c>
      <c r="I149" s="2" t="str">
        <f t="shared" si="5"/>
        <v>00:45</v>
      </c>
    </row>
    <row r="150" spans="1:9" x14ac:dyDescent="0.25">
      <c r="A150" s="12">
        <v>45557</v>
      </c>
      <c r="B150" s="15">
        <v>0.875</v>
      </c>
      <c r="C150" s="14" t="s">
        <v>26</v>
      </c>
      <c r="D150" s="19" t="s">
        <v>119</v>
      </c>
      <c r="E150" s="11" t="s">
        <v>22</v>
      </c>
      <c r="F150" s="8">
        <f>(INT(Table_Kyrgyzstan[[#This Row],[Date]]) - DATE(1970, 1, 1)) * 86400000</f>
        <v>1726963200000</v>
      </c>
      <c r="G150" s="10">
        <f>'GMT Glossary'!$B$2</f>
        <v>6</v>
      </c>
      <c r="H150" s="2" t="str">
        <f t="shared" si="4"/>
        <v>2024-09-23</v>
      </c>
      <c r="I150" s="2" t="str">
        <f t="shared" si="5"/>
        <v>03:00</v>
      </c>
    </row>
    <row r="151" spans="1:9" x14ac:dyDescent="0.25">
      <c r="A151" s="12">
        <v>45557</v>
      </c>
      <c r="B151" s="15">
        <v>0.97916666666666663</v>
      </c>
      <c r="C151" s="14" t="s">
        <v>36</v>
      </c>
      <c r="D151" s="19" t="s">
        <v>47</v>
      </c>
      <c r="E151" s="11" t="s">
        <v>22</v>
      </c>
      <c r="F151" s="8">
        <f>(INT(Table_Kyrgyzstan[[#This Row],[Date]]) - DATE(1970, 1, 1)) * 86400000</f>
        <v>1726963200000</v>
      </c>
      <c r="G151" s="10">
        <f>'GMT Glossary'!$B$2</f>
        <v>6</v>
      </c>
      <c r="H151" s="2" t="str">
        <f t="shared" si="4"/>
        <v>2024-09-23</v>
      </c>
      <c r="I151" s="2" t="str">
        <f t="shared" si="5"/>
        <v>05:30</v>
      </c>
    </row>
    <row r="152" spans="1:9" x14ac:dyDescent="0.25">
      <c r="A152" s="12">
        <v>45558</v>
      </c>
      <c r="B152" s="15">
        <v>8.3333333333333329E-2</v>
      </c>
      <c r="C152" s="14" t="s">
        <v>18</v>
      </c>
      <c r="D152" s="19" t="s">
        <v>124</v>
      </c>
      <c r="E152" s="11" t="s">
        <v>22</v>
      </c>
      <c r="F152" s="8">
        <f>(INT(Table_Kyrgyzstan[[#This Row],[Date]]) - DATE(1970, 1, 1)) * 86400000</f>
        <v>1727049600000</v>
      </c>
      <c r="G152" s="10">
        <f>'GMT Glossary'!$B$2</f>
        <v>6</v>
      </c>
      <c r="H152" s="2" t="str">
        <f t="shared" si="4"/>
        <v>2024-09-23</v>
      </c>
      <c r="I152" s="2" t="str">
        <f t="shared" si="5"/>
        <v>08:00</v>
      </c>
    </row>
    <row r="153" spans="1:9" x14ac:dyDescent="0.25">
      <c r="A153" s="12">
        <v>45558</v>
      </c>
      <c r="B153" s="15">
        <v>0.20833333333333334</v>
      </c>
      <c r="C153" s="14" t="s">
        <v>26</v>
      </c>
      <c r="D153" s="19" t="s">
        <v>125</v>
      </c>
      <c r="E153" s="11" t="s">
        <v>22</v>
      </c>
      <c r="F153" s="8">
        <f>(INT(Table_Kyrgyzstan[[#This Row],[Date]]) - DATE(1970, 1, 1)) * 86400000</f>
        <v>1727049600000</v>
      </c>
      <c r="G153" s="10">
        <f>'GMT Glossary'!$B$2</f>
        <v>6</v>
      </c>
      <c r="H153" s="2" t="str">
        <f t="shared" si="4"/>
        <v>2024-09-23</v>
      </c>
      <c r="I153" s="2" t="str">
        <f t="shared" si="5"/>
        <v>11:00</v>
      </c>
    </row>
    <row r="154" spans="1:9" x14ac:dyDescent="0.25">
      <c r="A154" s="12">
        <v>45558</v>
      </c>
      <c r="B154" s="15">
        <v>0.29166666666666669</v>
      </c>
      <c r="C154" s="14" t="s">
        <v>26</v>
      </c>
      <c r="D154" s="19" t="s">
        <v>126</v>
      </c>
      <c r="E154" s="11" t="s">
        <v>22</v>
      </c>
      <c r="F154" s="8">
        <f>(INT(Table_Kyrgyzstan[[#This Row],[Date]]) - DATE(1970, 1, 1)) * 86400000</f>
        <v>1727049600000</v>
      </c>
      <c r="G154" s="10">
        <f>'GMT Glossary'!$B$2</f>
        <v>6</v>
      </c>
      <c r="H154" s="2" t="str">
        <f t="shared" si="4"/>
        <v>2024-09-23</v>
      </c>
      <c r="I154" s="2" t="str">
        <f t="shared" si="5"/>
        <v>13:00</v>
      </c>
    </row>
    <row r="155" spans="1:9" x14ac:dyDescent="0.25">
      <c r="A155" s="12">
        <v>45558</v>
      </c>
      <c r="B155" s="15">
        <v>0.375</v>
      </c>
      <c r="C155" s="14" t="s">
        <v>26</v>
      </c>
      <c r="D155" s="19" t="s">
        <v>127</v>
      </c>
      <c r="E155" s="11" t="s">
        <v>22</v>
      </c>
      <c r="F155" s="8">
        <f>(INT(Table_Kyrgyzstan[[#This Row],[Date]]) - DATE(1970, 1, 1)) * 86400000</f>
        <v>1727049600000</v>
      </c>
      <c r="G155" s="10">
        <f>'GMT Glossary'!$B$2</f>
        <v>6</v>
      </c>
      <c r="H155" s="2" t="str">
        <f t="shared" si="4"/>
        <v>2024-09-23</v>
      </c>
      <c r="I155" s="2" t="str">
        <f t="shared" si="5"/>
        <v>15:00</v>
      </c>
    </row>
    <row r="156" spans="1:9" x14ac:dyDescent="0.25">
      <c r="A156" s="12">
        <v>45558</v>
      </c>
      <c r="B156" s="15">
        <v>0.45833333333333331</v>
      </c>
      <c r="C156" s="14" t="s">
        <v>37</v>
      </c>
      <c r="D156" s="19" t="s">
        <v>46</v>
      </c>
      <c r="E156" s="11" t="s">
        <v>22</v>
      </c>
      <c r="F156" s="8">
        <f>(INT(Table_Kyrgyzstan[[#This Row],[Date]]) - DATE(1970, 1, 1)) * 86400000</f>
        <v>1727049600000</v>
      </c>
      <c r="G156" s="10">
        <f>'GMT Glossary'!$B$2</f>
        <v>6</v>
      </c>
      <c r="H156" s="2" t="str">
        <f t="shared" si="4"/>
        <v>2024-09-23</v>
      </c>
      <c r="I156" s="2" t="str">
        <f t="shared" si="5"/>
        <v>17:00</v>
      </c>
    </row>
    <row r="157" spans="1:9" x14ac:dyDescent="0.25">
      <c r="A157" s="12">
        <v>45558</v>
      </c>
      <c r="B157" s="15">
        <v>0.54166666666666663</v>
      </c>
      <c r="C157" s="14" t="s">
        <v>36</v>
      </c>
      <c r="D157" s="19" t="s">
        <v>47</v>
      </c>
      <c r="E157" s="11" t="s">
        <v>22</v>
      </c>
      <c r="F157" s="8">
        <f>(INT(Table_Kyrgyzstan[[#This Row],[Date]]) - DATE(1970, 1, 1)) * 86400000</f>
        <v>1727049600000</v>
      </c>
      <c r="G157" s="10">
        <f>'GMT Glossary'!$B$2</f>
        <v>6</v>
      </c>
      <c r="H157" s="2" t="str">
        <f t="shared" si="4"/>
        <v>2024-09-23</v>
      </c>
      <c r="I157" s="2" t="str">
        <f t="shared" si="5"/>
        <v>19:00</v>
      </c>
    </row>
    <row r="158" spans="1:9" x14ac:dyDescent="0.25">
      <c r="A158" s="12">
        <v>45558</v>
      </c>
      <c r="B158" s="15">
        <v>0.625</v>
      </c>
      <c r="C158" s="14" t="s">
        <v>26</v>
      </c>
      <c r="D158" s="19" t="s">
        <v>128</v>
      </c>
      <c r="E158" s="11" t="s">
        <v>22</v>
      </c>
      <c r="F158" s="8">
        <f>(INT(Table_Kyrgyzstan[[#This Row],[Date]]) - DATE(1970, 1, 1)) * 86400000</f>
        <v>1727049600000</v>
      </c>
      <c r="G158" s="10">
        <f>'GMT Glossary'!$B$2</f>
        <v>6</v>
      </c>
      <c r="H158" s="2" t="str">
        <f t="shared" si="4"/>
        <v>2024-09-23</v>
      </c>
      <c r="I158" s="2" t="str">
        <f t="shared" si="5"/>
        <v>21:00</v>
      </c>
    </row>
    <row r="159" spans="1:9" x14ac:dyDescent="0.25">
      <c r="A159" s="12">
        <v>45558</v>
      </c>
      <c r="B159" s="15">
        <v>0.70833333333333337</v>
      </c>
      <c r="C159" s="14" t="s">
        <v>26</v>
      </c>
      <c r="D159" s="19" t="s">
        <v>129</v>
      </c>
      <c r="E159" s="11" t="s">
        <v>22</v>
      </c>
      <c r="F159" s="8">
        <f>(INT(Table_Kyrgyzstan[[#This Row],[Date]]) - DATE(1970, 1, 1)) * 86400000</f>
        <v>1727049600000</v>
      </c>
      <c r="G159" s="10">
        <f>'GMT Glossary'!$B$2</f>
        <v>6</v>
      </c>
      <c r="H159" s="2" t="str">
        <f t="shared" si="4"/>
        <v>2024-09-23</v>
      </c>
      <c r="I159" s="2" t="str">
        <f t="shared" si="5"/>
        <v>23:00</v>
      </c>
    </row>
    <row r="160" spans="1:9" x14ac:dyDescent="0.25">
      <c r="A160" s="12">
        <v>45558</v>
      </c>
      <c r="B160" s="15">
        <v>0.79166666666666663</v>
      </c>
      <c r="C160" s="14" t="s">
        <v>26</v>
      </c>
      <c r="D160" s="19" t="s">
        <v>119</v>
      </c>
      <c r="E160" s="11" t="s">
        <v>22</v>
      </c>
      <c r="F160" s="8">
        <f>(INT(Table_Kyrgyzstan[[#This Row],[Date]]) - DATE(1970, 1, 1)) * 86400000</f>
        <v>1727049600000</v>
      </c>
      <c r="G160" s="10">
        <f>'GMT Glossary'!$B$2</f>
        <v>6</v>
      </c>
      <c r="H160" s="2" t="str">
        <f t="shared" si="4"/>
        <v>2024-09-24</v>
      </c>
      <c r="I160" s="2" t="str">
        <f t="shared" si="5"/>
        <v>01:00</v>
      </c>
    </row>
    <row r="161" spans="1:9" x14ac:dyDescent="0.25">
      <c r="A161" s="12">
        <v>45558</v>
      </c>
      <c r="B161" s="15">
        <v>0.875</v>
      </c>
      <c r="C161" s="14" t="s">
        <v>26</v>
      </c>
      <c r="D161" s="19" t="s">
        <v>112</v>
      </c>
      <c r="E161" s="11" t="s">
        <v>22</v>
      </c>
      <c r="F161" s="8">
        <f>(INT(Table_Kyrgyzstan[[#This Row],[Date]]) - DATE(1970, 1, 1)) * 86400000</f>
        <v>1727049600000</v>
      </c>
      <c r="G161" s="10">
        <f>'GMT Glossary'!$B$2</f>
        <v>6</v>
      </c>
      <c r="H161" s="2" t="str">
        <f t="shared" si="4"/>
        <v>2024-09-24</v>
      </c>
      <c r="I161" s="2" t="str">
        <f t="shared" si="5"/>
        <v>03:00</v>
      </c>
    </row>
    <row r="162" spans="1:9" x14ac:dyDescent="0.25">
      <c r="A162" s="12">
        <v>45558</v>
      </c>
      <c r="B162" s="15">
        <v>0.95833333333333337</v>
      </c>
      <c r="C162" s="14" t="s">
        <v>18</v>
      </c>
      <c r="D162" s="19" t="s">
        <v>124</v>
      </c>
      <c r="E162" s="11" t="s">
        <v>22</v>
      </c>
      <c r="F162" s="8">
        <f>(INT(Table_Kyrgyzstan[[#This Row],[Date]]) - DATE(1970, 1, 1)) * 86400000</f>
        <v>1727049600000</v>
      </c>
      <c r="G162" s="10">
        <f>'GMT Glossary'!$B$2</f>
        <v>6</v>
      </c>
      <c r="H162" s="2" t="str">
        <f t="shared" si="4"/>
        <v>2024-09-24</v>
      </c>
      <c r="I162" s="2" t="str">
        <f t="shared" si="5"/>
        <v>05:00</v>
      </c>
    </row>
    <row r="163" spans="1:9" x14ac:dyDescent="0.25">
      <c r="A163" s="12">
        <v>45559</v>
      </c>
      <c r="B163" s="15">
        <v>8.3333333333333329E-2</v>
      </c>
      <c r="C163" s="14" t="s">
        <v>37</v>
      </c>
      <c r="D163" s="19" t="s">
        <v>46</v>
      </c>
      <c r="E163" s="11" t="s">
        <v>22</v>
      </c>
      <c r="F163" s="8">
        <f>(INT(Table_Kyrgyzstan[[#This Row],[Date]]) - DATE(1970, 1, 1)) * 86400000</f>
        <v>1727136000000</v>
      </c>
      <c r="G163" s="10">
        <f>'GMT Glossary'!$B$2</f>
        <v>6</v>
      </c>
      <c r="H163" s="2" t="str">
        <f t="shared" si="4"/>
        <v>2024-09-24</v>
      </c>
      <c r="I163" s="2" t="str">
        <f t="shared" si="5"/>
        <v>08:00</v>
      </c>
    </row>
    <row r="164" spans="1:9" x14ac:dyDescent="0.25">
      <c r="A164" s="12">
        <v>45559</v>
      </c>
      <c r="B164" s="15">
        <v>0.20833333333333334</v>
      </c>
      <c r="C164" s="14" t="s">
        <v>36</v>
      </c>
      <c r="D164" s="19" t="s">
        <v>47</v>
      </c>
      <c r="E164" s="11" t="s">
        <v>22</v>
      </c>
      <c r="F164" s="8">
        <f>(INT(Table_Kyrgyzstan[[#This Row],[Date]]) - DATE(1970, 1, 1)) * 86400000</f>
        <v>1727136000000</v>
      </c>
      <c r="G164" s="10">
        <f>'GMT Glossary'!$B$2</f>
        <v>6</v>
      </c>
      <c r="H164" s="2" t="str">
        <f t="shared" si="4"/>
        <v>2024-09-24</v>
      </c>
      <c r="I164" s="2" t="str">
        <f t="shared" si="5"/>
        <v>11:00</v>
      </c>
    </row>
    <row r="165" spans="1:9" x14ac:dyDescent="0.25">
      <c r="A165" s="12">
        <v>45559</v>
      </c>
      <c r="B165" s="15">
        <v>0.29166666666666669</v>
      </c>
      <c r="C165" s="14" t="s">
        <v>26</v>
      </c>
      <c r="D165" s="19" t="s">
        <v>127</v>
      </c>
      <c r="E165" s="11" t="s">
        <v>22</v>
      </c>
      <c r="F165" s="8">
        <f>(INT(Table_Kyrgyzstan[[#This Row],[Date]]) - DATE(1970, 1, 1)) * 86400000</f>
        <v>1727136000000</v>
      </c>
      <c r="G165" s="10">
        <f>'GMT Glossary'!$B$2</f>
        <v>6</v>
      </c>
      <c r="H165" s="2" t="str">
        <f t="shared" si="4"/>
        <v>2024-09-24</v>
      </c>
      <c r="I165" s="2" t="str">
        <f t="shared" si="5"/>
        <v>13:00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F7982-298F-442A-89BC-FBE26DD7F210}">
  <dimension ref="A1:I165"/>
  <sheetViews>
    <sheetView topLeftCell="A153" workbookViewId="0">
      <selection activeCell="A2" sqref="A2:I165"/>
    </sheetView>
  </sheetViews>
  <sheetFormatPr defaultRowHeight="15" x14ac:dyDescent="0.25"/>
  <cols>
    <col min="1" max="1" width="27.28515625" style="1" customWidth="1"/>
    <col min="2" max="2" width="25.5703125" customWidth="1"/>
    <col min="3" max="3" width="26.7109375" customWidth="1"/>
    <col min="4" max="4" width="50.5703125" customWidth="1"/>
    <col min="5" max="5" width="32.7109375" customWidth="1"/>
    <col min="6" max="6" width="46.28515625" style="8" customWidth="1"/>
    <col min="7" max="7" width="44.42578125" customWidth="1"/>
    <col min="8" max="8" width="28.5703125" style="5" customWidth="1"/>
    <col min="9" max="9" width="31.28515625" customWidth="1"/>
    <col min="10" max="10" width="8.85546875" customWidth="1"/>
  </cols>
  <sheetData>
    <row r="1" spans="1:9" x14ac:dyDescent="0.25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5" t="s">
        <v>19</v>
      </c>
      <c r="I1" t="s">
        <v>7</v>
      </c>
    </row>
    <row r="2" spans="1:9" x14ac:dyDescent="0.25">
      <c r="A2" s="23">
        <v>45552</v>
      </c>
      <c r="B2" s="20">
        <v>0.375</v>
      </c>
      <c r="C2" s="24" t="s">
        <v>26</v>
      </c>
      <c r="D2" s="22" t="s">
        <v>58</v>
      </c>
      <c r="E2" s="9" t="s">
        <v>20</v>
      </c>
      <c r="F2" s="8">
        <f>(INT(Table_Kyrgyzstan[[#This Row],[Date]]) - DATE(1970, 1, 1)) * 86400000</f>
        <v>1726531200000</v>
      </c>
      <c r="G2">
        <f>'GMT Glossary'!$B$2</f>
        <v>6</v>
      </c>
      <c r="H2" s="2" t="str">
        <f t="shared" ref="H2:H65" si="0">TEXT(IF(B2&lt;0, A2+1+((B2+(G2/24))-(INT(B2+(G2/24)))), A2+(B2+(G2/24))), "yyyy-mm-dd")</f>
        <v>2024-09-17</v>
      </c>
      <c r="I2" s="2" t="str">
        <f t="shared" ref="I2:I65" si="1">TEXT(IF(B2&lt;0, A2+1+((B2+(G2/24))-(INT(B2+(G2/24)))), A2+(B2+(G2/24))), "hh:mm")</f>
        <v>15:00</v>
      </c>
    </row>
    <row r="3" spans="1:9" x14ac:dyDescent="0.25">
      <c r="A3" s="23">
        <v>45552</v>
      </c>
      <c r="B3" s="20">
        <v>0.45833333333333331</v>
      </c>
      <c r="C3" s="24" t="s">
        <v>26</v>
      </c>
      <c r="D3" s="22" t="s">
        <v>59</v>
      </c>
      <c r="E3" s="9" t="s">
        <v>20</v>
      </c>
      <c r="F3" s="8">
        <f>(INT(Table_Kyrgyzstan[[#This Row],[Date]]) - DATE(1970, 1, 1)) * 86400000</f>
        <v>1726531200000</v>
      </c>
      <c r="G3">
        <f>'GMT Glossary'!$B$2</f>
        <v>6</v>
      </c>
      <c r="H3" s="2" t="str">
        <f t="shared" si="0"/>
        <v>2024-09-17</v>
      </c>
      <c r="I3" s="2" t="str">
        <f t="shared" si="1"/>
        <v>17:00</v>
      </c>
    </row>
    <row r="4" spans="1:9" x14ac:dyDescent="0.25">
      <c r="A4" s="23">
        <v>45552</v>
      </c>
      <c r="B4" s="20">
        <v>0.54166666666666663</v>
      </c>
      <c r="C4" s="24" t="s">
        <v>26</v>
      </c>
      <c r="D4" s="22" t="s">
        <v>60</v>
      </c>
      <c r="E4" s="9" t="s">
        <v>20</v>
      </c>
      <c r="F4" s="8">
        <f>(INT(Table_Kyrgyzstan[[#This Row],[Date]]) - DATE(1970, 1, 1)) * 86400000</f>
        <v>1726531200000</v>
      </c>
      <c r="G4">
        <f>'GMT Glossary'!$B$2</f>
        <v>6</v>
      </c>
      <c r="H4" s="2" t="str">
        <f t="shared" si="0"/>
        <v>2024-09-17</v>
      </c>
      <c r="I4" s="2" t="str">
        <f t="shared" si="1"/>
        <v>19:00</v>
      </c>
    </row>
    <row r="5" spans="1:9" x14ac:dyDescent="0.25">
      <c r="A5" s="23">
        <v>45552</v>
      </c>
      <c r="B5" s="20">
        <v>0.625</v>
      </c>
      <c r="C5" s="24" t="s">
        <v>26</v>
      </c>
      <c r="D5" s="22" t="s">
        <v>33</v>
      </c>
      <c r="E5" s="9" t="s">
        <v>20</v>
      </c>
      <c r="F5" s="8">
        <f>(INT(Table_Kyrgyzstan[[#This Row],[Date]]) - DATE(1970, 1, 1)) * 86400000</f>
        <v>1726531200000</v>
      </c>
      <c r="G5">
        <f>'GMT Glossary'!$B$2</f>
        <v>6</v>
      </c>
      <c r="H5" s="2" t="str">
        <f t="shared" si="0"/>
        <v>2024-09-17</v>
      </c>
      <c r="I5" s="2" t="str">
        <f t="shared" si="1"/>
        <v>21:00</v>
      </c>
    </row>
    <row r="6" spans="1:9" x14ac:dyDescent="0.25">
      <c r="A6" s="23">
        <v>45552</v>
      </c>
      <c r="B6" s="20">
        <v>0.70833333333333337</v>
      </c>
      <c r="C6" s="24" t="s">
        <v>26</v>
      </c>
      <c r="D6" s="22" t="s">
        <v>34</v>
      </c>
      <c r="E6" s="9" t="s">
        <v>20</v>
      </c>
      <c r="F6" s="8">
        <f>(INT(Table_Kyrgyzstan[[#This Row],[Date]]) - DATE(1970, 1, 1)) * 86400000</f>
        <v>1726531200000</v>
      </c>
      <c r="G6">
        <f>'GMT Glossary'!$B$2</f>
        <v>6</v>
      </c>
      <c r="H6" s="2" t="str">
        <f t="shared" si="0"/>
        <v>2024-09-17</v>
      </c>
      <c r="I6" s="2" t="str">
        <f t="shared" si="1"/>
        <v>23:00</v>
      </c>
    </row>
    <row r="7" spans="1:9" x14ac:dyDescent="0.25">
      <c r="A7" s="23">
        <v>45552</v>
      </c>
      <c r="B7" s="20">
        <v>0.79166666666666663</v>
      </c>
      <c r="C7" s="24" t="s">
        <v>26</v>
      </c>
      <c r="D7" s="21" t="s">
        <v>61</v>
      </c>
      <c r="E7" s="9" t="s">
        <v>20</v>
      </c>
      <c r="F7" s="8">
        <f>(INT(Table_Kyrgyzstan[[#This Row],[Date]]) - DATE(1970, 1, 1)) * 86400000</f>
        <v>1726531200000</v>
      </c>
      <c r="G7">
        <f>'GMT Glossary'!$B$2</f>
        <v>6</v>
      </c>
      <c r="H7" s="2" t="str">
        <f t="shared" si="0"/>
        <v>2024-09-18</v>
      </c>
      <c r="I7" s="2" t="str">
        <f t="shared" si="1"/>
        <v>01:00</v>
      </c>
    </row>
    <row r="8" spans="1:9" x14ac:dyDescent="0.25">
      <c r="A8" s="23">
        <v>45552</v>
      </c>
      <c r="B8" s="20">
        <v>0.875</v>
      </c>
      <c r="C8" s="24" t="s">
        <v>26</v>
      </c>
      <c r="D8" s="22" t="s">
        <v>62</v>
      </c>
      <c r="E8" s="9" t="s">
        <v>20</v>
      </c>
      <c r="F8" s="8">
        <f>(INT(Table_Kyrgyzstan[[#This Row],[Date]]) - DATE(1970, 1, 1)) * 86400000</f>
        <v>1726531200000</v>
      </c>
      <c r="G8">
        <f>'GMT Glossary'!$B$2</f>
        <v>6</v>
      </c>
      <c r="H8" s="2" t="str">
        <f t="shared" si="0"/>
        <v>2024-09-18</v>
      </c>
      <c r="I8" s="2" t="str">
        <f t="shared" si="1"/>
        <v>03:00</v>
      </c>
    </row>
    <row r="9" spans="1:9" x14ac:dyDescent="0.25">
      <c r="A9" s="23">
        <v>45552</v>
      </c>
      <c r="B9" s="20">
        <v>0.95833333333333337</v>
      </c>
      <c r="C9" s="24" t="s">
        <v>26</v>
      </c>
      <c r="D9" s="22" t="s">
        <v>56</v>
      </c>
      <c r="E9" s="9" t="s">
        <v>20</v>
      </c>
      <c r="F9" s="8">
        <f>(INT(Table_Kyrgyzstan[[#This Row],[Date]]) - DATE(1970, 1, 1)) * 86400000</f>
        <v>1726531200000</v>
      </c>
      <c r="G9">
        <f>'GMT Glossary'!$B$2</f>
        <v>6</v>
      </c>
      <c r="H9" s="2" t="str">
        <f t="shared" si="0"/>
        <v>2024-09-18</v>
      </c>
      <c r="I9" s="2" t="str">
        <f t="shared" si="1"/>
        <v>05:00</v>
      </c>
    </row>
    <row r="10" spans="1:9" x14ac:dyDescent="0.25">
      <c r="A10" s="23">
        <v>45553</v>
      </c>
      <c r="B10" s="20">
        <v>4.1666666666666664E-2</v>
      </c>
      <c r="C10" s="24" t="s">
        <v>26</v>
      </c>
      <c r="D10" s="22" t="s">
        <v>29</v>
      </c>
      <c r="E10" s="9" t="s">
        <v>20</v>
      </c>
      <c r="F10" s="8">
        <f>(INT(Table_Kyrgyzstan[[#This Row],[Date]]) - DATE(1970, 1, 1)) * 86400000</f>
        <v>1726617600000</v>
      </c>
      <c r="G10">
        <f>'GMT Glossary'!$B$2</f>
        <v>6</v>
      </c>
      <c r="H10" s="2" t="str">
        <f t="shared" si="0"/>
        <v>2024-09-18</v>
      </c>
      <c r="I10" s="2" t="str">
        <f t="shared" si="1"/>
        <v>07:00</v>
      </c>
    </row>
    <row r="11" spans="1:9" x14ac:dyDescent="0.25">
      <c r="A11" s="23">
        <v>45553</v>
      </c>
      <c r="B11" s="20">
        <v>0.125</v>
      </c>
      <c r="C11" s="24" t="s">
        <v>26</v>
      </c>
      <c r="D11" s="22" t="s">
        <v>32</v>
      </c>
      <c r="E11" s="9" t="s">
        <v>20</v>
      </c>
      <c r="F11" s="8">
        <f>(INT(Table_Kyrgyzstan[[#This Row],[Date]]) - DATE(1970, 1, 1)) * 86400000</f>
        <v>1726617600000</v>
      </c>
      <c r="G11">
        <f>'GMT Glossary'!$B$2</f>
        <v>6</v>
      </c>
      <c r="H11" s="2" t="str">
        <f t="shared" si="0"/>
        <v>2024-09-18</v>
      </c>
      <c r="I11" s="2" t="str">
        <f t="shared" si="1"/>
        <v>09:00</v>
      </c>
    </row>
    <row r="12" spans="1:9" x14ac:dyDescent="0.25">
      <c r="A12" s="23">
        <v>45553</v>
      </c>
      <c r="B12" s="20">
        <v>0.20833333333333334</v>
      </c>
      <c r="C12" s="24" t="s">
        <v>26</v>
      </c>
      <c r="D12" s="22" t="s">
        <v>35</v>
      </c>
      <c r="E12" s="9" t="s">
        <v>20</v>
      </c>
      <c r="F12" s="8">
        <f>(INT(Table_Kyrgyzstan[[#This Row],[Date]]) - DATE(1970, 1, 1)) * 86400000</f>
        <v>1726617600000</v>
      </c>
      <c r="G12">
        <f>'GMT Glossary'!$B$2</f>
        <v>6</v>
      </c>
      <c r="H12" s="2" t="str">
        <f t="shared" si="0"/>
        <v>2024-09-18</v>
      </c>
      <c r="I12" s="2" t="str">
        <f t="shared" si="1"/>
        <v>11:00</v>
      </c>
    </row>
    <row r="13" spans="1:9" x14ac:dyDescent="0.25">
      <c r="A13" s="23">
        <v>45553</v>
      </c>
      <c r="B13" s="20">
        <v>0.29166666666666669</v>
      </c>
      <c r="C13" s="24" t="s">
        <v>26</v>
      </c>
      <c r="D13" s="22" t="s">
        <v>63</v>
      </c>
      <c r="E13" s="9" t="s">
        <v>20</v>
      </c>
      <c r="F13" s="8">
        <f>(INT(Table_Kyrgyzstan[[#This Row],[Date]]) - DATE(1970, 1, 1)) * 86400000</f>
        <v>1726617600000</v>
      </c>
      <c r="G13">
        <f>'GMT Glossary'!$B$2</f>
        <v>6</v>
      </c>
      <c r="H13" s="2" t="str">
        <f t="shared" si="0"/>
        <v>2024-09-18</v>
      </c>
      <c r="I13" s="2" t="str">
        <f t="shared" si="1"/>
        <v>13:00</v>
      </c>
    </row>
    <row r="14" spans="1:9" x14ac:dyDescent="0.25">
      <c r="A14" s="23">
        <v>45553</v>
      </c>
      <c r="B14" s="20">
        <v>0.375</v>
      </c>
      <c r="C14" s="24" t="s">
        <v>26</v>
      </c>
      <c r="D14" s="22" t="s">
        <v>64</v>
      </c>
      <c r="E14" s="9" t="s">
        <v>20</v>
      </c>
      <c r="F14" s="8">
        <f>(INT(Table_Kyrgyzstan[[#This Row],[Date]]) - DATE(1970, 1, 1)) * 86400000</f>
        <v>1726617600000</v>
      </c>
      <c r="G14">
        <f>'GMT Glossary'!$B$2</f>
        <v>6</v>
      </c>
      <c r="H14" s="2" t="str">
        <f t="shared" si="0"/>
        <v>2024-09-18</v>
      </c>
      <c r="I14" s="2" t="str">
        <f t="shared" si="1"/>
        <v>15:00</v>
      </c>
    </row>
    <row r="15" spans="1:9" x14ac:dyDescent="0.25">
      <c r="A15" s="23">
        <v>45553</v>
      </c>
      <c r="B15" s="20">
        <v>0.41666666666666669</v>
      </c>
      <c r="C15" s="24" t="s">
        <v>26</v>
      </c>
      <c r="D15" s="22" t="s">
        <v>65</v>
      </c>
      <c r="E15" s="9" t="s">
        <v>20</v>
      </c>
      <c r="F15" s="8">
        <f>(INT(Table_Kyrgyzstan[[#This Row],[Date]]) - DATE(1970, 1, 1)) * 86400000</f>
        <v>1726617600000</v>
      </c>
      <c r="G15">
        <f>'GMT Glossary'!$B$2</f>
        <v>6</v>
      </c>
      <c r="H15" s="2" t="str">
        <f t="shared" si="0"/>
        <v>2024-09-18</v>
      </c>
      <c r="I15" s="2" t="str">
        <f t="shared" si="1"/>
        <v>16:00</v>
      </c>
    </row>
    <row r="16" spans="1:9" x14ac:dyDescent="0.25">
      <c r="A16" s="23">
        <v>45553</v>
      </c>
      <c r="B16" s="20">
        <v>0.45833333333333331</v>
      </c>
      <c r="C16" s="24" t="s">
        <v>26</v>
      </c>
      <c r="D16" s="22" t="s">
        <v>66</v>
      </c>
      <c r="E16" s="9" t="s">
        <v>20</v>
      </c>
      <c r="F16" s="8">
        <f>(INT(Table_Kyrgyzstan[[#This Row],[Date]]) - DATE(1970, 1, 1)) * 86400000</f>
        <v>1726617600000</v>
      </c>
      <c r="G16">
        <f>'GMT Glossary'!$B$2</f>
        <v>6</v>
      </c>
      <c r="H16" s="2" t="str">
        <f t="shared" si="0"/>
        <v>2024-09-18</v>
      </c>
      <c r="I16" s="2" t="str">
        <f t="shared" si="1"/>
        <v>17:00</v>
      </c>
    </row>
    <row r="17" spans="1:9" x14ac:dyDescent="0.25">
      <c r="A17" s="23">
        <v>45553</v>
      </c>
      <c r="B17" s="20">
        <v>0.5</v>
      </c>
      <c r="C17" s="24" t="s">
        <v>26</v>
      </c>
      <c r="D17" s="22" t="s">
        <v>67</v>
      </c>
      <c r="E17" s="9" t="s">
        <v>20</v>
      </c>
      <c r="F17" s="8">
        <f>(INT(Table_Kyrgyzstan[[#This Row],[Date]]) - DATE(1970, 1, 1)) * 86400000</f>
        <v>1726617600000</v>
      </c>
      <c r="G17">
        <f>'GMT Glossary'!$B$2</f>
        <v>6</v>
      </c>
      <c r="H17" s="2" t="str">
        <f t="shared" si="0"/>
        <v>2024-09-18</v>
      </c>
      <c r="I17" s="2" t="str">
        <f t="shared" si="1"/>
        <v>18:00</v>
      </c>
    </row>
    <row r="18" spans="1:9" x14ac:dyDescent="0.25">
      <c r="A18" s="23">
        <v>45553</v>
      </c>
      <c r="B18" s="20">
        <v>0.54166666666666663</v>
      </c>
      <c r="C18" s="24" t="s">
        <v>26</v>
      </c>
      <c r="D18" s="22" t="s">
        <v>68</v>
      </c>
      <c r="E18" s="9" t="s">
        <v>20</v>
      </c>
      <c r="F18" s="8">
        <f>(INT(Table_Kyrgyzstan[[#This Row],[Date]]) - DATE(1970, 1, 1)) * 86400000</f>
        <v>1726617600000</v>
      </c>
      <c r="G18">
        <f>'GMT Glossary'!$B$2</f>
        <v>6</v>
      </c>
      <c r="H18" s="2" t="str">
        <f t="shared" si="0"/>
        <v>2024-09-18</v>
      </c>
      <c r="I18" s="2" t="str">
        <f t="shared" si="1"/>
        <v>19:00</v>
      </c>
    </row>
    <row r="19" spans="1:9" x14ac:dyDescent="0.25">
      <c r="A19" s="23">
        <v>45553</v>
      </c>
      <c r="B19" s="20">
        <v>0.625</v>
      </c>
      <c r="C19" s="24" t="s">
        <v>26</v>
      </c>
      <c r="D19" s="22" t="s">
        <v>29</v>
      </c>
      <c r="E19" s="9" t="s">
        <v>20</v>
      </c>
      <c r="F19" s="8">
        <f>(INT(Table_Kyrgyzstan[[#This Row],[Date]]) - DATE(1970, 1, 1)) * 86400000</f>
        <v>1726617600000</v>
      </c>
      <c r="G19">
        <f>'GMT Glossary'!$B$2</f>
        <v>6</v>
      </c>
      <c r="H19" s="2" t="str">
        <f t="shared" si="0"/>
        <v>2024-09-18</v>
      </c>
      <c r="I19" s="2" t="str">
        <f t="shared" si="1"/>
        <v>21:00</v>
      </c>
    </row>
    <row r="20" spans="1:9" x14ac:dyDescent="0.25">
      <c r="A20" s="23">
        <v>45553</v>
      </c>
      <c r="B20" s="20">
        <v>0.70833333333333337</v>
      </c>
      <c r="C20" s="24" t="s">
        <v>26</v>
      </c>
      <c r="D20" s="22" t="s">
        <v>69</v>
      </c>
      <c r="E20" s="9" t="s">
        <v>20</v>
      </c>
      <c r="F20" s="8">
        <f>(INT(Table_Kyrgyzstan[[#This Row],[Date]]) - DATE(1970, 1, 1)) * 86400000</f>
        <v>1726617600000</v>
      </c>
      <c r="G20">
        <f>'GMT Glossary'!$B$2</f>
        <v>6</v>
      </c>
      <c r="H20" s="2" t="str">
        <f t="shared" si="0"/>
        <v>2024-09-18</v>
      </c>
      <c r="I20" s="2" t="str">
        <f t="shared" si="1"/>
        <v>23:00</v>
      </c>
    </row>
    <row r="21" spans="1:9" x14ac:dyDescent="0.25">
      <c r="A21" s="23">
        <v>45553</v>
      </c>
      <c r="B21" s="20">
        <v>0.79166666666666663</v>
      </c>
      <c r="C21" s="24" t="s">
        <v>26</v>
      </c>
      <c r="D21" s="21" t="s">
        <v>70</v>
      </c>
      <c r="E21" s="9" t="s">
        <v>20</v>
      </c>
      <c r="F21" s="8">
        <f>(INT(Table_Kyrgyzstan[[#This Row],[Date]]) - DATE(1970, 1, 1)) * 86400000</f>
        <v>1726617600000</v>
      </c>
      <c r="G21">
        <f>'GMT Glossary'!$B$2</f>
        <v>6</v>
      </c>
      <c r="H21" s="2" t="str">
        <f t="shared" si="0"/>
        <v>2024-09-19</v>
      </c>
      <c r="I21" s="2" t="str">
        <f t="shared" si="1"/>
        <v>01:00</v>
      </c>
    </row>
    <row r="22" spans="1:9" x14ac:dyDescent="0.25">
      <c r="A22" s="23">
        <v>45553</v>
      </c>
      <c r="B22" s="20">
        <v>0.875</v>
      </c>
      <c r="C22" s="24" t="s">
        <v>26</v>
      </c>
      <c r="D22" s="22" t="s">
        <v>71</v>
      </c>
      <c r="E22" s="9" t="s">
        <v>20</v>
      </c>
      <c r="F22" s="8">
        <f>(INT(Table_Kyrgyzstan[[#This Row],[Date]]) - DATE(1970, 1, 1)) * 86400000</f>
        <v>1726617600000</v>
      </c>
      <c r="G22">
        <f>'GMT Glossary'!$B$2</f>
        <v>6</v>
      </c>
      <c r="H22" s="2" t="str">
        <f t="shared" si="0"/>
        <v>2024-09-19</v>
      </c>
      <c r="I22" s="2" t="str">
        <f t="shared" si="1"/>
        <v>03:00</v>
      </c>
    </row>
    <row r="23" spans="1:9" x14ac:dyDescent="0.25">
      <c r="A23" s="23">
        <v>45553</v>
      </c>
      <c r="B23" s="20">
        <v>0.95833333333333337</v>
      </c>
      <c r="C23" s="24" t="s">
        <v>26</v>
      </c>
      <c r="D23" s="22" t="s">
        <v>28</v>
      </c>
      <c r="E23" s="9" t="s">
        <v>20</v>
      </c>
      <c r="F23" s="8">
        <f>(INT(Table_Kyrgyzstan[[#This Row],[Date]]) - DATE(1970, 1, 1)) * 86400000</f>
        <v>1726617600000</v>
      </c>
      <c r="G23">
        <f>'GMT Glossary'!$B$2</f>
        <v>6</v>
      </c>
      <c r="H23" s="2" t="str">
        <f t="shared" si="0"/>
        <v>2024-09-19</v>
      </c>
      <c r="I23" s="2" t="str">
        <f t="shared" si="1"/>
        <v>05:00</v>
      </c>
    </row>
    <row r="24" spans="1:9" x14ac:dyDescent="0.25">
      <c r="A24" s="23">
        <v>45553</v>
      </c>
      <c r="B24" s="20">
        <v>4.1666666666666664E-2</v>
      </c>
      <c r="C24" s="24" t="s">
        <v>26</v>
      </c>
      <c r="D24" s="22" t="s">
        <v>30</v>
      </c>
      <c r="E24" s="9" t="s">
        <v>20</v>
      </c>
      <c r="F24" s="8">
        <f>(INT(Table_Kyrgyzstan[[#This Row],[Date]]) - DATE(1970, 1, 1)) * 86400000</f>
        <v>1726617600000</v>
      </c>
      <c r="G24">
        <f>'GMT Glossary'!$B$2</f>
        <v>6</v>
      </c>
      <c r="H24" s="2" t="str">
        <f t="shared" si="0"/>
        <v>2024-09-18</v>
      </c>
      <c r="I24" s="2" t="str">
        <f t="shared" si="1"/>
        <v>07:00</v>
      </c>
    </row>
    <row r="25" spans="1:9" x14ac:dyDescent="0.25">
      <c r="A25" s="23">
        <v>45554</v>
      </c>
      <c r="B25" s="20">
        <v>0.125</v>
      </c>
      <c r="C25" s="24" t="s">
        <v>26</v>
      </c>
      <c r="D25" s="22" t="s">
        <v>58</v>
      </c>
      <c r="E25" s="9" t="s">
        <v>20</v>
      </c>
      <c r="F25" s="8">
        <f>(INT(Table_Kyrgyzstan[[#This Row],[Date]]) - DATE(1970, 1, 1)) * 86400000</f>
        <v>1726704000000</v>
      </c>
      <c r="G25">
        <f>'GMT Glossary'!$B$2</f>
        <v>6</v>
      </c>
      <c r="H25" s="2" t="str">
        <f t="shared" si="0"/>
        <v>2024-09-19</v>
      </c>
      <c r="I25" s="2" t="str">
        <f t="shared" si="1"/>
        <v>09:00</v>
      </c>
    </row>
    <row r="26" spans="1:9" x14ac:dyDescent="0.25">
      <c r="A26" s="23">
        <v>45554</v>
      </c>
      <c r="B26" s="20">
        <v>0.20833333333333334</v>
      </c>
      <c r="C26" s="24" t="s">
        <v>26</v>
      </c>
      <c r="D26" s="22" t="s">
        <v>59</v>
      </c>
      <c r="E26" s="9" t="s">
        <v>20</v>
      </c>
      <c r="F26" s="8">
        <f>(INT(Table_Kyrgyzstan[[#This Row],[Date]]) - DATE(1970, 1, 1)) * 86400000</f>
        <v>1726704000000</v>
      </c>
      <c r="G26">
        <f>'GMT Glossary'!$B$2</f>
        <v>6</v>
      </c>
      <c r="H26" s="2" t="str">
        <f t="shared" si="0"/>
        <v>2024-09-19</v>
      </c>
      <c r="I26" s="2" t="str">
        <f t="shared" si="1"/>
        <v>11:00</v>
      </c>
    </row>
    <row r="27" spans="1:9" x14ac:dyDescent="0.25">
      <c r="A27" s="23">
        <v>45554</v>
      </c>
      <c r="B27" s="20">
        <v>0.29166666666666669</v>
      </c>
      <c r="C27" s="24" t="s">
        <v>26</v>
      </c>
      <c r="D27" s="22" t="s">
        <v>33</v>
      </c>
      <c r="E27" s="9" t="s">
        <v>20</v>
      </c>
      <c r="F27" s="8">
        <f>(INT(Table_Kyrgyzstan[[#This Row],[Date]]) - DATE(1970, 1, 1)) * 86400000</f>
        <v>1726704000000</v>
      </c>
      <c r="G27">
        <f>'GMT Glossary'!$B$2</f>
        <v>6</v>
      </c>
      <c r="H27" s="2" t="str">
        <f t="shared" si="0"/>
        <v>2024-09-19</v>
      </c>
      <c r="I27" s="2" t="str">
        <f t="shared" si="1"/>
        <v>13:00</v>
      </c>
    </row>
    <row r="28" spans="1:9" x14ac:dyDescent="0.25">
      <c r="A28" s="23">
        <v>45554</v>
      </c>
      <c r="B28" s="20">
        <v>0.375</v>
      </c>
      <c r="C28" s="24" t="s">
        <v>26</v>
      </c>
      <c r="D28" s="22" t="s">
        <v>64</v>
      </c>
      <c r="E28" s="9" t="s">
        <v>20</v>
      </c>
      <c r="F28" s="8">
        <f>(INT(Table_Kyrgyzstan[[#This Row],[Date]]) - DATE(1970, 1, 1)) * 86400000</f>
        <v>1726704000000</v>
      </c>
      <c r="G28">
        <f>'GMT Glossary'!$B$2</f>
        <v>6</v>
      </c>
      <c r="H28" s="2" t="str">
        <f t="shared" si="0"/>
        <v>2024-09-19</v>
      </c>
      <c r="I28" s="2" t="str">
        <f t="shared" si="1"/>
        <v>15:00</v>
      </c>
    </row>
    <row r="29" spans="1:9" x14ac:dyDescent="0.25">
      <c r="A29" s="23">
        <v>45554</v>
      </c>
      <c r="B29" s="20">
        <v>0.41666666666666669</v>
      </c>
      <c r="C29" s="24" t="s">
        <v>26</v>
      </c>
      <c r="D29" s="22" t="s">
        <v>65</v>
      </c>
      <c r="E29" s="9" t="s">
        <v>20</v>
      </c>
      <c r="F29" s="8">
        <f>(INT(Table_Kyrgyzstan[[#This Row],[Date]]) - DATE(1970, 1, 1)) * 86400000</f>
        <v>1726704000000</v>
      </c>
      <c r="G29">
        <f>'GMT Glossary'!$B$2</f>
        <v>6</v>
      </c>
      <c r="H29" s="2" t="str">
        <f t="shared" si="0"/>
        <v>2024-09-19</v>
      </c>
      <c r="I29" s="2" t="str">
        <f t="shared" si="1"/>
        <v>16:00</v>
      </c>
    </row>
    <row r="30" spans="1:9" x14ac:dyDescent="0.25">
      <c r="A30" s="23">
        <v>45554</v>
      </c>
      <c r="B30" s="20">
        <v>0.45833333333333331</v>
      </c>
      <c r="C30" s="24" t="s">
        <v>26</v>
      </c>
      <c r="D30" s="22" t="s">
        <v>66</v>
      </c>
      <c r="E30" s="9" t="s">
        <v>20</v>
      </c>
      <c r="F30" s="8">
        <f>(INT(Table_Kyrgyzstan[[#This Row],[Date]]) - DATE(1970, 1, 1)) * 86400000</f>
        <v>1726704000000</v>
      </c>
      <c r="G30">
        <f>'GMT Glossary'!$B$2</f>
        <v>6</v>
      </c>
      <c r="H30" s="2" t="str">
        <f t="shared" si="0"/>
        <v>2024-09-19</v>
      </c>
      <c r="I30" s="2" t="str">
        <f t="shared" si="1"/>
        <v>17:00</v>
      </c>
    </row>
    <row r="31" spans="1:9" x14ac:dyDescent="0.25">
      <c r="A31" s="23">
        <v>45554</v>
      </c>
      <c r="B31" s="20">
        <v>0.5</v>
      </c>
      <c r="C31" s="24" t="s">
        <v>26</v>
      </c>
      <c r="D31" s="22" t="s">
        <v>67</v>
      </c>
      <c r="E31" s="9" t="s">
        <v>20</v>
      </c>
      <c r="F31" s="8">
        <f>(INT(Table_Kyrgyzstan[[#This Row],[Date]]) - DATE(1970, 1, 1)) * 86400000</f>
        <v>1726704000000</v>
      </c>
      <c r="G31">
        <f>'GMT Glossary'!$B$2</f>
        <v>6</v>
      </c>
      <c r="H31" s="2" t="str">
        <f t="shared" si="0"/>
        <v>2024-09-19</v>
      </c>
      <c r="I31" s="2" t="str">
        <f t="shared" si="1"/>
        <v>18:00</v>
      </c>
    </row>
    <row r="32" spans="1:9" x14ac:dyDescent="0.25">
      <c r="A32" s="23">
        <v>45554</v>
      </c>
      <c r="B32" s="20">
        <v>0.54166666666666663</v>
      </c>
      <c r="C32" s="24" t="s">
        <v>26</v>
      </c>
      <c r="D32" s="22" t="s">
        <v>72</v>
      </c>
      <c r="E32" s="9" t="s">
        <v>20</v>
      </c>
      <c r="F32" s="8">
        <f>(INT(Table_Kyrgyzstan[[#This Row],[Date]]) - DATE(1970, 1, 1)) * 86400000</f>
        <v>1726704000000</v>
      </c>
      <c r="G32">
        <f>'GMT Glossary'!$B$2</f>
        <v>6</v>
      </c>
      <c r="H32" s="2" t="str">
        <f t="shared" si="0"/>
        <v>2024-09-19</v>
      </c>
      <c r="I32" s="2" t="str">
        <f t="shared" si="1"/>
        <v>19:00</v>
      </c>
    </row>
    <row r="33" spans="1:9" x14ac:dyDescent="0.25">
      <c r="A33" s="23">
        <v>45554</v>
      </c>
      <c r="B33" s="20">
        <v>0.625</v>
      </c>
      <c r="C33" s="24" t="s">
        <v>26</v>
      </c>
      <c r="D33" s="22" t="s">
        <v>34</v>
      </c>
      <c r="E33" s="9" t="s">
        <v>20</v>
      </c>
      <c r="F33" s="8">
        <f>(INT(Table_Kyrgyzstan[[#This Row],[Date]]) - DATE(1970, 1, 1)) * 86400000</f>
        <v>1726704000000</v>
      </c>
      <c r="G33">
        <f>'GMT Glossary'!$B$2</f>
        <v>6</v>
      </c>
      <c r="H33" s="2" t="str">
        <f t="shared" si="0"/>
        <v>2024-09-19</v>
      </c>
      <c r="I33" s="2" t="str">
        <f t="shared" si="1"/>
        <v>21:00</v>
      </c>
    </row>
    <row r="34" spans="1:9" x14ac:dyDescent="0.25">
      <c r="A34" s="23">
        <v>45554</v>
      </c>
      <c r="B34" s="20">
        <v>0.70833333333333337</v>
      </c>
      <c r="C34" s="24" t="s">
        <v>26</v>
      </c>
      <c r="D34" s="21" t="s">
        <v>73</v>
      </c>
      <c r="E34" s="9" t="s">
        <v>20</v>
      </c>
      <c r="F34" s="8">
        <f>(INT(Table_Kyrgyzstan[[#This Row],[Date]]) - DATE(1970, 1, 1)) * 86400000</f>
        <v>1726704000000</v>
      </c>
      <c r="G34">
        <f>'GMT Glossary'!$B$2</f>
        <v>6</v>
      </c>
      <c r="H34" s="2" t="str">
        <f t="shared" si="0"/>
        <v>2024-09-19</v>
      </c>
      <c r="I34" s="2" t="str">
        <f t="shared" si="1"/>
        <v>23:00</v>
      </c>
    </row>
    <row r="35" spans="1:9" x14ac:dyDescent="0.25">
      <c r="A35" s="23">
        <v>45554</v>
      </c>
      <c r="B35" s="20">
        <v>0.79166666666666663</v>
      </c>
      <c r="C35" s="24" t="s">
        <v>26</v>
      </c>
      <c r="D35" s="22" t="s">
        <v>62</v>
      </c>
      <c r="E35" s="9" t="s">
        <v>20</v>
      </c>
      <c r="F35" s="8">
        <f>(INT(Table_Kyrgyzstan[[#This Row],[Date]]) - DATE(1970, 1, 1)) * 86400000</f>
        <v>1726704000000</v>
      </c>
      <c r="G35">
        <f>'GMT Glossary'!$B$2</f>
        <v>6</v>
      </c>
      <c r="H35" s="2" t="str">
        <f t="shared" si="0"/>
        <v>2024-09-20</v>
      </c>
      <c r="I35" s="2" t="str">
        <f t="shared" si="1"/>
        <v>01:00</v>
      </c>
    </row>
    <row r="36" spans="1:9" x14ac:dyDescent="0.25">
      <c r="A36" s="23">
        <v>45554</v>
      </c>
      <c r="B36" s="20">
        <v>0.875</v>
      </c>
      <c r="C36" s="24" t="s">
        <v>26</v>
      </c>
      <c r="D36" s="22" t="s">
        <v>32</v>
      </c>
      <c r="E36" s="9" t="s">
        <v>20</v>
      </c>
      <c r="F36" s="8">
        <f>(INT(Table_Kyrgyzstan[[#This Row],[Date]]) - DATE(1970, 1, 1)) * 86400000</f>
        <v>1726704000000</v>
      </c>
      <c r="G36">
        <f>'GMT Glossary'!$B$2</f>
        <v>6</v>
      </c>
      <c r="H36" s="2" t="str">
        <f t="shared" si="0"/>
        <v>2024-09-20</v>
      </c>
      <c r="I36" s="2" t="str">
        <f t="shared" si="1"/>
        <v>03:00</v>
      </c>
    </row>
    <row r="37" spans="1:9" x14ac:dyDescent="0.25">
      <c r="A37" s="23">
        <v>45554</v>
      </c>
      <c r="B37" s="20">
        <v>0.95833333333333337</v>
      </c>
      <c r="C37" s="24" t="s">
        <v>26</v>
      </c>
      <c r="D37" s="22" t="s">
        <v>31</v>
      </c>
      <c r="E37" s="9" t="s">
        <v>20</v>
      </c>
      <c r="F37" s="8">
        <f>(INT(Table_Kyrgyzstan[[#This Row],[Date]]) - DATE(1970, 1, 1)) * 86400000</f>
        <v>1726704000000</v>
      </c>
      <c r="G37">
        <f>'GMT Glossary'!$B$2</f>
        <v>6</v>
      </c>
      <c r="H37" s="2" t="str">
        <f t="shared" si="0"/>
        <v>2024-09-20</v>
      </c>
      <c r="I37" s="2" t="str">
        <f t="shared" si="1"/>
        <v>05:00</v>
      </c>
    </row>
    <row r="38" spans="1:9" x14ac:dyDescent="0.25">
      <c r="A38" s="23">
        <v>45555</v>
      </c>
      <c r="B38" s="20">
        <v>4.1666666666666664E-2</v>
      </c>
      <c r="C38" s="24" t="s">
        <v>26</v>
      </c>
      <c r="D38" s="22" t="s">
        <v>56</v>
      </c>
      <c r="E38" s="9" t="s">
        <v>20</v>
      </c>
      <c r="F38" s="8">
        <f>(INT(Table_Kyrgyzstan[[#This Row],[Date]]) - DATE(1970, 1, 1)) * 86400000</f>
        <v>1726790400000</v>
      </c>
      <c r="G38">
        <f>'GMT Glossary'!$B$2</f>
        <v>6</v>
      </c>
      <c r="H38" s="2" t="str">
        <f t="shared" si="0"/>
        <v>2024-09-20</v>
      </c>
      <c r="I38" s="2" t="str">
        <f t="shared" si="1"/>
        <v>07:00</v>
      </c>
    </row>
    <row r="39" spans="1:9" x14ac:dyDescent="0.25">
      <c r="A39" s="23">
        <v>45555</v>
      </c>
      <c r="B39" s="20">
        <v>0.125</v>
      </c>
      <c r="C39" s="24" t="s">
        <v>26</v>
      </c>
      <c r="D39" s="22" t="s">
        <v>29</v>
      </c>
      <c r="E39" s="9" t="s">
        <v>20</v>
      </c>
      <c r="F39" s="8">
        <f>(INT(Table_Kyrgyzstan[[#This Row],[Date]]) - DATE(1970, 1, 1)) * 86400000</f>
        <v>1726790400000</v>
      </c>
      <c r="G39">
        <f>'GMT Glossary'!$B$2</f>
        <v>6</v>
      </c>
      <c r="H39" s="2" t="str">
        <f t="shared" si="0"/>
        <v>2024-09-20</v>
      </c>
      <c r="I39" s="2" t="str">
        <f t="shared" si="1"/>
        <v>09:00</v>
      </c>
    </row>
    <row r="40" spans="1:9" x14ac:dyDescent="0.25">
      <c r="A40" s="23">
        <v>45555</v>
      </c>
      <c r="B40" s="20">
        <v>0.20833333333333334</v>
      </c>
      <c r="C40" s="24" t="s">
        <v>26</v>
      </c>
      <c r="D40" s="22" t="s">
        <v>35</v>
      </c>
      <c r="E40" s="9" t="s">
        <v>20</v>
      </c>
      <c r="F40" s="8">
        <f>(INT(Table_Kyrgyzstan[[#This Row],[Date]]) - DATE(1970, 1, 1)) * 86400000</f>
        <v>1726790400000</v>
      </c>
      <c r="G40">
        <f>'GMT Glossary'!$B$2</f>
        <v>6</v>
      </c>
      <c r="H40" s="2" t="str">
        <f t="shared" si="0"/>
        <v>2024-09-20</v>
      </c>
      <c r="I40" s="2" t="str">
        <f t="shared" si="1"/>
        <v>11:00</v>
      </c>
    </row>
    <row r="41" spans="1:9" x14ac:dyDescent="0.25">
      <c r="A41" s="23">
        <v>45555</v>
      </c>
      <c r="B41" s="20">
        <v>0.29166666666666669</v>
      </c>
      <c r="C41" s="24" t="s">
        <v>26</v>
      </c>
      <c r="D41" s="22" t="s">
        <v>71</v>
      </c>
      <c r="E41" s="9" t="s">
        <v>20</v>
      </c>
      <c r="F41" s="8">
        <f>(INT(Table_Kyrgyzstan[[#This Row],[Date]]) - DATE(1970, 1, 1)) * 86400000</f>
        <v>1726790400000</v>
      </c>
      <c r="G41">
        <f>'GMT Glossary'!$B$2</f>
        <v>6</v>
      </c>
      <c r="H41" s="2" t="str">
        <f t="shared" si="0"/>
        <v>2024-09-20</v>
      </c>
      <c r="I41" s="2" t="str">
        <f t="shared" si="1"/>
        <v>13:00</v>
      </c>
    </row>
    <row r="42" spans="1:9" x14ac:dyDescent="0.25">
      <c r="A42" s="23">
        <v>45555</v>
      </c>
      <c r="B42" s="20">
        <v>0.375</v>
      </c>
      <c r="C42" s="24" t="s">
        <v>26</v>
      </c>
      <c r="D42" s="22" t="s">
        <v>68</v>
      </c>
      <c r="E42" s="9" t="s">
        <v>20</v>
      </c>
      <c r="F42" s="8">
        <f>(INT(Table_Kyrgyzstan[[#This Row],[Date]]) - DATE(1970, 1, 1)) * 86400000</f>
        <v>1726790400000</v>
      </c>
      <c r="G42">
        <f>'GMT Glossary'!$B$2</f>
        <v>6</v>
      </c>
      <c r="H42" s="2" t="str">
        <f t="shared" si="0"/>
        <v>2024-09-20</v>
      </c>
      <c r="I42" s="2" t="str">
        <f t="shared" si="1"/>
        <v>15:00</v>
      </c>
    </row>
    <row r="43" spans="1:9" x14ac:dyDescent="0.25">
      <c r="A43" s="23">
        <v>45555</v>
      </c>
      <c r="B43" s="20">
        <v>0.45833333333333331</v>
      </c>
      <c r="C43" s="24" t="s">
        <v>26</v>
      </c>
      <c r="D43" s="22" t="s">
        <v>28</v>
      </c>
      <c r="E43" s="9" t="s">
        <v>20</v>
      </c>
      <c r="F43" s="8">
        <f>(INT(Table_Kyrgyzstan[[#This Row],[Date]]) - DATE(1970, 1, 1)) * 86400000</f>
        <v>1726790400000</v>
      </c>
      <c r="G43">
        <f>'GMT Glossary'!$B$2</f>
        <v>6</v>
      </c>
      <c r="H43" s="2" t="str">
        <f t="shared" si="0"/>
        <v>2024-09-20</v>
      </c>
      <c r="I43" s="2" t="str">
        <f t="shared" si="1"/>
        <v>17:00</v>
      </c>
    </row>
    <row r="44" spans="1:9" x14ac:dyDescent="0.25">
      <c r="A44" s="23">
        <v>45555</v>
      </c>
      <c r="B44" s="20">
        <v>0.54166666666666663</v>
      </c>
      <c r="C44" s="24" t="s">
        <v>26</v>
      </c>
      <c r="D44" s="22" t="s">
        <v>58</v>
      </c>
      <c r="E44" s="9" t="s">
        <v>20</v>
      </c>
      <c r="F44" s="8">
        <f>(INT(Table_Kyrgyzstan[[#This Row],[Date]]) - DATE(1970, 1, 1)) * 86400000</f>
        <v>1726790400000</v>
      </c>
      <c r="G44">
        <f>'GMT Glossary'!$B$2</f>
        <v>6</v>
      </c>
      <c r="H44" s="2" t="str">
        <f t="shared" si="0"/>
        <v>2024-09-20</v>
      </c>
      <c r="I44" s="2" t="str">
        <f t="shared" si="1"/>
        <v>19:00</v>
      </c>
    </row>
    <row r="45" spans="1:9" x14ac:dyDescent="0.25">
      <c r="A45" s="23">
        <v>45555</v>
      </c>
      <c r="B45" s="20">
        <v>0.625</v>
      </c>
      <c r="C45" s="24" t="s">
        <v>26</v>
      </c>
      <c r="D45" s="22" t="s">
        <v>27</v>
      </c>
      <c r="E45" s="9" t="s">
        <v>20</v>
      </c>
      <c r="F45" s="8">
        <f>(INT(Table_Kyrgyzstan[[#This Row],[Date]]) - DATE(1970, 1, 1)) * 86400000</f>
        <v>1726790400000</v>
      </c>
      <c r="G45">
        <f>'GMT Glossary'!$B$2</f>
        <v>6</v>
      </c>
      <c r="H45" s="2" t="str">
        <f t="shared" si="0"/>
        <v>2024-09-20</v>
      </c>
      <c r="I45" s="2" t="str">
        <f t="shared" si="1"/>
        <v>21:00</v>
      </c>
    </row>
    <row r="46" spans="1:9" x14ac:dyDescent="0.25">
      <c r="A46" s="23">
        <v>45555</v>
      </c>
      <c r="B46" s="20">
        <v>0.6875</v>
      </c>
      <c r="C46" s="24" t="s">
        <v>26</v>
      </c>
      <c r="D46" s="21" t="s">
        <v>74</v>
      </c>
      <c r="E46" s="9" t="s">
        <v>20</v>
      </c>
      <c r="F46" s="8">
        <f>(INT(Table_Kyrgyzstan[[#This Row],[Date]]) - DATE(1970, 1, 1)) * 86400000</f>
        <v>1726790400000</v>
      </c>
      <c r="G46">
        <f>'GMT Glossary'!$B$2</f>
        <v>6</v>
      </c>
      <c r="H46" s="2" t="str">
        <f t="shared" si="0"/>
        <v>2024-09-20</v>
      </c>
      <c r="I46" s="2" t="str">
        <f t="shared" si="1"/>
        <v>22:30</v>
      </c>
    </row>
    <row r="47" spans="1:9" x14ac:dyDescent="0.25">
      <c r="A47" s="23">
        <v>45555</v>
      </c>
      <c r="B47" s="20">
        <v>0.78125</v>
      </c>
      <c r="C47" s="24" t="s">
        <v>26</v>
      </c>
      <c r="D47" s="21" t="s">
        <v>75</v>
      </c>
      <c r="E47" s="9" t="s">
        <v>20</v>
      </c>
      <c r="F47" s="8">
        <f>(INT(Table_Kyrgyzstan[[#This Row],[Date]]) - DATE(1970, 1, 1)) * 86400000</f>
        <v>1726790400000</v>
      </c>
      <c r="G47">
        <f>'GMT Glossary'!$B$2</f>
        <v>6</v>
      </c>
      <c r="H47" s="2" t="str">
        <f t="shared" si="0"/>
        <v>2024-09-21</v>
      </c>
      <c r="I47" s="2" t="str">
        <f t="shared" si="1"/>
        <v>00:45</v>
      </c>
    </row>
    <row r="48" spans="1:9" x14ac:dyDescent="0.25">
      <c r="A48" s="23">
        <v>45555</v>
      </c>
      <c r="B48" s="20">
        <v>0.875</v>
      </c>
      <c r="C48" s="24" t="s">
        <v>26</v>
      </c>
      <c r="D48" s="22" t="s">
        <v>33</v>
      </c>
      <c r="E48" s="9" t="s">
        <v>20</v>
      </c>
      <c r="F48" s="8">
        <f>(INT(Table_Kyrgyzstan[[#This Row],[Date]]) - DATE(1970, 1, 1)) * 86400000</f>
        <v>1726790400000</v>
      </c>
      <c r="G48">
        <f>'GMT Glossary'!$B$2</f>
        <v>6</v>
      </c>
      <c r="H48" s="2" t="str">
        <f t="shared" si="0"/>
        <v>2024-09-21</v>
      </c>
      <c r="I48" s="2" t="str">
        <f t="shared" si="1"/>
        <v>03:00</v>
      </c>
    </row>
    <row r="49" spans="1:9" x14ac:dyDescent="0.25">
      <c r="A49" s="23">
        <v>45555</v>
      </c>
      <c r="B49" s="20">
        <v>0.95833333333333337</v>
      </c>
      <c r="C49" s="24" t="s">
        <v>26</v>
      </c>
      <c r="D49" s="22" t="s">
        <v>72</v>
      </c>
      <c r="E49" s="9" t="s">
        <v>20</v>
      </c>
      <c r="F49" s="8">
        <f>(INT(Table_Kyrgyzstan[[#This Row],[Date]]) - DATE(1970, 1, 1)) * 86400000</f>
        <v>1726790400000</v>
      </c>
      <c r="G49">
        <f>'GMT Glossary'!$B$2</f>
        <v>6</v>
      </c>
      <c r="H49" s="2" t="str">
        <f t="shared" si="0"/>
        <v>2024-09-21</v>
      </c>
      <c r="I49" s="2" t="str">
        <f t="shared" si="1"/>
        <v>05:00</v>
      </c>
    </row>
    <row r="50" spans="1:9" x14ac:dyDescent="0.25">
      <c r="A50" s="23">
        <v>45556</v>
      </c>
      <c r="B50" s="20">
        <v>4.1666666666666664E-2</v>
      </c>
      <c r="C50" s="24" t="s">
        <v>26</v>
      </c>
      <c r="D50" s="22" t="s">
        <v>63</v>
      </c>
      <c r="E50" s="9" t="s">
        <v>20</v>
      </c>
      <c r="F50" s="8">
        <f>(INT(Table_Kyrgyzstan[[#This Row],[Date]]) - DATE(1970, 1, 1)) * 86400000</f>
        <v>1726876800000</v>
      </c>
      <c r="G50">
        <f>'GMT Glossary'!$B$2</f>
        <v>6</v>
      </c>
      <c r="H50" s="2" t="str">
        <f t="shared" si="0"/>
        <v>2024-09-21</v>
      </c>
      <c r="I50" s="2" t="str">
        <f t="shared" si="1"/>
        <v>07:00</v>
      </c>
    </row>
    <row r="51" spans="1:9" x14ac:dyDescent="0.25">
      <c r="A51" s="23">
        <v>45556</v>
      </c>
      <c r="B51" s="20">
        <v>0.125</v>
      </c>
      <c r="C51" s="24" t="s">
        <v>26</v>
      </c>
      <c r="D51" s="22" t="s">
        <v>32</v>
      </c>
      <c r="E51" s="9" t="s">
        <v>20</v>
      </c>
      <c r="F51" s="8">
        <f>(INT(Table_Kyrgyzstan[[#This Row],[Date]]) - DATE(1970, 1, 1)) * 86400000</f>
        <v>1726876800000</v>
      </c>
      <c r="G51">
        <f>'GMT Glossary'!$B$2</f>
        <v>6</v>
      </c>
      <c r="H51" s="2" t="str">
        <f t="shared" si="0"/>
        <v>2024-09-21</v>
      </c>
      <c r="I51" s="2" t="str">
        <f t="shared" si="1"/>
        <v>09:00</v>
      </c>
    </row>
    <row r="52" spans="1:9" x14ac:dyDescent="0.25">
      <c r="A52" s="23">
        <v>45556</v>
      </c>
      <c r="B52" s="20">
        <v>0.20833333333333334</v>
      </c>
      <c r="C52" s="24" t="s">
        <v>26</v>
      </c>
      <c r="D52" s="22" t="s">
        <v>30</v>
      </c>
      <c r="E52" s="9" t="s">
        <v>20</v>
      </c>
      <c r="F52" s="8">
        <f>(INT(Table_Kyrgyzstan[[#This Row],[Date]]) - DATE(1970, 1, 1)) * 86400000</f>
        <v>1726876800000</v>
      </c>
      <c r="G52">
        <f>'GMT Glossary'!$B$2</f>
        <v>6</v>
      </c>
      <c r="H52" s="2" t="str">
        <f t="shared" si="0"/>
        <v>2024-09-21</v>
      </c>
      <c r="I52" s="2" t="str">
        <f t="shared" si="1"/>
        <v>11:00</v>
      </c>
    </row>
    <row r="53" spans="1:9" x14ac:dyDescent="0.25">
      <c r="A53" s="23">
        <v>45556</v>
      </c>
      <c r="B53" s="20">
        <v>0.29166666666666669</v>
      </c>
      <c r="C53" s="24" t="s">
        <v>26</v>
      </c>
      <c r="D53" s="22" t="s">
        <v>31</v>
      </c>
      <c r="E53" s="9" t="s">
        <v>20</v>
      </c>
      <c r="F53" s="8">
        <f>(INT(Table_Kyrgyzstan[[#This Row],[Date]]) - DATE(1970, 1, 1)) * 86400000</f>
        <v>1726876800000</v>
      </c>
      <c r="G53">
        <f>'GMT Glossary'!$B$2</f>
        <v>6</v>
      </c>
      <c r="H53" s="2" t="str">
        <f t="shared" si="0"/>
        <v>2024-09-21</v>
      </c>
      <c r="I53" s="2" t="str">
        <f t="shared" si="1"/>
        <v>13:00</v>
      </c>
    </row>
    <row r="54" spans="1:9" x14ac:dyDescent="0.25">
      <c r="A54" s="23">
        <v>45556</v>
      </c>
      <c r="B54" s="20">
        <v>0.375</v>
      </c>
      <c r="C54" s="24" t="s">
        <v>26</v>
      </c>
      <c r="D54" s="22" t="s">
        <v>29</v>
      </c>
      <c r="E54" s="9" t="s">
        <v>20</v>
      </c>
      <c r="F54" s="8">
        <f>(INT(Table_Kyrgyzstan[[#This Row],[Date]]) - DATE(1970, 1, 1)) * 86400000</f>
        <v>1726876800000</v>
      </c>
      <c r="G54">
        <f>'GMT Glossary'!$B$2</f>
        <v>6</v>
      </c>
      <c r="H54" s="2" t="str">
        <f t="shared" si="0"/>
        <v>2024-09-21</v>
      </c>
      <c r="I54" s="2" t="str">
        <f t="shared" si="1"/>
        <v>15:00</v>
      </c>
    </row>
    <row r="55" spans="1:9" x14ac:dyDescent="0.25">
      <c r="A55" s="23">
        <v>45556</v>
      </c>
      <c r="B55" s="20">
        <v>0.47916666666666669</v>
      </c>
      <c r="C55" s="24" t="s">
        <v>26</v>
      </c>
      <c r="D55" s="21" t="s">
        <v>76</v>
      </c>
      <c r="E55" s="9" t="s">
        <v>20</v>
      </c>
      <c r="F55" s="8">
        <f>(INT(Table_Kyrgyzstan[[#This Row],[Date]]) - DATE(1970, 1, 1)) * 86400000</f>
        <v>1726876800000</v>
      </c>
      <c r="G55">
        <f>'GMT Glossary'!$B$2</f>
        <v>6</v>
      </c>
      <c r="H55" s="2" t="str">
        <f t="shared" si="0"/>
        <v>2024-09-21</v>
      </c>
      <c r="I55" s="2" t="str">
        <f t="shared" si="1"/>
        <v>17:30</v>
      </c>
    </row>
    <row r="56" spans="1:9" x14ac:dyDescent="0.25">
      <c r="A56" s="23">
        <v>45556</v>
      </c>
      <c r="B56" s="20">
        <v>0.58333333333333337</v>
      </c>
      <c r="C56" s="24" t="s">
        <v>26</v>
      </c>
      <c r="D56" s="21" t="s">
        <v>77</v>
      </c>
      <c r="E56" s="9" t="s">
        <v>20</v>
      </c>
      <c r="F56" s="8">
        <f>(INT(Table_Kyrgyzstan[[#This Row],[Date]]) - DATE(1970, 1, 1)) * 86400000</f>
        <v>1726876800000</v>
      </c>
      <c r="G56">
        <f>'GMT Glossary'!$B$2</f>
        <v>6</v>
      </c>
      <c r="H56" s="2" t="str">
        <f t="shared" si="0"/>
        <v>2024-09-21</v>
      </c>
      <c r="I56" s="2" t="str">
        <f t="shared" si="1"/>
        <v>20:00</v>
      </c>
    </row>
    <row r="57" spans="1:9" x14ac:dyDescent="0.25">
      <c r="A57" s="23">
        <v>45556</v>
      </c>
      <c r="B57" s="20">
        <v>0.6875</v>
      </c>
      <c r="C57" s="24" t="s">
        <v>26</v>
      </c>
      <c r="D57" s="21" t="s">
        <v>78</v>
      </c>
      <c r="E57" s="9" t="s">
        <v>20</v>
      </c>
      <c r="F57" s="8">
        <f>(INT(Table_Kyrgyzstan[[#This Row],[Date]]) - DATE(1970, 1, 1)) * 86400000</f>
        <v>1726876800000</v>
      </c>
      <c r="G57">
        <f>'GMT Glossary'!$B$2</f>
        <v>6</v>
      </c>
      <c r="H57" s="2" t="str">
        <f t="shared" si="0"/>
        <v>2024-09-21</v>
      </c>
      <c r="I57" s="2" t="str">
        <f t="shared" si="1"/>
        <v>22:30</v>
      </c>
    </row>
    <row r="58" spans="1:9" x14ac:dyDescent="0.25">
      <c r="A58" s="23">
        <v>45556</v>
      </c>
      <c r="B58" s="20">
        <v>0.79166666666666663</v>
      </c>
      <c r="C58" s="24" t="s">
        <v>26</v>
      </c>
      <c r="D58" s="21" t="s">
        <v>79</v>
      </c>
      <c r="E58" s="9" t="s">
        <v>20</v>
      </c>
      <c r="F58" s="8">
        <f>(INT(Table_Kyrgyzstan[[#This Row],[Date]]) - DATE(1970, 1, 1)) * 86400000</f>
        <v>1726876800000</v>
      </c>
      <c r="G58">
        <f>'GMT Glossary'!$B$2</f>
        <v>6</v>
      </c>
      <c r="H58" s="2" t="str">
        <f t="shared" si="0"/>
        <v>2024-09-22</v>
      </c>
      <c r="I58" s="2" t="str">
        <f t="shared" si="1"/>
        <v>01:00</v>
      </c>
    </row>
    <row r="59" spans="1:9" x14ac:dyDescent="0.25">
      <c r="A59" s="23">
        <v>45556</v>
      </c>
      <c r="B59" s="20">
        <v>0.875</v>
      </c>
      <c r="C59" s="24" t="s">
        <v>26</v>
      </c>
      <c r="D59" s="22" t="s">
        <v>33</v>
      </c>
      <c r="E59" s="9" t="s">
        <v>20</v>
      </c>
      <c r="F59" s="8">
        <f>(INT(Table_Kyrgyzstan[[#This Row],[Date]]) - DATE(1970, 1, 1)) * 86400000</f>
        <v>1726876800000</v>
      </c>
      <c r="G59">
        <f>'GMT Glossary'!$B$2</f>
        <v>6</v>
      </c>
      <c r="H59" s="2" t="str">
        <f t="shared" si="0"/>
        <v>2024-09-22</v>
      </c>
      <c r="I59" s="2" t="str">
        <f t="shared" si="1"/>
        <v>03:00</v>
      </c>
    </row>
    <row r="60" spans="1:9" x14ac:dyDescent="0.25">
      <c r="A60" s="23">
        <v>45556</v>
      </c>
      <c r="B60" s="20">
        <v>0.95833333333333337</v>
      </c>
      <c r="C60" s="24" t="s">
        <v>26</v>
      </c>
      <c r="D60" s="22" t="s">
        <v>80</v>
      </c>
      <c r="E60" s="9" t="s">
        <v>20</v>
      </c>
      <c r="F60" s="8">
        <f>(INT(Table_Kyrgyzstan[[#This Row],[Date]]) - DATE(1970, 1, 1)) * 86400000</f>
        <v>1726876800000</v>
      </c>
      <c r="G60">
        <f>'GMT Glossary'!$B$2</f>
        <v>6</v>
      </c>
      <c r="H60" s="2" t="str">
        <f t="shared" si="0"/>
        <v>2024-09-22</v>
      </c>
      <c r="I60" s="2" t="str">
        <f t="shared" si="1"/>
        <v>05:00</v>
      </c>
    </row>
    <row r="61" spans="1:9" x14ac:dyDescent="0.25">
      <c r="A61" s="23">
        <v>45557</v>
      </c>
      <c r="B61" s="20">
        <v>4.1666666666666664E-2</v>
      </c>
      <c r="C61" s="24" t="s">
        <v>26</v>
      </c>
      <c r="D61" s="22" t="s">
        <v>32</v>
      </c>
      <c r="E61" s="9" t="s">
        <v>20</v>
      </c>
      <c r="F61" s="8">
        <f>(INT(Table_Kyrgyzstan[[#This Row],[Date]]) - DATE(1970, 1, 1)) * 86400000</f>
        <v>1726963200000</v>
      </c>
      <c r="G61">
        <f>'GMT Glossary'!$B$2</f>
        <v>6</v>
      </c>
      <c r="H61" s="2" t="str">
        <f t="shared" si="0"/>
        <v>2024-09-22</v>
      </c>
      <c r="I61" s="2" t="str">
        <f t="shared" si="1"/>
        <v>07:00</v>
      </c>
    </row>
    <row r="62" spans="1:9" x14ac:dyDescent="0.25">
      <c r="A62" s="23">
        <v>45557</v>
      </c>
      <c r="B62" s="20">
        <v>0.125</v>
      </c>
      <c r="C62" s="24" t="s">
        <v>26</v>
      </c>
      <c r="D62" s="22" t="s">
        <v>59</v>
      </c>
      <c r="E62" s="9" t="s">
        <v>20</v>
      </c>
      <c r="F62" s="8">
        <f>(INT(Table_Kyrgyzstan[[#This Row],[Date]]) - DATE(1970, 1, 1)) * 86400000</f>
        <v>1726963200000</v>
      </c>
      <c r="G62">
        <f>'GMT Glossary'!$B$2</f>
        <v>6</v>
      </c>
      <c r="H62" s="2" t="str">
        <f t="shared" si="0"/>
        <v>2024-09-22</v>
      </c>
      <c r="I62" s="2" t="str">
        <f t="shared" si="1"/>
        <v>09:00</v>
      </c>
    </row>
    <row r="63" spans="1:9" x14ac:dyDescent="0.25">
      <c r="A63" s="23">
        <v>45557</v>
      </c>
      <c r="B63" s="20">
        <v>0.20833333333333334</v>
      </c>
      <c r="C63" s="24" t="s">
        <v>26</v>
      </c>
      <c r="D63" s="22" t="s">
        <v>60</v>
      </c>
      <c r="E63" s="9" t="s">
        <v>20</v>
      </c>
      <c r="F63" s="8">
        <f>(INT(Table_Kyrgyzstan[[#This Row],[Date]]) - DATE(1970, 1, 1)) * 86400000</f>
        <v>1726963200000</v>
      </c>
      <c r="G63">
        <f>'GMT Glossary'!$B$2</f>
        <v>6</v>
      </c>
      <c r="H63" s="2" t="str">
        <f t="shared" si="0"/>
        <v>2024-09-22</v>
      </c>
      <c r="I63" s="2" t="str">
        <f t="shared" si="1"/>
        <v>11:00</v>
      </c>
    </row>
    <row r="64" spans="1:9" x14ac:dyDescent="0.25">
      <c r="A64" s="23">
        <v>45557</v>
      </c>
      <c r="B64" s="20">
        <v>0.29166666666666669</v>
      </c>
      <c r="C64" s="24" t="s">
        <v>26</v>
      </c>
      <c r="D64" s="22" t="s">
        <v>29</v>
      </c>
      <c r="E64" s="9" t="s">
        <v>20</v>
      </c>
      <c r="F64" s="8">
        <f>(INT(Table_Kyrgyzstan[[#This Row],[Date]]) - DATE(1970, 1, 1)) * 86400000</f>
        <v>1726963200000</v>
      </c>
      <c r="G64">
        <f>'GMT Glossary'!$B$2</f>
        <v>6</v>
      </c>
      <c r="H64" s="2" t="str">
        <f t="shared" si="0"/>
        <v>2024-09-22</v>
      </c>
      <c r="I64" s="2" t="str">
        <f t="shared" si="1"/>
        <v>13:00</v>
      </c>
    </row>
    <row r="65" spans="1:9" x14ac:dyDescent="0.25">
      <c r="A65" s="23">
        <v>45557</v>
      </c>
      <c r="B65" s="20">
        <v>0.375</v>
      </c>
      <c r="C65" s="24" t="s">
        <v>26</v>
      </c>
      <c r="D65" s="22" t="s">
        <v>27</v>
      </c>
      <c r="E65" s="9" t="s">
        <v>20</v>
      </c>
      <c r="F65" s="8">
        <f>(INT(Table_Kyrgyzstan[[#This Row],[Date]]) - DATE(1970, 1, 1)) * 86400000</f>
        <v>1726963200000</v>
      </c>
      <c r="G65">
        <f>'GMT Glossary'!$B$2</f>
        <v>6</v>
      </c>
      <c r="H65" s="2" t="str">
        <f t="shared" si="0"/>
        <v>2024-09-22</v>
      </c>
      <c r="I65" s="2" t="str">
        <f t="shared" si="1"/>
        <v>15:00</v>
      </c>
    </row>
    <row r="66" spans="1:9" x14ac:dyDescent="0.25">
      <c r="A66" s="23">
        <v>45557</v>
      </c>
      <c r="B66" s="20">
        <v>0.4375</v>
      </c>
      <c r="C66" s="24" t="s">
        <v>26</v>
      </c>
      <c r="D66" s="21" t="s">
        <v>81</v>
      </c>
      <c r="E66" s="9" t="s">
        <v>20</v>
      </c>
      <c r="F66" s="8">
        <f>(INT(Table_Kyrgyzstan[[#This Row],[Date]]) - DATE(1970, 1, 1)) * 86400000</f>
        <v>1726963200000</v>
      </c>
      <c r="G66">
        <f>'GMT Glossary'!$B$2</f>
        <v>6</v>
      </c>
      <c r="H66" s="2" t="str">
        <f t="shared" ref="H66:H129" si="2">TEXT(IF(B66&lt;0, A66+1+((B66+(G66/24))-(INT(B66+(G66/24)))), A66+(B66+(G66/24))), "yyyy-mm-dd")</f>
        <v>2024-09-22</v>
      </c>
      <c r="I66" s="2" t="str">
        <f t="shared" ref="I66:I129" si="3">TEXT(IF(B66&lt;0, A66+1+((B66+(G66/24))-(INT(B66+(G66/24)))), A66+(B66+(G66/24))), "hh:mm")</f>
        <v>16:30</v>
      </c>
    </row>
    <row r="67" spans="1:9" x14ac:dyDescent="0.25">
      <c r="A67" s="23">
        <v>45557</v>
      </c>
      <c r="B67" s="20">
        <v>0.54166666666666663</v>
      </c>
      <c r="C67" s="24" t="s">
        <v>26</v>
      </c>
      <c r="D67" s="21" t="s">
        <v>82</v>
      </c>
      <c r="E67" s="9" t="s">
        <v>20</v>
      </c>
      <c r="F67" s="8">
        <f>(INT(Table_Kyrgyzstan[[#This Row],[Date]]) - DATE(1970, 1, 1)) * 86400000</f>
        <v>1726963200000</v>
      </c>
      <c r="G67">
        <f>'GMT Glossary'!$B$2</f>
        <v>6</v>
      </c>
      <c r="H67" s="2" t="str">
        <f t="shared" si="2"/>
        <v>2024-09-22</v>
      </c>
      <c r="I67" s="2" t="str">
        <f t="shared" si="3"/>
        <v>19:00</v>
      </c>
    </row>
    <row r="68" spans="1:9" x14ac:dyDescent="0.25">
      <c r="A68" s="23">
        <v>45557</v>
      </c>
      <c r="B68" s="20">
        <v>0.64583333333333337</v>
      </c>
      <c r="C68" s="24" t="s">
        <v>26</v>
      </c>
      <c r="D68" s="21" t="s">
        <v>83</v>
      </c>
      <c r="E68" s="9" t="s">
        <v>20</v>
      </c>
      <c r="F68" s="8">
        <f>(INT(Table_Kyrgyzstan[[#This Row],[Date]]) - DATE(1970, 1, 1)) * 86400000</f>
        <v>1726963200000</v>
      </c>
      <c r="G68">
        <f>'GMT Glossary'!$B$2</f>
        <v>6</v>
      </c>
      <c r="H68" s="2" t="str">
        <f t="shared" si="2"/>
        <v>2024-09-22</v>
      </c>
      <c r="I68" s="2" t="str">
        <f t="shared" si="3"/>
        <v>21:30</v>
      </c>
    </row>
    <row r="69" spans="1:9" x14ac:dyDescent="0.25">
      <c r="A69" s="23">
        <v>45557</v>
      </c>
      <c r="B69" s="20">
        <v>0.78125</v>
      </c>
      <c r="C69" s="24" t="s">
        <v>26</v>
      </c>
      <c r="D69" s="21" t="s">
        <v>84</v>
      </c>
      <c r="E69" s="9" t="s">
        <v>20</v>
      </c>
      <c r="F69" s="8">
        <f>(INT(Table_Kyrgyzstan[[#This Row],[Date]]) - DATE(1970, 1, 1)) * 86400000</f>
        <v>1726963200000</v>
      </c>
      <c r="G69">
        <f>'GMT Glossary'!$B$2</f>
        <v>6</v>
      </c>
      <c r="H69" s="2" t="str">
        <f t="shared" si="2"/>
        <v>2024-09-23</v>
      </c>
      <c r="I69" s="2" t="str">
        <f t="shared" si="3"/>
        <v>00:45</v>
      </c>
    </row>
    <row r="70" spans="1:9" x14ac:dyDescent="0.25">
      <c r="A70" s="23">
        <v>45557</v>
      </c>
      <c r="B70" s="20">
        <v>0.875</v>
      </c>
      <c r="C70" s="24" t="s">
        <v>26</v>
      </c>
      <c r="D70" s="22" t="s">
        <v>85</v>
      </c>
      <c r="E70" s="9" t="s">
        <v>20</v>
      </c>
      <c r="F70" s="8">
        <f>(INT(Table_Kyrgyzstan[[#This Row],[Date]]) - DATE(1970, 1, 1)) * 86400000</f>
        <v>1726963200000</v>
      </c>
      <c r="G70">
        <f>'GMT Glossary'!$B$2</f>
        <v>6</v>
      </c>
      <c r="H70" s="2" t="str">
        <f t="shared" si="2"/>
        <v>2024-09-23</v>
      </c>
      <c r="I70" s="2" t="str">
        <f t="shared" si="3"/>
        <v>03:00</v>
      </c>
    </row>
    <row r="71" spans="1:9" x14ac:dyDescent="0.25">
      <c r="A71" s="23">
        <v>45557</v>
      </c>
      <c r="B71" s="20">
        <v>0.95833333333333337</v>
      </c>
      <c r="C71" s="24" t="s">
        <v>26</v>
      </c>
      <c r="D71" s="22" t="s">
        <v>86</v>
      </c>
      <c r="E71" s="9" t="s">
        <v>20</v>
      </c>
      <c r="F71" s="8">
        <f>(INT(Table_Kyrgyzstan[[#This Row],[Date]]) - DATE(1970, 1, 1)) * 86400000</f>
        <v>1726963200000</v>
      </c>
      <c r="G71">
        <f>'GMT Glossary'!$B$2</f>
        <v>6</v>
      </c>
      <c r="H71" s="2" t="str">
        <f t="shared" si="2"/>
        <v>2024-09-23</v>
      </c>
      <c r="I71" s="2" t="str">
        <f t="shared" si="3"/>
        <v>05:00</v>
      </c>
    </row>
    <row r="72" spans="1:9" x14ac:dyDescent="0.25">
      <c r="A72" s="23">
        <v>45558</v>
      </c>
      <c r="B72" s="20">
        <v>4.1666666666666664E-2</v>
      </c>
      <c r="C72" s="24" t="s">
        <v>26</v>
      </c>
      <c r="D72" s="22" t="s">
        <v>87</v>
      </c>
      <c r="E72" s="9" t="s">
        <v>20</v>
      </c>
      <c r="F72" s="8">
        <f>(INT(Table_Kyrgyzstan[[#This Row],[Date]]) - DATE(1970, 1, 1)) * 86400000</f>
        <v>1727049600000</v>
      </c>
      <c r="G72">
        <f>'GMT Glossary'!$B$2</f>
        <v>6</v>
      </c>
      <c r="H72" s="2" t="str">
        <f t="shared" si="2"/>
        <v>2024-09-23</v>
      </c>
      <c r="I72" s="2" t="str">
        <f t="shared" si="3"/>
        <v>07:00</v>
      </c>
    </row>
    <row r="73" spans="1:9" x14ac:dyDescent="0.25">
      <c r="A73" s="23">
        <v>45558</v>
      </c>
      <c r="B73" s="20">
        <v>0.125</v>
      </c>
      <c r="C73" s="24" t="s">
        <v>26</v>
      </c>
      <c r="D73" s="22" t="s">
        <v>88</v>
      </c>
      <c r="E73" s="9" t="s">
        <v>20</v>
      </c>
      <c r="F73" s="8">
        <f>(INT(Table_Kyrgyzstan[[#This Row],[Date]]) - DATE(1970, 1, 1)) * 86400000</f>
        <v>1727049600000</v>
      </c>
      <c r="G73">
        <f>'GMT Glossary'!$B$2</f>
        <v>6</v>
      </c>
      <c r="H73" s="2" t="str">
        <f t="shared" si="2"/>
        <v>2024-09-23</v>
      </c>
      <c r="I73" s="2" t="str">
        <f t="shared" si="3"/>
        <v>09:00</v>
      </c>
    </row>
    <row r="74" spans="1:9" x14ac:dyDescent="0.25">
      <c r="A74" s="23">
        <v>45558</v>
      </c>
      <c r="B74" s="20">
        <v>0.20833333333333334</v>
      </c>
      <c r="C74" s="24" t="s">
        <v>26</v>
      </c>
      <c r="D74" s="22" t="s">
        <v>89</v>
      </c>
      <c r="E74" s="9" t="s">
        <v>20</v>
      </c>
      <c r="F74" s="8">
        <f>(INT(Table_Kyrgyzstan[[#This Row],[Date]]) - DATE(1970, 1, 1)) * 86400000</f>
        <v>1727049600000</v>
      </c>
      <c r="G74">
        <f>'GMT Glossary'!$B$2</f>
        <v>6</v>
      </c>
      <c r="H74" s="2" t="str">
        <f t="shared" si="2"/>
        <v>2024-09-23</v>
      </c>
      <c r="I74" s="2" t="str">
        <f t="shared" si="3"/>
        <v>11:00</v>
      </c>
    </row>
    <row r="75" spans="1:9" x14ac:dyDescent="0.25">
      <c r="A75" s="23">
        <v>45558</v>
      </c>
      <c r="B75" s="20">
        <v>0.29166666666666669</v>
      </c>
      <c r="C75" s="24" t="s">
        <v>26</v>
      </c>
      <c r="D75" s="22" t="s">
        <v>85</v>
      </c>
      <c r="E75" s="9" t="s">
        <v>20</v>
      </c>
      <c r="F75" s="8">
        <f>(INT(Table_Kyrgyzstan[[#This Row],[Date]]) - DATE(1970, 1, 1)) * 86400000</f>
        <v>1727049600000</v>
      </c>
      <c r="G75">
        <f>'GMT Glossary'!$B$2</f>
        <v>6</v>
      </c>
      <c r="H75" s="2" t="str">
        <f t="shared" si="2"/>
        <v>2024-09-23</v>
      </c>
      <c r="I75" s="2" t="str">
        <f t="shared" si="3"/>
        <v>13:00</v>
      </c>
    </row>
    <row r="76" spans="1:9" x14ac:dyDescent="0.25">
      <c r="A76" s="23">
        <v>45558</v>
      </c>
      <c r="B76" s="20">
        <v>0.375</v>
      </c>
      <c r="C76" s="24" t="s">
        <v>26</v>
      </c>
      <c r="D76" s="22" t="s">
        <v>90</v>
      </c>
      <c r="E76" s="9" t="s">
        <v>20</v>
      </c>
      <c r="F76" s="8">
        <f>(INT(Table_Kyrgyzstan[[#This Row],[Date]]) - DATE(1970, 1, 1)) * 86400000</f>
        <v>1727049600000</v>
      </c>
      <c r="G76">
        <f>'GMT Glossary'!$B$2</f>
        <v>6</v>
      </c>
      <c r="H76" s="2" t="str">
        <f t="shared" si="2"/>
        <v>2024-09-23</v>
      </c>
      <c r="I76" s="2" t="str">
        <f t="shared" si="3"/>
        <v>15:00</v>
      </c>
    </row>
    <row r="77" spans="1:9" x14ac:dyDescent="0.25">
      <c r="A77" s="23">
        <v>45558</v>
      </c>
      <c r="B77" s="20">
        <v>0.45833333333333331</v>
      </c>
      <c r="C77" s="24" t="s">
        <v>26</v>
      </c>
      <c r="D77" s="22" t="s">
        <v>91</v>
      </c>
      <c r="E77" s="9" t="s">
        <v>20</v>
      </c>
      <c r="F77" s="8">
        <f>(INT(Table_Kyrgyzstan[[#This Row],[Date]]) - DATE(1970, 1, 1)) * 86400000</f>
        <v>1727049600000</v>
      </c>
      <c r="G77">
        <f>'GMT Glossary'!$B$2</f>
        <v>6</v>
      </c>
      <c r="H77" s="2" t="str">
        <f t="shared" si="2"/>
        <v>2024-09-23</v>
      </c>
      <c r="I77" s="2" t="str">
        <f t="shared" si="3"/>
        <v>17:00</v>
      </c>
    </row>
    <row r="78" spans="1:9" x14ac:dyDescent="0.25">
      <c r="A78" s="23">
        <v>45558</v>
      </c>
      <c r="B78" s="20">
        <v>0.54166666666666663</v>
      </c>
      <c r="C78" s="24" t="s">
        <v>26</v>
      </c>
      <c r="D78" s="22" t="s">
        <v>92</v>
      </c>
      <c r="E78" s="9" t="s">
        <v>20</v>
      </c>
      <c r="F78" s="8">
        <f>(INT(Table_Kyrgyzstan[[#This Row],[Date]]) - DATE(1970, 1, 1)) * 86400000</f>
        <v>1727049600000</v>
      </c>
      <c r="G78">
        <f>'GMT Glossary'!$B$2</f>
        <v>6</v>
      </c>
      <c r="H78" s="2" t="str">
        <f t="shared" si="2"/>
        <v>2024-09-23</v>
      </c>
      <c r="I78" s="2" t="str">
        <f t="shared" si="3"/>
        <v>19:00</v>
      </c>
    </row>
    <row r="79" spans="1:9" x14ac:dyDescent="0.25">
      <c r="A79" s="23">
        <v>45558</v>
      </c>
      <c r="B79" s="20">
        <v>0.625</v>
      </c>
      <c r="C79" s="24" t="s">
        <v>26</v>
      </c>
      <c r="D79" s="22" t="s">
        <v>89</v>
      </c>
      <c r="E79" s="9" t="s">
        <v>20</v>
      </c>
      <c r="F79" s="8">
        <f>(INT(Table_Kyrgyzstan[[#This Row],[Date]]) - DATE(1970, 1, 1)) * 86400000</f>
        <v>1727049600000</v>
      </c>
      <c r="G79">
        <f>'GMT Glossary'!$B$2</f>
        <v>6</v>
      </c>
      <c r="H79" s="2" t="str">
        <f t="shared" si="2"/>
        <v>2024-09-23</v>
      </c>
      <c r="I79" s="2" t="str">
        <f t="shared" si="3"/>
        <v>21:00</v>
      </c>
    </row>
    <row r="80" spans="1:9" x14ac:dyDescent="0.25">
      <c r="A80" s="23">
        <v>45558</v>
      </c>
      <c r="B80" s="20">
        <v>0.70833333333333337</v>
      </c>
      <c r="C80" s="24" t="s">
        <v>26</v>
      </c>
      <c r="D80" s="22" t="s">
        <v>87</v>
      </c>
      <c r="E80" s="9" t="s">
        <v>20</v>
      </c>
      <c r="F80" s="8">
        <f>(INT(Table_Kyrgyzstan[[#This Row],[Date]]) - DATE(1970, 1, 1)) * 86400000</f>
        <v>1727049600000</v>
      </c>
      <c r="G80">
        <f>'GMT Glossary'!$B$2</f>
        <v>6</v>
      </c>
      <c r="H80" s="2" t="str">
        <f t="shared" si="2"/>
        <v>2024-09-23</v>
      </c>
      <c r="I80" s="2" t="str">
        <f t="shared" si="3"/>
        <v>23:00</v>
      </c>
    </row>
    <row r="81" spans="1:9" x14ac:dyDescent="0.25">
      <c r="A81" s="23">
        <v>45558</v>
      </c>
      <c r="B81" s="20">
        <v>0.78125</v>
      </c>
      <c r="C81" s="24" t="s">
        <v>26</v>
      </c>
      <c r="D81" s="21" t="s">
        <v>93</v>
      </c>
      <c r="E81" s="9" t="s">
        <v>20</v>
      </c>
      <c r="F81" s="8">
        <f>(INT(Table_Kyrgyzstan[[#This Row],[Date]]) - DATE(1970, 1, 1)) * 86400000</f>
        <v>1727049600000</v>
      </c>
      <c r="G81">
        <f>'GMT Glossary'!$B$2</f>
        <v>6</v>
      </c>
      <c r="H81" s="2" t="str">
        <f t="shared" si="2"/>
        <v>2024-09-24</v>
      </c>
      <c r="I81" s="2" t="str">
        <f t="shared" si="3"/>
        <v>00:45</v>
      </c>
    </row>
    <row r="82" spans="1:9" x14ac:dyDescent="0.25">
      <c r="A82" s="23">
        <v>45558</v>
      </c>
      <c r="B82" s="20">
        <v>0.875</v>
      </c>
      <c r="C82" s="24" t="s">
        <v>26</v>
      </c>
      <c r="D82" s="22" t="s">
        <v>91</v>
      </c>
      <c r="E82" s="9" t="s">
        <v>20</v>
      </c>
      <c r="F82" s="8">
        <f>(INT(Table_Kyrgyzstan[[#This Row],[Date]]) - DATE(1970, 1, 1)) * 86400000</f>
        <v>1727049600000</v>
      </c>
      <c r="G82">
        <f>'GMT Glossary'!$B$2</f>
        <v>6</v>
      </c>
      <c r="H82" s="2" t="str">
        <f t="shared" si="2"/>
        <v>2024-09-24</v>
      </c>
      <c r="I82" s="2" t="str">
        <f t="shared" si="3"/>
        <v>03:00</v>
      </c>
    </row>
    <row r="83" spans="1:9" x14ac:dyDescent="0.25">
      <c r="A83" s="23">
        <v>45558</v>
      </c>
      <c r="B83" s="20">
        <v>0.95833333333333337</v>
      </c>
      <c r="C83" s="24" t="s">
        <v>26</v>
      </c>
      <c r="D83" s="22" t="s">
        <v>94</v>
      </c>
      <c r="E83" s="9" t="s">
        <v>20</v>
      </c>
      <c r="F83" s="8">
        <f>(INT(Table_Kyrgyzstan[[#This Row],[Date]]) - DATE(1970, 1, 1)) * 86400000</f>
        <v>1727049600000</v>
      </c>
      <c r="G83">
        <f>'GMT Glossary'!$B$2</f>
        <v>6</v>
      </c>
      <c r="H83" s="2" t="str">
        <f t="shared" si="2"/>
        <v>2024-09-24</v>
      </c>
      <c r="I83" s="2" t="str">
        <f t="shared" si="3"/>
        <v>05:00</v>
      </c>
    </row>
    <row r="84" spans="1:9" x14ac:dyDescent="0.25">
      <c r="A84" s="23">
        <v>45559</v>
      </c>
      <c r="B84" s="20">
        <v>4.1666666666666664E-2</v>
      </c>
      <c r="C84" s="24" t="s">
        <v>26</v>
      </c>
      <c r="D84" s="22" t="s">
        <v>90</v>
      </c>
      <c r="E84" s="9" t="s">
        <v>20</v>
      </c>
      <c r="F84" s="8">
        <f>(INT(Table_Kyrgyzstan[[#This Row],[Date]]) - DATE(1970, 1, 1)) * 86400000</f>
        <v>1727136000000</v>
      </c>
      <c r="G84">
        <f>'GMT Glossary'!$B$2</f>
        <v>6</v>
      </c>
      <c r="H84" s="2" t="str">
        <f t="shared" si="2"/>
        <v>2024-09-24</v>
      </c>
      <c r="I84" s="2" t="str">
        <f t="shared" si="3"/>
        <v>07:00</v>
      </c>
    </row>
    <row r="85" spans="1:9" x14ac:dyDescent="0.25">
      <c r="A85" s="23">
        <v>45559</v>
      </c>
      <c r="B85" s="20">
        <v>0.125</v>
      </c>
      <c r="C85" s="24" t="s">
        <v>26</v>
      </c>
      <c r="D85" s="22" t="s">
        <v>86</v>
      </c>
      <c r="E85" s="9" t="s">
        <v>20</v>
      </c>
      <c r="F85" s="8">
        <f>(INT(Table_Kyrgyzstan[[#This Row],[Date]]) - DATE(1970, 1, 1)) * 86400000</f>
        <v>1727136000000</v>
      </c>
      <c r="G85">
        <f>'GMT Glossary'!$B$2</f>
        <v>6</v>
      </c>
      <c r="H85" s="2" t="str">
        <f t="shared" si="2"/>
        <v>2024-09-24</v>
      </c>
      <c r="I85" s="2" t="str">
        <f t="shared" si="3"/>
        <v>09:00</v>
      </c>
    </row>
    <row r="86" spans="1:9" x14ac:dyDescent="0.25">
      <c r="A86" s="23">
        <v>45559</v>
      </c>
      <c r="B86" s="20">
        <v>0.20833333333333334</v>
      </c>
      <c r="C86" s="24" t="s">
        <v>26</v>
      </c>
      <c r="D86" s="22" t="s">
        <v>88</v>
      </c>
      <c r="E86" s="9" t="s">
        <v>20</v>
      </c>
      <c r="F86" s="8">
        <f>(INT(Table_Kyrgyzstan[[#This Row],[Date]]) - DATE(1970, 1, 1)) * 86400000</f>
        <v>1727136000000</v>
      </c>
      <c r="G86">
        <f>'GMT Glossary'!$B$2</f>
        <v>6</v>
      </c>
      <c r="H86" s="2" t="str">
        <f t="shared" si="2"/>
        <v>2024-09-24</v>
      </c>
      <c r="I86" s="2" t="str">
        <f t="shared" si="3"/>
        <v>11:00</v>
      </c>
    </row>
    <row r="87" spans="1:9" x14ac:dyDescent="0.25">
      <c r="A87" s="23">
        <v>45559</v>
      </c>
      <c r="B87" s="20">
        <v>0.29166666666666669</v>
      </c>
      <c r="C87" s="24" t="s">
        <v>26</v>
      </c>
      <c r="D87" s="22" t="s">
        <v>85</v>
      </c>
      <c r="E87" s="11" t="s">
        <v>20</v>
      </c>
      <c r="F87" s="8">
        <f>(INT(Table_Kyrgyzstan[[#This Row],[Date]]) - DATE(1970, 1, 1)) * 86400000</f>
        <v>1727136000000</v>
      </c>
      <c r="G87" s="10">
        <f>'GMT Glossary'!$B$2</f>
        <v>6</v>
      </c>
      <c r="H87" s="2" t="str">
        <f t="shared" si="2"/>
        <v>2024-09-24</v>
      </c>
      <c r="I87" s="2" t="str">
        <f t="shared" si="3"/>
        <v>13:00</v>
      </c>
    </row>
    <row r="88" spans="1:9" x14ac:dyDescent="0.25">
      <c r="A88" s="12">
        <v>45552</v>
      </c>
      <c r="B88" s="15">
        <v>0.375</v>
      </c>
      <c r="C88" s="14" t="s">
        <v>26</v>
      </c>
      <c r="D88" s="19" t="s">
        <v>57</v>
      </c>
      <c r="E88" s="11" t="s">
        <v>22</v>
      </c>
      <c r="F88" s="8">
        <f>(INT(Table_Kyrgyzstan[[#This Row],[Date]]) - DATE(1970, 1, 1)) * 86400000</f>
        <v>1726531200000</v>
      </c>
      <c r="G88" s="10">
        <f>'GMT Glossary'!$B$2</f>
        <v>6</v>
      </c>
      <c r="H88" s="2" t="str">
        <f t="shared" si="2"/>
        <v>2024-09-17</v>
      </c>
      <c r="I88" s="2" t="str">
        <f t="shared" si="3"/>
        <v>15:00</v>
      </c>
    </row>
    <row r="89" spans="1:9" x14ac:dyDescent="0.25">
      <c r="A89" s="12">
        <v>45552</v>
      </c>
      <c r="B89" s="15">
        <v>0.45833333333333331</v>
      </c>
      <c r="C89" s="14" t="s">
        <v>26</v>
      </c>
      <c r="D89" s="19" t="s">
        <v>95</v>
      </c>
      <c r="E89" s="11" t="s">
        <v>22</v>
      </c>
      <c r="F89" s="8">
        <f>(INT(Table_Kyrgyzstan[[#This Row],[Date]]) - DATE(1970, 1, 1)) * 86400000</f>
        <v>1726531200000</v>
      </c>
      <c r="G89" s="10">
        <f>'GMT Glossary'!$B$2</f>
        <v>6</v>
      </c>
      <c r="H89" s="2" t="str">
        <f t="shared" si="2"/>
        <v>2024-09-17</v>
      </c>
      <c r="I89" s="2" t="str">
        <f t="shared" si="3"/>
        <v>17:00</v>
      </c>
    </row>
    <row r="90" spans="1:9" x14ac:dyDescent="0.25">
      <c r="A90" s="12">
        <v>45552</v>
      </c>
      <c r="B90" s="15">
        <v>0.54166666666666663</v>
      </c>
      <c r="C90" s="14" t="s">
        <v>26</v>
      </c>
      <c r="D90" s="19" t="s">
        <v>96</v>
      </c>
      <c r="E90" s="11" t="s">
        <v>22</v>
      </c>
      <c r="F90" s="8">
        <f>(INT(Table_Kyrgyzstan[[#This Row],[Date]]) - DATE(1970, 1, 1)) * 86400000</f>
        <v>1726531200000</v>
      </c>
      <c r="G90" s="10">
        <f>'GMT Glossary'!$B$2</f>
        <v>6</v>
      </c>
      <c r="H90" s="2" t="str">
        <f t="shared" si="2"/>
        <v>2024-09-17</v>
      </c>
      <c r="I90" s="2" t="str">
        <f t="shared" si="3"/>
        <v>19:00</v>
      </c>
    </row>
    <row r="91" spans="1:9" x14ac:dyDescent="0.25">
      <c r="A91" s="12">
        <v>45552</v>
      </c>
      <c r="B91" s="15">
        <v>0.625</v>
      </c>
      <c r="C91" s="14" t="s">
        <v>26</v>
      </c>
      <c r="D91" s="19" t="s">
        <v>43</v>
      </c>
      <c r="E91" s="11" t="s">
        <v>22</v>
      </c>
      <c r="F91" s="8">
        <f>(INT(Table_Kyrgyzstan[[#This Row],[Date]]) - DATE(1970, 1, 1)) * 86400000</f>
        <v>1726531200000</v>
      </c>
      <c r="G91" s="10">
        <f>'GMT Glossary'!$B$2</f>
        <v>6</v>
      </c>
      <c r="H91" s="2" t="str">
        <f t="shared" si="2"/>
        <v>2024-09-17</v>
      </c>
      <c r="I91" s="2" t="str">
        <f t="shared" si="3"/>
        <v>21:00</v>
      </c>
    </row>
    <row r="92" spans="1:9" x14ac:dyDescent="0.25">
      <c r="A92" s="12">
        <v>45552</v>
      </c>
      <c r="B92" s="15">
        <v>0.70833333333333337</v>
      </c>
      <c r="C92" s="14" t="s">
        <v>26</v>
      </c>
      <c r="D92" s="19" t="s">
        <v>48</v>
      </c>
      <c r="E92" s="11" t="s">
        <v>22</v>
      </c>
      <c r="F92" s="8">
        <f>(INT(Table_Kyrgyzstan[[#This Row],[Date]]) - DATE(1970, 1, 1)) * 86400000</f>
        <v>1726531200000</v>
      </c>
      <c r="G92" s="10">
        <f>'GMT Glossary'!$B$2</f>
        <v>6</v>
      </c>
      <c r="H92" s="2" t="str">
        <f t="shared" si="2"/>
        <v>2024-09-17</v>
      </c>
      <c r="I92" s="2" t="str">
        <f t="shared" si="3"/>
        <v>23:00</v>
      </c>
    </row>
    <row r="93" spans="1:9" x14ac:dyDescent="0.25">
      <c r="A93" s="12">
        <v>45552</v>
      </c>
      <c r="B93" s="15">
        <v>0.78125</v>
      </c>
      <c r="C93" s="14" t="s">
        <v>26</v>
      </c>
      <c r="D93" s="19" t="s">
        <v>97</v>
      </c>
      <c r="E93" s="11" t="s">
        <v>22</v>
      </c>
      <c r="F93" s="8">
        <f>(INT(Table_Kyrgyzstan[[#This Row],[Date]]) - DATE(1970, 1, 1)) * 86400000</f>
        <v>1726531200000</v>
      </c>
      <c r="G93" s="10">
        <f>'GMT Glossary'!$B$2</f>
        <v>6</v>
      </c>
      <c r="H93" s="2" t="str">
        <f t="shared" si="2"/>
        <v>2024-09-18</v>
      </c>
      <c r="I93" s="2" t="str">
        <f t="shared" si="3"/>
        <v>00:45</v>
      </c>
    </row>
    <row r="94" spans="1:9" x14ac:dyDescent="0.25">
      <c r="A94" s="12">
        <v>45552</v>
      </c>
      <c r="B94" s="15">
        <v>0.875</v>
      </c>
      <c r="C94" s="14" t="s">
        <v>26</v>
      </c>
      <c r="D94" s="19" t="s">
        <v>44</v>
      </c>
      <c r="E94" s="11" t="s">
        <v>22</v>
      </c>
      <c r="F94" s="8">
        <f>(INT(Table_Kyrgyzstan[[#This Row],[Date]]) - DATE(1970, 1, 1)) * 86400000</f>
        <v>1726531200000</v>
      </c>
      <c r="G94" s="10">
        <f>'GMT Glossary'!$B$2</f>
        <v>6</v>
      </c>
      <c r="H94" s="2" t="str">
        <f t="shared" si="2"/>
        <v>2024-09-18</v>
      </c>
      <c r="I94" s="2" t="str">
        <f t="shared" si="3"/>
        <v>03:00</v>
      </c>
    </row>
    <row r="95" spans="1:9" x14ac:dyDescent="0.25">
      <c r="A95" s="12">
        <v>45552</v>
      </c>
      <c r="B95" s="15">
        <v>0.95833333333333337</v>
      </c>
      <c r="C95" s="14" t="s">
        <v>26</v>
      </c>
      <c r="D95" s="19" t="s">
        <v>98</v>
      </c>
      <c r="E95" s="11" t="s">
        <v>22</v>
      </c>
      <c r="F95" s="8">
        <f>(INT(Table_Kyrgyzstan[[#This Row],[Date]]) - DATE(1970, 1, 1)) * 86400000</f>
        <v>1726531200000</v>
      </c>
      <c r="G95" s="10">
        <f>'GMT Glossary'!$B$2</f>
        <v>6</v>
      </c>
      <c r="H95" s="2" t="str">
        <f t="shared" si="2"/>
        <v>2024-09-18</v>
      </c>
      <c r="I95" s="2" t="str">
        <f t="shared" si="3"/>
        <v>05:00</v>
      </c>
    </row>
    <row r="96" spans="1:9" x14ac:dyDescent="0.25">
      <c r="A96" s="12">
        <v>45553</v>
      </c>
      <c r="B96" s="15">
        <v>4.1666666666666664E-2</v>
      </c>
      <c r="C96" s="14" t="s">
        <v>26</v>
      </c>
      <c r="D96" s="19" t="s">
        <v>52</v>
      </c>
      <c r="E96" s="11" t="s">
        <v>22</v>
      </c>
      <c r="F96" s="8">
        <f>(INT(Table_Kyrgyzstan[[#This Row],[Date]]) - DATE(1970, 1, 1)) * 86400000</f>
        <v>1726617600000</v>
      </c>
      <c r="G96" s="10">
        <f>'GMT Glossary'!$B$2</f>
        <v>6</v>
      </c>
      <c r="H96" s="2" t="str">
        <f t="shared" si="2"/>
        <v>2024-09-18</v>
      </c>
      <c r="I96" s="2" t="str">
        <f t="shared" si="3"/>
        <v>07:00</v>
      </c>
    </row>
    <row r="97" spans="1:9" x14ac:dyDescent="0.25">
      <c r="A97" s="12">
        <v>45553</v>
      </c>
      <c r="B97" s="15">
        <v>0.125</v>
      </c>
      <c r="C97" s="14" t="s">
        <v>18</v>
      </c>
      <c r="D97" s="19" t="s">
        <v>99</v>
      </c>
      <c r="E97" s="11" t="s">
        <v>22</v>
      </c>
      <c r="F97" s="8">
        <f>(INT(Table_Kyrgyzstan[[#This Row],[Date]]) - DATE(1970, 1, 1)) * 86400000</f>
        <v>1726617600000</v>
      </c>
      <c r="G97" s="10">
        <f>'GMT Glossary'!$B$2</f>
        <v>6</v>
      </c>
      <c r="H97" s="2" t="str">
        <f t="shared" si="2"/>
        <v>2024-09-18</v>
      </c>
      <c r="I97" s="2" t="str">
        <f t="shared" si="3"/>
        <v>09:00</v>
      </c>
    </row>
    <row r="98" spans="1:9" x14ac:dyDescent="0.25">
      <c r="A98" s="12">
        <v>45553</v>
      </c>
      <c r="B98" s="15">
        <v>0.25</v>
      </c>
      <c r="C98" s="14" t="s">
        <v>37</v>
      </c>
      <c r="D98" s="19" t="s">
        <v>38</v>
      </c>
      <c r="E98" s="11" t="s">
        <v>22</v>
      </c>
      <c r="F98" s="8">
        <f>(INT(Table_Kyrgyzstan[[#This Row],[Date]]) - DATE(1970, 1, 1)) * 86400000</f>
        <v>1726617600000</v>
      </c>
      <c r="G98" s="10">
        <f>'GMT Glossary'!$B$2</f>
        <v>6</v>
      </c>
      <c r="H98" s="2" t="str">
        <f t="shared" si="2"/>
        <v>2024-09-18</v>
      </c>
      <c r="I98" s="2" t="str">
        <f t="shared" si="3"/>
        <v>12:00</v>
      </c>
    </row>
    <row r="99" spans="1:9" x14ac:dyDescent="0.25">
      <c r="A99" s="12">
        <v>45553</v>
      </c>
      <c r="B99" s="15">
        <v>0.375</v>
      </c>
      <c r="C99" s="14" t="s">
        <v>26</v>
      </c>
      <c r="D99" s="19" t="s">
        <v>45</v>
      </c>
      <c r="E99" s="11" t="s">
        <v>22</v>
      </c>
      <c r="F99" s="8">
        <f>(INT(Table_Kyrgyzstan[[#This Row],[Date]]) - DATE(1970, 1, 1)) * 86400000</f>
        <v>1726617600000</v>
      </c>
      <c r="G99" s="10">
        <f>'GMT Glossary'!$B$2</f>
        <v>6</v>
      </c>
      <c r="H99" s="2" t="str">
        <f t="shared" si="2"/>
        <v>2024-09-18</v>
      </c>
      <c r="I99" s="2" t="str">
        <f t="shared" si="3"/>
        <v>15:00</v>
      </c>
    </row>
    <row r="100" spans="1:9" x14ac:dyDescent="0.25">
      <c r="A100" s="12">
        <v>45553</v>
      </c>
      <c r="B100" s="15">
        <v>0.45833333333333331</v>
      </c>
      <c r="C100" s="14" t="s">
        <v>26</v>
      </c>
      <c r="D100" s="19" t="s">
        <v>57</v>
      </c>
      <c r="E100" s="11" t="s">
        <v>22</v>
      </c>
      <c r="F100" s="8">
        <f>(INT(Table_Kyrgyzstan[[#This Row],[Date]]) - DATE(1970, 1, 1)) * 86400000</f>
        <v>1726617600000</v>
      </c>
      <c r="G100" s="10">
        <f>'GMT Glossary'!$B$2</f>
        <v>6</v>
      </c>
      <c r="H100" s="2" t="str">
        <f t="shared" si="2"/>
        <v>2024-09-18</v>
      </c>
      <c r="I100" s="2" t="str">
        <f t="shared" si="3"/>
        <v>17:00</v>
      </c>
    </row>
    <row r="101" spans="1:9" x14ac:dyDescent="0.25">
      <c r="A101" s="12">
        <v>45553</v>
      </c>
      <c r="B101" s="15">
        <v>0.54166666666666663</v>
      </c>
      <c r="C101" s="14" t="s">
        <v>26</v>
      </c>
      <c r="D101" s="19" t="s">
        <v>100</v>
      </c>
      <c r="E101" s="11" t="s">
        <v>22</v>
      </c>
      <c r="F101" s="8">
        <f>(INT(Table_Kyrgyzstan[[#This Row],[Date]]) - DATE(1970, 1, 1)) * 86400000</f>
        <v>1726617600000</v>
      </c>
      <c r="G101" s="10">
        <f>'GMT Glossary'!$B$2</f>
        <v>6</v>
      </c>
      <c r="H101" s="2" t="str">
        <f t="shared" si="2"/>
        <v>2024-09-18</v>
      </c>
      <c r="I101" s="2" t="str">
        <f t="shared" si="3"/>
        <v>19:00</v>
      </c>
    </row>
    <row r="102" spans="1:9" x14ac:dyDescent="0.25">
      <c r="A102" s="12">
        <v>45553</v>
      </c>
      <c r="B102" s="15">
        <v>0.625</v>
      </c>
      <c r="C102" s="14" t="s">
        <v>26</v>
      </c>
      <c r="D102" s="19" t="s">
        <v>42</v>
      </c>
      <c r="E102" s="11" t="s">
        <v>22</v>
      </c>
      <c r="F102" s="8">
        <f>(INT(Table_Kyrgyzstan[[#This Row],[Date]]) - DATE(1970, 1, 1)) * 86400000</f>
        <v>1726617600000</v>
      </c>
      <c r="G102" s="10">
        <f>'GMT Glossary'!$B$2</f>
        <v>6</v>
      </c>
      <c r="H102" s="2" t="str">
        <f t="shared" si="2"/>
        <v>2024-09-18</v>
      </c>
      <c r="I102" s="2" t="str">
        <f t="shared" si="3"/>
        <v>21:00</v>
      </c>
    </row>
    <row r="103" spans="1:9" x14ac:dyDescent="0.25">
      <c r="A103" s="12">
        <v>45553</v>
      </c>
      <c r="B103" s="15">
        <v>0.70833333333333337</v>
      </c>
      <c r="C103" s="14" t="s">
        <v>26</v>
      </c>
      <c r="D103" s="19" t="s">
        <v>101</v>
      </c>
      <c r="E103" s="11" t="s">
        <v>22</v>
      </c>
      <c r="F103" s="8">
        <f>(INT(Table_Kyrgyzstan[[#This Row],[Date]]) - DATE(1970, 1, 1)) * 86400000</f>
        <v>1726617600000</v>
      </c>
      <c r="G103" s="10">
        <f>'GMT Glossary'!$B$2</f>
        <v>6</v>
      </c>
      <c r="H103" s="2" t="str">
        <f t="shared" si="2"/>
        <v>2024-09-18</v>
      </c>
      <c r="I103" s="2" t="str">
        <f t="shared" si="3"/>
        <v>23:00</v>
      </c>
    </row>
    <row r="104" spans="1:9" x14ac:dyDescent="0.25">
      <c r="A104" s="12">
        <v>45553</v>
      </c>
      <c r="B104" s="15">
        <v>0.79166666666666663</v>
      </c>
      <c r="C104" s="14" t="s">
        <v>26</v>
      </c>
      <c r="D104" s="19" t="s">
        <v>49</v>
      </c>
      <c r="E104" s="11" t="s">
        <v>22</v>
      </c>
      <c r="F104" s="8">
        <f>(INT(Table_Kyrgyzstan[[#This Row],[Date]]) - DATE(1970, 1, 1)) * 86400000</f>
        <v>1726617600000</v>
      </c>
      <c r="G104" s="10">
        <f>'GMT Glossary'!$B$2</f>
        <v>6</v>
      </c>
      <c r="H104" s="2" t="str">
        <f t="shared" si="2"/>
        <v>2024-09-19</v>
      </c>
      <c r="I104" s="2" t="str">
        <f t="shared" si="3"/>
        <v>01:00</v>
      </c>
    </row>
    <row r="105" spans="1:9" x14ac:dyDescent="0.25">
      <c r="A105" s="12">
        <v>45553</v>
      </c>
      <c r="B105" s="15">
        <v>0.875</v>
      </c>
      <c r="C105" s="14" t="s">
        <v>26</v>
      </c>
      <c r="D105" s="19" t="s">
        <v>43</v>
      </c>
      <c r="E105" s="11" t="s">
        <v>22</v>
      </c>
      <c r="F105" s="8">
        <f>(INT(Table_Kyrgyzstan[[#This Row],[Date]]) - DATE(1970, 1, 1)) * 86400000</f>
        <v>1726617600000</v>
      </c>
      <c r="G105" s="10">
        <f>'GMT Glossary'!$B$2</f>
        <v>6</v>
      </c>
      <c r="H105" s="2" t="str">
        <f t="shared" si="2"/>
        <v>2024-09-19</v>
      </c>
      <c r="I105" s="2" t="str">
        <f t="shared" si="3"/>
        <v>03:00</v>
      </c>
    </row>
    <row r="106" spans="1:9" x14ac:dyDescent="0.25">
      <c r="A106" s="12">
        <v>45553</v>
      </c>
      <c r="B106" s="15">
        <v>0.95833333333333337</v>
      </c>
      <c r="C106" s="14" t="s">
        <v>26</v>
      </c>
      <c r="D106" s="19" t="s">
        <v>102</v>
      </c>
      <c r="E106" s="11" t="s">
        <v>22</v>
      </c>
      <c r="F106" s="8">
        <f>(INT(Table_Kyrgyzstan[[#This Row],[Date]]) - DATE(1970, 1, 1)) * 86400000</f>
        <v>1726617600000</v>
      </c>
      <c r="G106" s="10">
        <f>'GMT Glossary'!$B$2</f>
        <v>6</v>
      </c>
      <c r="H106" s="2" t="str">
        <f t="shared" si="2"/>
        <v>2024-09-19</v>
      </c>
      <c r="I106" s="2" t="str">
        <f t="shared" si="3"/>
        <v>05:00</v>
      </c>
    </row>
    <row r="107" spans="1:9" x14ac:dyDescent="0.25">
      <c r="A107" s="12">
        <v>45554</v>
      </c>
      <c r="B107" s="15">
        <v>4.1666666666666664E-2</v>
      </c>
      <c r="C107" s="14" t="s">
        <v>37</v>
      </c>
      <c r="D107" s="19" t="s">
        <v>46</v>
      </c>
      <c r="E107" s="11" t="s">
        <v>22</v>
      </c>
      <c r="F107" s="8">
        <f>(INT(Table_Kyrgyzstan[[#This Row],[Date]]) - DATE(1970, 1, 1)) * 86400000</f>
        <v>1726704000000</v>
      </c>
      <c r="G107" s="10">
        <f>'GMT Glossary'!$B$2</f>
        <v>6</v>
      </c>
      <c r="H107" s="2" t="str">
        <f t="shared" si="2"/>
        <v>2024-09-19</v>
      </c>
      <c r="I107" s="2" t="str">
        <f t="shared" si="3"/>
        <v>07:00</v>
      </c>
    </row>
    <row r="108" spans="1:9" x14ac:dyDescent="0.25">
      <c r="A108" s="12">
        <v>45554</v>
      </c>
      <c r="B108" s="15">
        <v>0.16666666666666666</v>
      </c>
      <c r="C108" s="14" t="s">
        <v>18</v>
      </c>
      <c r="D108" s="19" t="s">
        <v>99</v>
      </c>
      <c r="E108" s="11" t="s">
        <v>22</v>
      </c>
      <c r="F108" s="8">
        <f>(INT(Table_Kyrgyzstan[[#This Row],[Date]]) - DATE(1970, 1, 1)) * 86400000</f>
        <v>1726704000000</v>
      </c>
      <c r="G108" s="10">
        <f>'GMT Glossary'!$B$2</f>
        <v>6</v>
      </c>
      <c r="H108" s="2" t="str">
        <f t="shared" si="2"/>
        <v>2024-09-19</v>
      </c>
      <c r="I108" s="2" t="str">
        <f t="shared" si="3"/>
        <v>10:00</v>
      </c>
    </row>
    <row r="109" spans="1:9" x14ac:dyDescent="0.25">
      <c r="A109" s="12">
        <v>45554</v>
      </c>
      <c r="B109" s="15">
        <v>0.29166666666666669</v>
      </c>
      <c r="C109" s="14" t="s">
        <v>26</v>
      </c>
      <c r="D109" s="19" t="s">
        <v>103</v>
      </c>
      <c r="E109" s="11" t="s">
        <v>22</v>
      </c>
      <c r="F109" s="8">
        <f>(INT(Table_Kyrgyzstan[[#This Row],[Date]]) - DATE(1970, 1, 1)) * 86400000</f>
        <v>1726704000000</v>
      </c>
      <c r="G109" s="10">
        <f>'GMT Glossary'!$B$2</f>
        <v>6</v>
      </c>
      <c r="H109" s="2" t="str">
        <f t="shared" si="2"/>
        <v>2024-09-19</v>
      </c>
      <c r="I109" s="2" t="str">
        <f t="shared" si="3"/>
        <v>13:00</v>
      </c>
    </row>
    <row r="110" spans="1:9" x14ac:dyDescent="0.25">
      <c r="A110" s="12">
        <v>45554</v>
      </c>
      <c r="B110" s="15">
        <v>0.375</v>
      </c>
      <c r="C110" s="14" t="s">
        <v>26</v>
      </c>
      <c r="D110" s="19" t="s">
        <v>52</v>
      </c>
      <c r="E110" s="11" t="s">
        <v>22</v>
      </c>
      <c r="F110" s="8">
        <f>(INT(Table_Kyrgyzstan[[#This Row],[Date]]) - DATE(1970, 1, 1)) * 86400000</f>
        <v>1726704000000</v>
      </c>
      <c r="G110" s="10">
        <f>'GMT Glossary'!$B$2</f>
        <v>6</v>
      </c>
      <c r="H110" s="2" t="str">
        <f t="shared" si="2"/>
        <v>2024-09-19</v>
      </c>
      <c r="I110" s="2" t="str">
        <f t="shared" si="3"/>
        <v>15:00</v>
      </c>
    </row>
    <row r="111" spans="1:9" x14ac:dyDescent="0.25">
      <c r="A111" s="12">
        <v>45554</v>
      </c>
      <c r="B111" s="15">
        <v>0.45833333333333331</v>
      </c>
      <c r="C111" s="14" t="s">
        <v>26</v>
      </c>
      <c r="D111" s="19" t="s">
        <v>40</v>
      </c>
      <c r="E111" s="11" t="s">
        <v>22</v>
      </c>
      <c r="F111" s="8">
        <f>(INT(Table_Kyrgyzstan[[#This Row],[Date]]) - DATE(1970, 1, 1)) * 86400000</f>
        <v>1726704000000</v>
      </c>
      <c r="G111" s="10">
        <f>'GMT Glossary'!$B$2</f>
        <v>6</v>
      </c>
      <c r="H111" s="2" t="str">
        <f t="shared" si="2"/>
        <v>2024-09-19</v>
      </c>
      <c r="I111" s="2" t="str">
        <f t="shared" si="3"/>
        <v>17:00</v>
      </c>
    </row>
    <row r="112" spans="1:9" x14ac:dyDescent="0.25">
      <c r="A112" s="12">
        <v>45554</v>
      </c>
      <c r="B112" s="15">
        <v>0.54166666666666663</v>
      </c>
      <c r="C112" s="14" t="s">
        <v>26</v>
      </c>
      <c r="D112" s="19" t="s">
        <v>100</v>
      </c>
      <c r="E112" s="11" t="s">
        <v>22</v>
      </c>
      <c r="F112" s="8">
        <f>(INT(Table_Kyrgyzstan[[#This Row],[Date]]) - DATE(1970, 1, 1)) * 86400000</f>
        <v>1726704000000</v>
      </c>
      <c r="G112" s="10">
        <f>'GMT Glossary'!$B$2</f>
        <v>6</v>
      </c>
      <c r="H112" s="2" t="str">
        <f t="shared" si="2"/>
        <v>2024-09-19</v>
      </c>
      <c r="I112" s="2" t="str">
        <f t="shared" si="3"/>
        <v>19:00</v>
      </c>
    </row>
    <row r="113" spans="1:9" x14ac:dyDescent="0.25">
      <c r="A113" s="12">
        <v>45554</v>
      </c>
      <c r="B113" s="15">
        <v>0.625</v>
      </c>
      <c r="C113" s="14" t="s">
        <v>26</v>
      </c>
      <c r="D113" s="19" t="s">
        <v>104</v>
      </c>
      <c r="E113" s="11" t="s">
        <v>22</v>
      </c>
      <c r="F113" s="8">
        <f>(INT(Table_Kyrgyzstan[[#This Row],[Date]]) - DATE(1970, 1, 1)) * 86400000</f>
        <v>1726704000000</v>
      </c>
      <c r="G113" s="10">
        <f>'GMT Glossary'!$B$2</f>
        <v>6</v>
      </c>
      <c r="H113" s="2" t="str">
        <f t="shared" si="2"/>
        <v>2024-09-19</v>
      </c>
      <c r="I113" s="2" t="str">
        <f t="shared" si="3"/>
        <v>21:00</v>
      </c>
    </row>
    <row r="114" spans="1:9" x14ac:dyDescent="0.25">
      <c r="A114" s="12">
        <v>45554</v>
      </c>
      <c r="B114" s="15">
        <v>0.70833333333333337</v>
      </c>
      <c r="C114" s="14" t="s">
        <v>26</v>
      </c>
      <c r="D114" s="19" t="s">
        <v>44</v>
      </c>
      <c r="E114" s="11" t="s">
        <v>22</v>
      </c>
      <c r="F114" s="8">
        <f>(INT(Table_Kyrgyzstan[[#This Row],[Date]]) - DATE(1970, 1, 1)) * 86400000</f>
        <v>1726704000000</v>
      </c>
      <c r="G114" s="10">
        <f>'GMT Glossary'!$B$2</f>
        <v>6</v>
      </c>
      <c r="H114" s="2" t="str">
        <f t="shared" si="2"/>
        <v>2024-09-19</v>
      </c>
      <c r="I114" s="2" t="str">
        <f t="shared" si="3"/>
        <v>23:00</v>
      </c>
    </row>
    <row r="115" spans="1:9" x14ac:dyDescent="0.25">
      <c r="A115" s="12">
        <v>45554</v>
      </c>
      <c r="B115" s="15">
        <v>0.79166666666666663</v>
      </c>
      <c r="C115" s="14" t="s">
        <v>26</v>
      </c>
      <c r="D115" s="19" t="s">
        <v>54</v>
      </c>
      <c r="E115" s="11" t="s">
        <v>22</v>
      </c>
      <c r="F115" s="8">
        <f>(INT(Table_Kyrgyzstan[[#This Row],[Date]]) - DATE(1970, 1, 1)) * 86400000</f>
        <v>1726704000000</v>
      </c>
      <c r="G115" s="10">
        <f>'GMT Glossary'!$B$2</f>
        <v>6</v>
      </c>
      <c r="H115" s="2" t="str">
        <f t="shared" si="2"/>
        <v>2024-09-20</v>
      </c>
      <c r="I115" s="2" t="str">
        <f t="shared" si="3"/>
        <v>01:00</v>
      </c>
    </row>
    <row r="116" spans="1:9" x14ac:dyDescent="0.25">
      <c r="A116" s="12">
        <v>45554</v>
      </c>
      <c r="B116" s="15">
        <v>0.875</v>
      </c>
      <c r="C116" s="14" t="s">
        <v>26</v>
      </c>
      <c r="D116" s="19" t="s">
        <v>43</v>
      </c>
      <c r="E116" s="11" t="s">
        <v>22</v>
      </c>
      <c r="F116" s="8">
        <f>(INT(Table_Kyrgyzstan[[#This Row],[Date]]) - DATE(1970, 1, 1)) * 86400000</f>
        <v>1726704000000</v>
      </c>
      <c r="G116" s="10">
        <f>'GMT Glossary'!$B$2</f>
        <v>6</v>
      </c>
      <c r="H116" s="2" t="str">
        <f t="shared" si="2"/>
        <v>2024-09-20</v>
      </c>
      <c r="I116" s="2" t="str">
        <f t="shared" si="3"/>
        <v>03:00</v>
      </c>
    </row>
    <row r="117" spans="1:9" x14ac:dyDescent="0.25">
      <c r="A117" s="12">
        <v>45554</v>
      </c>
      <c r="B117" s="15">
        <v>0.95833333333333337</v>
      </c>
      <c r="C117" s="14" t="s">
        <v>26</v>
      </c>
      <c r="D117" s="19" t="s">
        <v>48</v>
      </c>
      <c r="E117" s="11" t="s">
        <v>22</v>
      </c>
      <c r="F117" s="8">
        <f>(INT(Table_Kyrgyzstan[[#This Row],[Date]]) - DATE(1970, 1, 1)) * 86400000</f>
        <v>1726704000000</v>
      </c>
      <c r="G117" s="10">
        <f>'GMT Glossary'!$B$2</f>
        <v>6</v>
      </c>
      <c r="H117" s="2" t="str">
        <f t="shared" si="2"/>
        <v>2024-09-20</v>
      </c>
      <c r="I117" s="2" t="str">
        <f t="shared" si="3"/>
        <v>05:00</v>
      </c>
    </row>
    <row r="118" spans="1:9" x14ac:dyDescent="0.25">
      <c r="A118" s="12">
        <v>45555</v>
      </c>
      <c r="B118" s="15">
        <v>4.1666666666666664E-2</v>
      </c>
      <c r="C118" s="14" t="s">
        <v>37</v>
      </c>
      <c r="D118" s="19" t="s">
        <v>39</v>
      </c>
      <c r="E118" s="11" t="s">
        <v>22</v>
      </c>
      <c r="F118" s="8">
        <f>(INT(Table_Kyrgyzstan[[#This Row],[Date]]) - DATE(1970, 1, 1)) * 86400000</f>
        <v>1726790400000</v>
      </c>
      <c r="G118" s="10">
        <f>'GMT Glossary'!$B$2</f>
        <v>6</v>
      </c>
      <c r="H118" s="2" t="str">
        <f t="shared" si="2"/>
        <v>2024-09-20</v>
      </c>
      <c r="I118" s="2" t="str">
        <f t="shared" si="3"/>
        <v>07:00</v>
      </c>
    </row>
    <row r="119" spans="1:9" x14ac:dyDescent="0.25">
      <c r="A119" s="12">
        <v>45555</v>
      </c>
      <c r="B119" s="15">
        <v>0.125</v>
      </c>
      <c r="C119" s="14" t="s">
        <v>26</v>
      </c>
      <c r="D119" s="19" t="s">
        <v>53</v>
      </c>
      <c r="E119" s="11" t="s">
        <v>22</v>
      </c>
      <c r="F119" s="8">
        <f>(INT(Table_Kyrgyzstan[[#This Row],[Date]]) - DATE(1970, 1, 1)) * 86400000</f>
        <v>1726790400000</v>
      </c>
      <c r="G119" s="10">
        <f>'GMT Glossary'!$B$2</f>
        <v>6</v>
      </c>
      <c r="H119" s="2" t="str">
        <f t="shared" si="2"/>
        <v>2024-09-20</v>
      </c>
      <c r="I119" s="2" t="str">
        <f t="shared" si="3"/>
        <v>09:00</v>
      </c>
    </row>
    <row r="120" spans="1:9" x14ac:dyDescent="0.25">
      <c r="A120" s="12">
        <v>45555</v>
      </c>
      <c r="B120" s="15">
        <v>0.20833333333333334</v>
      </c>
      <c r="C120" s="14" t="s">
        <v>36</v>
      </c>
      <c r="D120" s="19" t="s">
        <v>105</v>
      </c>
      <c r="E120" s="11" t="s">
        <v>22</v>
      </c>
      <c r="F120" s="8">
        <f>(INT(Table_Kyrgyzstan[[#This Row],[Date]]) - DATE(1970, 1, 1)) * 86400000</f>
        <v>1726790400000</v>
      </c>
      <c r="G120" s="10">
        <f>'GMT Glossary'!$B$2</f>
        <v>6</v>
      </c>
      <c r="H120" s="2" t="str">
        <f t="shared" si="2"/>
        <v>2024-09-20</v>
      </c>
      <c r="I120" s="2" t="str">
        <f t="shared" si="3"/>
        <v>11:00</v>
      </c>
    </row>
    <row r="121" spans="1:9" x14ac:dyDescent="0.25">
      <c r="A121" s="12">
        <v>45555</v>
      </c>
      <c r="B121" s="15">
        <v>0.27083333333333331</v>
      </c>
      <c r="C121" s="14" t="s">
        <v>36</v>
      </c>
      <c r="D121" s="19" t="s">
        <v>106</v>
      </c>
      <c r="E121" s="11" t="s">
        <v>22</v>
      </c>
      <c r="F121" s="8">
        <f>(INT(Table_Kyrgyzstan[[#This Row],[Date]]) - DATE(1970, 1, 1)) * 86400000</f>
        <v>1726790400000</v>
      </c>
      <c r="G121" s="10">
        <f>'GMT Glossary'!$B$2</f>
        <v>6</v>
      </c>
      <c r="H121" s="2" t="str">
        <f t="shared" si="2"/>
        <v>2024-09-20</v>
      </c>
      <c r="I121" s="2" t="str">
        <f t="shared" si="3"/>
        <v>12:30</v>
      </c>
    </row>
    <row r="122" spans="1:9" x14ac:dyDescent="0.25">
      <c r="A122" s="12">
        <v>45555</v>
      </c>
      <c r="B122" s="15">
        <v>0.33333333333333331</v>
      </c>
      <c r="C122" s="14" t="s">
        <v>36</v>
      </c>
      <c r="D122" s="19" t="s">
        <v>107</v>
      </c>
      <c r="E122" s="11" t="s">
        <v>22</v>
      </c>
      <c r="F122" s="8">
        <f>(INT(Table_Kyrgyzstan[[#This Row],[Date]]) - DATE(1970, 1, 1)) * 86400000</f>
        <v>1726790400000</v>
      </c>
      <c r="G122" s="10">
        <f>'GMT Glossary'!$B$2</f>
        <v>6</v>
      </c>
      <c r="H122" s="2" t="str">
        <f t="shared" si="2"/>
        <v>2024-09-20</v>
      </c>
      <c r="I122" s="2" t="str">
        <f t="shared" si="3"/>
        <v>14:00</v>
      </c>
    </row>
    <row r="123" spans="1:9" x14ac:dyDescent="0.25">
      <c r="A123" s="12">
        <v>45555</v>
      </c>
      <c r="B123" s="15">
        <v>0.41666666666666669</v>
      </c>
      <c r="C123" s="14" t="s">
        <v>36</v>
      </c>
      <c r="D123" s="19" t="s">
        <v>108</v>
      </c>
      <c r="E123" s="11" t="s">
        <v>22</v>
      </c>
      <c r="F123" s="8">
        <f>(INT(Table_Kyrgyzstan[[#This Row],[Date]]) - DATE(1970, 1, 1)) * 86400000</f>
        <v>1726790400000</v>
      </c>
      <c r="G123" s="10">
        <f>'GMT Glossary'!$B$2</f>
        <v>6</v>
      </c>
      <c r="H123" s="2" t="str">
        <f t="shared" si="2"/>
        <v>2024-09-20</v>
      </c>
      <c r="I123" s="2" t="str">
        <f t="shared" si="3"/>
        <v>16:00</v>
      </c>
    </row>
    <row r="124" spans="1:9" x14ac:dyDescent="0.25">
      <c r="A124" s="12">
        <v>45555</v>
      </c>
      <c r="B124" s="15">
        <v>0.54166666666666663</v>
      </c>
      <c r="C124" s="14" t="s">
        <v>26</v>
      </c>
      <c r="D124" s="19" t="s">
        <v>98</v>
      </c>
      <c r="E124" s="11" t="s">
        <v>22</v>
      </c>
      <c r="F124" s="8">
        <f>(INT(Table_Kyrgyzstan[[#This Row],[Date]]) - DATE(1970, 1, 1)) * 86400000</f>
        <v>1726790400000</v>
      </c>
      <c r="G124" s="10">
        <f>'GMT Glossary'!$B$2</f>
        <v>6</v>
      </c>
      <c r="H124" s="2" t="str">
        <f t="shared" si="2"/>
        <v>2024-09-20</v>
      </c>
      <c r="I124" s="2" t="str">
        <f t="shared" si="3"/>
        <v>19:00</v>
      </c>
    </row>
    <row r="125" spans="1:9" x14ac:dyDescent="0.25">
      <c r="A125" s="12">
        <v>45555</v>
      </c>
      <c r="B125" s="15">
        <v>0.64583333333333337</v>
      </c>
      <c r="C125" s="14" t="s">
        <v>21</v>
      </c>
      <c r="D125" s="19" t="s">
        <v>109</v>
      </c>
      <c r="E125" s="11" t="s">
        <v>22</v>
      </c>
      <c r="F125" s="8">
        <f>(INT(Table_Kyrgyzstan[[#This Row],[Date]]) - DATE(1970, 1, 1)) * 86400000</f>
        <v>1726790400000</v>
      </c>
      <c r="G125" s="10">
        <f>'GMT Glossary'!$B$2</f>
        <v>6</v>
      </c>
      <c r="H125" s="2" t="str">
        <f t="shared" si="2"/>
        <v>2024-09-20</v>
      </c>
      <c r="I125" s="2" t="str">
        <f t="shared" si="3"/>
        <v>21:30</v>
      </c>
    </row>
    <row r="126" spans="1:9" x14ac:dyDescent="0.25">
      <c r="A126" s="12">
        <v>45555</v>
      </c>
      <c r="B126" s="15">
        <v>0.79166666666666663</v>
      </c>
      <c r="C126" s="14" t="s">
        <v>26</v>
      </c>
      <c r="D126" s="19" t="s">
        <v>45</v>
      </c>
      <c r="E126" s="11" t="s">
        <v>22</v>
      </c>
      <c r="F126" s="8">
        <f>(INT(Table_Kyrgyzstan[[#This Row],[Date]]) - DATE(1970, 1, 1)) * 86400000</f>
        <v>1726790400000</v>
      </c>
      <c r="G126" s="10">
        <f>'GMT Glossary'!$B$2</f>
        <v>6</v>
      </c>
      <c r="H126" s="2" t="str">
        <f t="shared" si="2"/>
        <v>2024-09-21</v>
      </c>
      <c r="I126" s="2" t="str">
        <f t="shared" si="3"/>
        <v>01:00</v>
      </c>
    </row>
    <row r="127" spans="1:9" x14ac:dyDescent="0.25">
      <c r="A127" s="12">
        <v>45555</v>
      </c>
      <c r="B127" s="15">
        <v>0.875</v>
      </c>
      <c r="C127" s="14" t="s">
        <v>26</v>
      </c>
      <c r="D127" s="19" t="s">
        <v>49</v>
      </c>
      <c r="E127" s="11" t="s">
        <v>22</v>
      </c>
      <c r="F127" s="8">
        <f>(INT(Table_Kyrgyzstan[[#This Row],[Date]]) - DATE(1970, 1, 1)) * 86400000</f>
        <v>1726790400000</v>
      </c>
      <c r="G127" s="10">
        <f>'GMT Glossary'!$B$2</f>
        <v>6</v>
      </c>
      <c r="H127" s="2" t="str">
        <f t="shared" si="2"/>
        <v>2024-09-21</v>
      </c>
      <c r="I127" s="2" t="str">
        <f t="shared" si="3"/>
        <v>03:00</v>
      </c>
    </row>
    <row r="128" spans="1:9" x14ac:dyDescent="0.25">
      <c r="A128" s="12">
        <v>45555</v>
      </c>
      <c r="B128" s="15">
        <v>0.95833333333333337</v>
      </c>
      <c r="C128" s="14" t="s">
        <v>26</v>
      </c>
      <c r="D128" s="19" t="s">
        <v>43</v>
      </c>
      <c r="E128" s="11" t="s">
        <v>22</v>
      </c>
      <c r="F128" s="8">
        <f>(INT(Table_Kyrgyzstan[[#This Row],[Date]]) - DATE(1970, 1, 1)) * 86400000</f>
        <v>1726790400000</v>
      </c>
      <c r="G128" s="10">
        <f>'GMT Glossary'!$B$2</f>
        <v>6</v>
      </c>
      <c r="H128" s="2" t="str">
        <f t="shared" si="2"/>
        <v>2024-09-21</v>
      </c>
      <c r="I128" s="2" t="str">
        <f t="shared" si="3"/>
        <v>05:00</v>
      </c>
    </row>
    <row r="129" spans="1:9" x14ac:dyDescent="0.25">
      <c r="A129" s="12">
        <v>45556</v>
      </c>
      <c r="B129" s="15">
        <v>4.1666666666666664E-2</v>
      </c>
      <c r="C129" s="14" t="s">
        <v>26</v>
      </c>
      <c r="D129" s="19" t="s">
        <v>42</v>
      </c>
      <c r="E129" s="11" t="s">
        <v>22</v>
      </c>
      <c r="F129" s="8">
        <f>(INT(Table_Kyrgyzstan[[#This Row],[Date]]) - DATE(1970, 1, 1)) * 86400000</f>
        <v>1726876800000</v>
      </c>
      <c r="G129" s="10">
        <f>'GMT Glossary'!$B$2</f>
        <v>6</v>
      </c>
      <c r="H129" s="2" t="str">
        <f t="shared" si="2"/>
        <v>2024-09-21</v>
      </c>
      <c r="I129" s="2" t="str">
        <f t="shared" si="3"/>
        <v>07:00</v>
      </c>
    </row>
    <row r="130" spans="1:9" x14ac:dyDescent="0.25">
      <c r="A130" s="12">
        <v>45556</v>
      </c>
      <c r="B130" s="15">
        <v>0.125</v>
      </c>
      <c r="C130" s="14" t="s">
        <v>26</v>
      </c>
      <c r="D130" s="19" t="s">
        <v>102</v>
      </c>
      <c r="E130" s="11" t="s">
        <v>22</v>
      </c>
      <c r="F130" s="8">
        <f>(INT(Table_Kyrgyzstan[[#This Row],[Date]]) - DATE(1970, 1, 1)) * 86400000</f>
        <v>1726876800000</v>
      </c>
      <c r="G130" s="10">
        <f>'GMT Glossary'!$B$2</f>
        <v>6</v>
      </c>
      <c r="H130" s="2" t="str">
        <f t="shared" ref="H130:H165" si="4">TEXT(IF(B130&lt;0, A130+1+((B130+(G130/24))-(INT(B130+(G130/24)))), A130+(B130+(G130/24))), "yyyy-mm-dd")</f>
        <v>2024-09-21</v>
      </c>
      <c r="I130" s="2" t="str">
        <f t="shared" ref="I130:I165" si="5">TEXT(IF(B130&lt;0, A130+1+((B130+(G130/24))-(INT(B130+(G130/24)))), A130+(B130+(G130/24))), "hh:mm")</f>
        <v>09:00</v>
      </c>
    </row>
    <row r="131" spans="1:9" x14ac:dyDescent="0.25">
      <c r="A131" s="12">
        <v>45556</v>
      </c>
      <c r="B131" s="15">
        <v>0.20833333333333334</v>
      </c>
      <c r="C131" s="14" t="s">
        <v>37</v>
      </c>
      <c r="D131" s="19" t="s">
        <v>46</v>
      </c>
      <c r="E131" s="11" t="s">
        <v>22</v>
      </c>
      <c r="F131" s="8">
        <f>(INT(Table_Kyrgyzstan[[#This Row],[Date]]) - DATE(1970, 1, 1)) * 86400000</f>
        <v>1726876800000</v>
      </c>
      <c r="G131" s="10">
        <f>'GMT Glossary'!$B$2</f>
        <v>6</v>
      </c>
      <c r="H131" s="2" t="str">
        <f t="shared" si="4"/>
        <v>2024-09-21</v>
      </c>
      <c r="I131" s="2" t="str">
        <f t="shared" si="5"/>
        <v>11:00</v>
      </c>
    </row>
    <row r="132" spans="1:9" x14ac:dyDescent="0.25">
      <c r="A132" s="12">
        <v>45556</v>
      </c>
      <c r="B132" s="15">
        <v>0.29166666666666669</v>
      </c>
      <c r="C132" s="14" t="s">
        <v>36</v>
      </c>
      <c r="D132" s="19" t="s">
        <v>110</v>
      </c>
      <c r="E132" s="11" t="s">
        <v>22</v>
      </c>
      <c r="F132" s="8">
        <f>(INT(Table_Kyrgyzstan[[#This Row],[Date]]) - DATE(1970, 1, 1)) * 86400000</f>
        <v>1726876800000</v>
      </c>
      <c r="G132" s="10">
        <f>'GMT Glossary'!$B$2</f>
        <v>6</v>
      </c>
      <c r="H132" s="2" t="str">
        <f t="shared" si="4"/>
        <v>2024-09-21</v>
      </c>
      <c r="I132" s="2" t="str">
        <f t="shared" si="5"/>
        <v>13:00</v>
      </c>
    </row>
    <row r="133" spans="1:9" x14ac:dyDescent="0.25">
      <c r="A133" s="12">
        <v>45556</v>
      </c>
      <c r="B133" s="15">
        <v>0.35416666666666669</v>
      </c>
      <c r="C133" s="14" t="s">
        <v>36</v>
      </c>
      <c r="D133" s="19" t="s">
        <v>111</v>
      </c>
      <c r="E133" s="11" t="s">
        <v>22</v>
      </c>
      <c r="F133" s="8">
        <f>(INT(Table_Kyrgyzstan[[#This Row],[Date]]) - DATE(1970, 1, 1)) * 86400000</f>
        <v>1726876800000</v>
      </c>
      <c r="G133" s="10">
        <f>'GMT Glossary'!$B$2</f>
        <v>6</v>
      </c>
      <c r="H133" s="2" t="str">
        <f t="shared" si="4"/>
        <v>2024-09-21</v>
      </c>
      <c r="I133" s="2" t="str">
        <f t="shared" si="5"/>
        <v>14:30</v>
      </c>
    </row>
    <row r="134" spans="1:9" x14ac:dyDescent="0.25">
      <c r="A134" s="12">
        <v>45556</v>
      </c>
      <c r="B134" s="15">
        <v>0.45833333333333331</v>
      </c>
      <c r="C134" s="14" t="s">
        <v>26</v>
      </c>
      <c r="D134" s="19" t="s">
        <v>112</v>
      </c>
      <c r="E134" s="11" t="s">
        <v>22</v>
      </c>
      <c r="F134" s="8">
        <f>(INT(Table_Kyrgyzstan[[#This Row],[Date]]) - DATE(1970, 1, 1)) * 86400000</f>
        <v>1726876800000</v>
      </c>
      <c r="G134" s="10">
        <f>'GMT Glossary'!$B$2</f>
        <v>6</v>
      </c>
      <c r="H134" s="2" t="str">
        <f t="shared" si="4"/>
        <v>2024-09-21</v>
      </c>
      <c r="I134" s="2" t="str">
        <f t="shared" si="5"/>
        <v>17:00</v>
      </c>
    </row>
    <row r="135" spans="1:9" x14ac:dyDescent="0.25">
      <c r="A135" s="12">
        <v>45556</v>
      </c>
      <c r="B135" s="15">
        <v>0.54166666666666663</v>
      </c>
      <c r="C135" s="14" t="s">
        <v>37</v>
      </c>
      <c r="D135" s="19" t="s">
        <v>113</v>
      </c>
      <c r="E135" s="11" t="s">
        <v>22</v>
      </c>
      <c r="F135" s="8">
        <f>(INT(Table_Kyrgyzstan[[#This Row],[Date]]) - DATE(1970, 1, 1)) * 86400000</f>
        <v>1726876800000</v>
      </c>
      <c r="G135" s="10">
        <f>'GMT Glossary'!$B$2</f>
        <v>6</v>
      </c>
      <c r="H135" s="2" t="str">
        <f t="shared" si="4"/>
        <v>2024-09-21</v>
      </c>
      <c r="I135" s="2" t="str">
        <f t="shared" si="5"/>
        <v>19:00</v>
      </c>
    </row>
    <row r="136" spans="1:9" x14ac:dyDescent="0.25">
      <c r="A136" s="12">
        <v>45556</v>
      </c>
      <c r="B136" s="15">
        <v>0.58333333333333337</v>
      </c>
      <c r="C136" s="14" t="s">
        <v>26</v>
      </c>
      <c r="D136" s="19" t="s">
        <v>114</v>
      </c>
      <c r="E136" s="11" t="s">
        <v>22</v>
      </c>
      <c r="F136" s="8">
        <f>(INT(Table_Kyrgyzstan[[#This Row],[Date]]) - DATE(1970, 1, 1)) * 86400000</f>
        <v>1726876800000</v>
      </c>
      <c r="G136" s="10">
        <f>'GMT Glossary'!$B$2</f>
        <v>6</v>
      </c>
      <c r="H136" s="2" t="str">
        <f t="shared" si="4"/>
        <v>2024-09-21</v>
      </c>
      <c r="I136" s="2" t="str">
        <f t="shared" si="5"/>
        <v>20:00</v>
      </c>
    </row>
    <row r="137" spans="1:9" x14ac:dyDescent="0.25">
      <c r="A137" s="12">
        <v>45556</v>
      </c>
      <c r="B137" s="15">
        <v>0.66666666666666663</v>
      </c>
      <c r="C137" s="14" t="s">
        <v>26</v>
      </c>
      <c r="D137" s="19" t="s">
        <v>115</v>
      </c>
      <c r="E137" s="11" t="s">
        <v>22</v>
      </c>
      <c r="F137" s="8">
        <f>(INT(Table_Kyrgyzstan[[#This Row],[Date]]) - DATE(1970, 1, 1)) * 86400000</f>
        <v>1726876800000</v>
      </c>
      <c r="G137" s="10">
        <f>'GMT Glossary'!$B$2</f>
        <v>6</v>
      </c>
      <c r="H137" s="2" t="str">
        <f t="shared" si="4"/>
        <v>2024-09-21</v>
      </c>
      <c r="I137" s="2" t="str">
        <f t="shared" si="5"/>
        <v>22:00</v>
      </c>
    </row>
    <row r="138" spans="1:9" x14ac:dyDescent="0.25">
      <c r="A138" s="12">
        <v>45556</v>
      </c>
      <c r="B138" s="15">
        <v>0.79166666666666663</v>
      </c>
      <c r="C138" s="14" t="s">
        <v>26</v>
      </c>
      <c r="D138" s="19" t="s">
        <v>116</v>
      </c>
      <c r="E138" s="11" t="s">
        <v>22</v>
      </c>
      <c r="F138" s="8">
        <f>(INT(Table_Kyrgyzstan[[#This Row],[Date]]) - DATE(1970, 1, 1)) * 86400000</f>
        <v>1726876800000</v>
      </c>
      <c r="G138" s="10">
        <f>'GMT Glossary'!$B$2</f>
        <v>6</v>
      </c>
      <c r="H138" s="2" t="str">
        <f t="shared" si="4"/>
        <v>2024-09-22</v>
      </c>
      <c r="I138" s="2" t="str">
        <f t="shared" si="5"/>
        <v>01:00</v>
      </c>
    </row>
    <row r="139" spans="1:9" x14ac:dyDescent="0.25">
      <c r="A139" s="12">
        <v>45556</v>
      </c>
      <c r="B139" s="15">
        <v>0.875</v>
      </c>
      <c r="C139" s="14" t="s">
        <v>26</v>
      </c>
      <c r="D139" s="19" t="s">
        <v>117</v>
      </c>
      <c r="E139" s="11" t="s">
        <v>22</v>
      </c>
      <c r="F139" s="8">
        <f>(INT(Table_Kyrgyzstan[[#This Row],[Date]]) - DATE(1970, 1, 1)) * 86400000</f>
        <v>1726876800000</v>
      </c>
      <c r="G139" s="10">
        <f>'GMT Glossary'!$B$2</f>
        <v>6</v>
      </c>
      <c r="H139" s="2" t="str">
        <f t="shared" si="4"/>
        <v>2024-09-22</v>
      </c>
      <c r="I139" s="2" t="str">
        <f t="shared" si="5"/>
        <v>03:00</v>
      </c>
    </row>
    <row r="140" spans="1:9" x14ac:dyDescent="0.25">
      <c r="A140" s="12">
        <v>45556</v>
      </c>
      <c r="B140" s="15">
        <v>0.95833333333333337</v>
      </c>
      <c r="C140" s="14" t="s">
        <v>26</v>
      </c>
      <c r="D140" s="19" t="s">
        <v>49</v>
      </c>
      <c r="E140" s="11" t="s">
        <v>22</v>
      </c>
      <c r="F140" s="8">
        <f>(INT(Table_Kyrgyzstan[[#This Row],[Date]]) - DATE(1970, 1, 1)) * 86400000</f>
        <v>1726876800000</v>
      </c>
      <c r="G140" s="10">
        <f>'GMT Glossary'!$B$2</f>
        <v>6</v>
      </c>
      <c r="H140" s="2" t="str">
        <f t="shared" si="4"/>
        <v>2024-09-22</v>
      </c>
      <c r="I140" s="2" t="str">
        <f t="shared" si="5"/>
        <v>05:00</v>
      </c>
    </row>
    <row r="141" spans="1:9" x14ac:dyDescent="0.25">
      <c r="A141" s="12">
        <v>45557</v>
      </c>
      <c r="B141" s="15">
        <v>4.1666666666666664E-2</v>
      </c>
      <c r="C141" s="14" t="s">
        <v>26</v>
      </c>
      <c r="D141" s="19" t="s">
        <v>112</v>
      </c>
      <c r="E141" s="11" t="s">
        <v>22</v>
      </c>
      <c r="F141" s="8">
        <f>(INT(Table_Kyrgyzstan[[#This Row],[Date]]) - DATE(1970, 1, 1)) * 86400000</f>
        <v>1726963200000</v>
      </c>
      <c r="G141" s="10">
        <f>'GMT Glossary'!$B$2</f>
        <v>6</v>
      </c>
      <c r="H141" s="2" t="str">
        <f t="shared" si="4"/>
        <v>2024-09-22</v>
      </c>
      <c r="I141" s="2" t="str">
        <f t="shared" si="5"/>
        <v>07:00</v>
      </c>
    </row>
    <row r="142" spans="1:9" x14ac:dyDescent="0.25">
      <c r="A142" s="12">
        <v>45557</v>
      </c>
      <c r="B142" s="15">
        <v>0.125</v>
      </c>
      <c r="C142" s="14" t="s">
        <v>26</v>
      </c>
      <c r="D142" s="19" t="s">
        <v>117</v>
      </c>
      <c r="E142" s="11" t="s">
        <v>22</v>
      </c>
      <c r="F142" s="8">
        <f>(INT(Table_Kyrgyzstan[[#This Row],[Date]]) - DATE(1970, 1, 1)) * 86400000</f>
        <v>1726963200000</v>
      </c>
      <c r="G142" s="10">
        <f>'GMT Glossary'!$B$2</f>
        <v>6</v>
      </c>
      <c r="H142" s="2" t="str">
        <f t="shared" si="4"/>
        <v>2024-09-22</v>
      </c>
      <c r="I142" s="2" t="str">
        <f t="shared" si="5"/>
        <v>09:00</v>
      </c>
    </row>
    <row r="143" spans="1:9" x14ac:dyDescent="0.25">
      <c r="A143" s="12">
        <v>45557</v>
      </c>
      <c r="B143" s="15">
        <v>0.20833333333333334</v>
      </c>
      <c r="C143" s="14" t="s">
        <v>37</v>
      </c>
      <c r="D143" s="19" t="s">
        <v>41</v>
      </c>
      <c r="E143" s="11" t="s">
        <v>22</v>
      </c>
      <c r="F143" s="8">
        <f>(INT(Table_Kyrgyzstan[[#This Row],[Date]]) - DATE(1970, 1, 1)) * 86400000</f>
        <v>1726963200000</v>
      </c>
      <c r="G143" s="10">
        <f>'GMT Glossary'!$B$2</f>
        <v>6</v>
      </c>
      <c r="H143" s="2" t="str">
        <f t="shared" si="4"/>
        <v>2024-09-22</v>
      </c>
      <c r="I143" s="2" t="str">
        <f t="shared" si="5"/>
        <v>11:00</v>
      </c>
    </row>
    <row r="144" spans="1:9" x14ac:dyDescent="0.25">
      <c r="A144" s="12">
        <v>45557</v>
      </c>
      <c r="B144" s="15">
        <v>0.29166666666666669</v>
      </c>
      <c r="C144" s="14" t="s">
        <v>36</v>
      </c>
      <c r="D144" s="19" t="s">
        <v>118</v>
      </c>
      <c r="E144" s="11" t="s">
        <v>22</v>
      </c>
      <c r="F144" s="8">
        <f>(INT(Table_Kyrgyzstan[[#This Row],[Date]]) - DATE(1970, 1, 1)) * 86400000</f>
        <v>1726963200000</v>
      </c>
      <c r="G144" s="10">
        <f>'GMT Glossary'!$B$2</f>
        <v>6</v>
      </c>
      <c r="H144" s="2" t="str">
        <f t="shared" si="4"/>
        <v>2024-09-22</v>
      </c>
      <c r="I144" s="2" t="str">
        <f t="shared" si="5"/>
        <v>13:00</v>
      </c>
    </row>
    <row r="145" spans="1:9" x14ac:dyDescent="0.25">
      <c r="A145" s="12">
        <v>45557</v>
      </c>
      <c r="B145" s="15">
        <v>0.375</v>
      </c>
      <c r="C145" s="14" t="s">
        <v>26</v>
      </c>
      <c r="D145" s="19" t="s">
        <v>119</v>
      </c>
      <c r="E145" s="11" t="s">
        <v>22</v>
      </c>
      <c r="F145" s="8">
        <f>(INT(Table_Kyrgyzstan[[#This Row],[Date]]) - DATE(1970, 1, 1)) * 86400000</f>
        <v>1726963200000</v>
      </c>
      <c r="G145" s="10">
        <f>'GMT Glossary'!$B$2</f>
        <v>6</v>
      </c>
      <c r="H145" s="2" t="str">
        <f t="shared" si="4"/>
        <v>2024-09-22</v>
      </c>
      <c r="I145" s="2" t="str">
        <f t="shared" si="5"/>
        <v>15:00</v>
      </c>
    </row>
    <row r="146" spans="1:9" x14ac:dyDescent="0.25">
      <c r="A146" s="12">
        <v>45557</v>
      </c>
      <c r="B146" s="15">
        <v>0.5</v>
      </c>
      <c r="C146" s="14" t="s">
        <v>37</v>
      </c>
      <c r="D146" s="19" t="s">
        <v>120</v>
      </c>
      <c r="E146" s="11" t="s">
        <v>22</v>
      </c>
      <c r="F146" s="8">
        <f>(INT(Table_Kyrgyzstan[[#This Row],[Date]]) - DATE(1970, 1, 1)) * 86400000</f>
        <v>1726963200000</v>
      </c>
      <c r="G146" s="10">
        <f>'GMT Glossary'!$B$2</f>
        <v>6</v>
      </c>
      <c r="H146" s="2" t="str">
        <f t="shared" si="4"/>
        <v>2024-09-22</v>
      </c>
      <c r="I146" s="2" t="str">
        <f t="shared" si="5"/>
        <v>18:00</v>
      </c>
    </row>
    <row r="147" spans="1:9" x14ac:dyDescent="0.25">
      <c r="A147" s="12">
        <v>45557</v>
      </c>
      <c r="B147" s="15">
        <v>0.59375</v>
      </c>
      <c r="C147" s="14" t="s">
        <v>26</v>
      </c>
      <c r="D147" s="19" t="s">
        <v>121</v>
      </c>
      <c r="E147" s="11" t="s">
        <v>22</v>
      </c>
      <c r="F147" s="8">
        <f>(INT(Table_Kyrgyzstan[[#This Row],[Date]]) - DATE(1970, 1, 1)) * 86400000</f>
        <v>1726963200000</v>
      </c>
      <c r="G147" s="10">
        <f>'GMT Glossary'!$B$2</f>
        <v>6</v>
      </c>
      <c r="H147" s="2" t="str">
        <f t="shared" si="4"/>
        <v>2024-09-22</v>
      </c>
      <c r="I147" s="2" t="str">
        <f t="shared" si="5"/>
        <v>20:15</v>
      </c>
    </row>
    <row r="148" spans="1:9" x14ac:dyDescent="0.25">
      <c r="A148" s="12">
        <v>45557</v>
      </c>
      <c r="B148" s="15">
        <v>0.6875</v>
      </c>
      <c r="C148" s="14" t="s">
        <v>26</v>
      </c>
      <c r="D148" s="19" t="s">
        <v>122</v>
      </c>
      <c r="E148" s="11" t="s">
        <v>22</v>
      </c>
      <c r="F148" s="8">
        <f>(INT(Table_Kyrgyzstan[[#This Row],[Date]]) - DATE(1970, 1, 1)) * 86400000</f>
        <v>1726963200000</v>
      </c>
      <c r="G148" s="10">
        <f>'GMT Glossary'!$B$2</f>
        <v>6</v>
      </c>
      <c r="H148" s="2" t="str">
        <f t="shared" si="4"/>
        <v>2024-09-22</v>
      </c>
      <c r="I148" s="2" t="str">
        <f t="shared" si="5"/>
        <v>22:30</v>
      </c>
    </row>
    <row r="149" spans="1:9" x14ac:dyDescent="0.25">
      <c r="A149" s="12">
        <v>45557</v>
      </c>
      <c r="B149" s="15">
        <v>0.78125</v>
      </c>
      <c r="C149" s="14" t="s">
        <v>26</v>
      </c>
      <c r="D149" s="19" t="s">
        <v>123</v>
      </c>
      <c r="E149" s="11" t="s">
        <v>22</v>
      </c>
      <c r="F149" s="8">
        <f>(INT(Table_Kyrgyzstan[[#This Row],[Date]]) - DATE(1970, 1, 1)) * 86400000</f>
        <v>1726963200000</v>
      </c>
      <c r="G149" s="10">
        <f>'GMT Glossary'!$B$2</f>
        <v>6</v>
      </c>
      <c r="H149" s="2" t="str">
        <f t="shared" si="4"/>
        <v>2024-09-23</v>
      </c>
      <c r="I149" s="2" t="str">
        <f t="shared" si="5"/>
        <v>00:45</v>
      </c>
    </row>
    <row r="150" spans="1:9" x14ac:dyDescent="0.25">
      <c r="A150" s="12">
        <v>45557</v>
      </c>
      <c r="B150" s="15">
        <v>0.875</v>
      </c>
      <c r="C150" s="14" t="s">
        <v>26</v>
      </c>
      <c r="D150" s="19" t="s">
        <v>119</v>
      </c>
      <c r="E150" s="11" t="s">
        <v>22</v>
      </c>
      <c r="F150" s="8">
        <f>(INT(Table_Kyrgyzstan[[#This Row],[Date]]) - DATE(1970, 1, 1)) * 86400000</f>
        <v>1726963200000</v>
      </c>
      <c r="G150" s="10">
        <f>'GMT Glossary'!$B$2</f>
        <v>6</v>
      </c>
      <c r="H150" s="2" t="str">
        <f t="shared" si="4"/>
        <v>2024-09-23</v>
      </c>
      <c r="I150" s="2" t="str">
        <f t="shared" si="5"/>
        <v>03:00</v>
      </c>
    </row>
    <row r="151" spans="1:9" x14ac:dyDescent="0.25">
      <c r="A151" s="12">
        <v>45557</v>
      </c>
      <c r="B151" s="15">
        <v>0.97916666666666663</v>
      </c>
      <c r="C151" s="14" t="s">
        <v>36</v>
      </c>
      <c r="D151" s="19" t="s">
        <v>47</v>
      </c>
      <c r="E151" s="11" t="s">
        <v>22</v>
      </c>
      <c r="F151" s="8">
        <f>(INT(Table_Kyrgyzstan[[#This Row],[Date]]) - DATE(1970, 1, 1)) * 86400000</f>
        <v>1726963200000</v>
      </c>
      <c r="G151" s="10">
        <f>'GMT Glossary'!$B$2</f>
        <v>6</v>
      </c>
      <c r="H151" s="2" t="str">
        <f t="shared" si="4"/>
        <v>2024-09-23</v>
      </c>
      <c r="I151" s="2" t="str">
        <f t="shared" si="5"/>
        <v>05:30</v>
      </c>
    </row>
    <row r="152" spans="1:9" x14ac:dyDescent="0.25">
      <c r="A152" s="12">
        <v>45558</v>
      </c>
      <c r="B152" s="15">
        <v>8.3333333333333329E-2</v>
      </c>
      <c r="C152" s="14" t="s">
        <v>18</v>
      </c>
      <c r="D152" s="19" t="s">
        <v>124</v>
      </c>
      <c r="E152" s="11" t="s">
        <v>22</v>
      </c>
      <c r="F152" s="8">
        <f>(INT(Table_Kyrgyzstan[[#This Row],[Date]]) - DATE(1970, 1, 1)) * 86400000</f>
        <v>1727049600000</v>
      </c>
      <c r="G152" s="10">
        <f>'GMT Glossary'!$B$2</f>
        <v>6</v>
      </c>
      <c r="H152" s="2" t="str">
        <f t="shared" si="4"/>
        <v>2024-09-23</v>
      </c>
      <c r="I152" s="2" t="str">
        <f t="shared" si="5"/>
        <v>08:00</v>
      </c>
    </row>
    <row r="153" spans="1:9" x14ac:dyDescent="0.25">
      <c r="A153" s="12">
        <v>45558</v>
      </c>
      <c r="B153" s="15">
        <v>0.20833333333333334</v>
      </c>
      <c r="C153" s="14" t="s">
        <v>26</v>
      </c>
      <c r="D153" s="19" t="s">
        <v>125</v>
      </c>
      <c r="E153" s="11" t="s">
        <v>22</v>
      </c>
      <c r="F153" s="8">
        <f>(INT(Table_Kyrgyzstan[[#This Row],[Date]]) - DATE(1970, 1, 1)) * 86400000</f>
        <v>1727049600000</v>
      </c>
      <c r="G153" s="10">
        <f>'GMT Glossary'!$B$2</f>
        <v>6</v>
      </c>
      <c r="H153" s="2" t="str">
        <f t="shared" si="4"/>
        <v>2024-09-23</v>
      </c>
      <c r="I153" s="2" t="str">
        <f t="shared" si="5"/>
        <v>11:00</v>
      </c>
    </row>
    <row r="154" spans="1:9" x14ac:dyDescent="0.25">
      <c r="A154" s="12">
        <v>45558</v>
      </c>
      <c r="B154" s="15">
        <v>0.29166666666666669</v>
      </c>
      <c r="C154" s="14" t="s">
        <v>26</v>
      </c>
      <c r="D154" s="19" t="s">
        <v>126</v>
      </c>
      <c r="E154" s="11" t="s">
        <v>22</v>
      </c>
      <c r="F154" s="8">
        <f>(INT(Table_Kyrgyzstan[[#This Row],[Date]]) - DATE(1970, 1, 1)) * 86400000</f>
        <v>1727049600000</v>
      </c>
      <c r="G154" s="10">
        <f>'GMT Glossary'!$B$2</f>
        <v>6</v>
      </c>
      <c r="H154" s="2" t="str">
        <f t="shared" si="4"/>
        <v>2024-09-23</v>
      </c>
      <c r="I154" s="2" t="str">
        <f t="shared" si="5"/>
        <v>13:00</v>
      </c>
    </row>
    <row r="155" spans="1:9" x14ac:dyDescent="0.25">
      <c r="A155" s="12">
        <v>45558</v>
      </c>
      <c r="B155" s="15">
        <v>0.375</v>
      </c>
      <c r="C155" s="14" t="s">
        <v>26</v>
      </c>
      <c r="D155" s="19" t="s">
        <v>127</v>
      </c>
      <c r="E155" s="11" t="s">
        <v>22</v>
      </c>
      <c r="F155" s="8">
        <f>(INT(Table_Kyrgyzstan[[#This Row],[Date]]) - DATE(1970, 1, 1)) * 86400000</f>
        <v>1727049600000</v>
      </c>
      <c r="G155" s="10">
        <f>'GMT Glossary'!$B$2</f>
        <v>6</v>
      </c>
      <c r="H155" s="2" t="str">
        <f t="shared" si="4"/>
        <v>2024-09-23</v>
      </c>
      <c r="I155" s="2" t="str">
        <f t="shared" si="5"/>
        <v>15:00</v>
      </c>
    </row>
    <row r="156" spans="1:9" x14ac:dyDescent="0.25">
      <c r="A156" s="12">
        <v>45558</v>
      </c>
      <c r="B156" s="15">
        <v>0.45833333333333331</v>
      </c>
      <c r="C156" s="14" t="s">
        <v>37</v>
      </c>
      <c r="D156" s="19" t="s">
        <v>46</v>
      </c>
      <c r="E156" s="11" t="s">
        <v>22</v>
      </c>
      <c r="F156" s="8">
        <f>(INT(Table_Kyrgyzstan[[#This Row],[Date]]) - DATE(1970, 1, 1)) * 86400000</f>
        <v>1727049600000</v>
      </c>
      <c r="G156" s="10">
        <f>'GMT Glossary'!$B$2</f>
        <v>6</v>
      </c>
      <c r="H156" s="2" t="str">
        <f t="shared" si="4"/>
        <v>2024-09-23</v>
      </c>
      <c r="I156" s="2" t="str">
        <f t="shared" si="5"/>
        <v>17:00</v>
      </c>
    </row>
    <row r="157" spans="1:9" x14ac:dyDescent="0.25">
      <c r="A157" s="12">
        <v>45558</v>
      </c>
      <c r="B157" s="15">
        <v>0.54166666666666663</v>
      </c>
      <c r="C157" s="14" t="s">
        <v>36</v>
      </c>
      <c r="D157" s="19" t="s">
        <v>47</v>
      </c>
      <c r="E157" s="11" t="s">
        <v>22</v>
      </c>
      <c r="F157" s="8">
        <f>(INT(Table_Kyrgyzstan[[#This Row],[Date]]) - DATE(1970, 1, 1)) * 86400000</f>
        <v>1727049600000</v>
      </c>
      <c r="G157" s="10">
        <f>'GMT Glossary'!$B$2</f>
        <v>6</v>
      </c>
      <c r="H157" s="2" t="str">
        <f t="shared" si="4"/>
        <v>2024-09-23</v>
      </c>
      <c r="I157" s="2" t="str">
        <f t="shared" si="5"/>
        <v>19:00</v>
      </c>
    </row>
    <row r="158" spans="1:9" x14ac:dyDescent="0.25">
      <c r="A158" s="12">
        <v>45558</v>
      </c>
      <c r="B158" s="15">
        <v>0.625</v>
      </c>
      <c r="C158" s="14" t="s">
        <v>26</v>
      </c>
      <c r="D158" s="19" t="s">
        <v>128</v>
      </c>
      <c r="E158" s="11" t="s">
        <v>22</v>
      </c>
      <c r="F158" s="8">
        <f>(INT(Table_Kyrgyzstan[[#This Row],[Date]]) - DATE(1970, 1, 1)) * 86400000</f>
        <v>1727049600000</v>
      </c>
      <c r="G158" s="10">
        <f>'GMT Glossary'!$B$2</f>
        <v>6</v>
      </c>
      <c r="H158" s="2" t="str">
        <f t="shared" si="4"/>
        <v>2024-09-23</v>
      </c>
      <c r="I158" s="2" t="str">
        <f t="shared" si="5"/>
        <v>21:00</v>
      </c>
    </row>
    <row r="159" spans="1:9" x14ac:dyDescent="0.25">
      <c r="A159" s="12">
        <v>45558</v>
      </c>
      <c r="B159" s="15">
        <v>0.70833333333333337</v>
      </c>
      <c r="C159" s="14" t="s">
        <v>26</v>
      </c>
      <c r="D159" s="19" t="s">
        <v>129</v>
      </c>
      <c r="E159" s="11" t="s">
        <v>22</v>
      </c>
      <c r="F159" s="8">
        <f>(INT(Table_Kyrgyzstan[[#This Row],[Date]]) - DATE(1970, 1, 1)) * 86400000</f>
        <v>1727049600000</v>
      </c>
      <c r="G159" s="10">
        <f>'GMT Glossary'!$B$2</f>
        <v>6</v>
      </c>
      <c r="H159" s="2" t="str">
        <f t="shared" si="4"/>
        <v>2024-09-23</v>
      </c>
      <c r="I159" s="2" t="str">
        <f t="shared" si="5"/>
        <v>23:00</v>
      </c>
    </row>
    <row r="160" spans="1:9" x14ac:dyDescent="0.25">
      <c r="A160" s="12">
        <v>45558</v>
      </c>
      <c r="B160" s="15">
        <v>0.79166666666666663</v>
      </c>
      <c r="C160" s="14" t="s">
        <v>26</v>
      </c>
      <c r="D160" s="19" t="s">
        <v>119</v>
      </c>
      <c r="E160" s="11" t="s">
        <v>22</v>
      </c>
      <c r="F160" s="8">
        <f>(INT(Table_Kyrgyzstan[[#This Row],[Date]]) - DATE(1970, 1, 1)) * 86400000</f>
        <v>1727049600000</v>
      </c>
      <c r="G160" s="10">
        <f>'GMT Glossary'!$B$2</f>
        <v>6</v>
      </c>
      <c r="H160" s="2" t="str">
        <f t="shared" si="4"/>
        <v>2024-09-24</v>
      </c>
      <c r="I160" s="2" t="str">
        <f t="shared" si="5"/>
        <v>01:00</v>
      </c>
    </row>
    <row r="161" spans="1:9" x14ac:dyDescent="0.25">
      <c r="A161" s="12">
        <v>45558</v>
      </c>
      <c r="B161" s="15">
        <v>0.875</v>
      </c>
      <c r="C161" s="14" t="s">
        <v>26</v>
      </c>
      <c r="D161" s="19" t="s">
        <v>112</v>
      </c>
      <c r="E161" s="11" t="s">
        <v>22</v>
      </c>
      <c r="F161" s="8">
        <f>(INT(Table_Kyrgyzstan[[#This Row],[Date]]) - DATE(1970, 1, 1)) * 86400000</f>
        <v>1727049600000</v>
      </c>
      <c r="G161" s="10">
        <f>'GMT Glossary'!$B$2</f>
        <v>6</v>
      </c>
      <c r="H161" s="2" t="str">
        <f t="shared" si="4"/>
        <v>2024-09-24</v>
      </c>
      <c r="I161" s="2" t="str">
        <f t="shared" si="5"/>
        <v>03:00</v>
      </c>
    </row>
    <row r="162" spans="1:9" x14ac:dyDescent="0.25">
      <c r="A162" s="12">
        <v>45558</v>
      </c>
      <c r="B162" s="15">
        <v>0.95833333333333337</v>
      </c>
      <c r="C162" s="14" t="s">
        <v>18</v>
      </c>
      <c r="D162" s="19" t="s">
        <v>124</v>
      </c>
      <c r="E162" s="11" t="s">
        <v>22</v>
      </c>
      <c r="F162" s="8">
        <f>(INT(Table_Kyrgyzstan[[#This Row],[Date]]) - DATE(1970, 1, 1)) * 86400000</f>
        <v>1727049600000</v>
      </c>
      <c r="G162" s="10">
        <f>'GMT Glossary'!$B$2</f>
        <v>6</v>
      </c>
      <c r="H162" s="2" t="str">
        <f t="shared" si="4"/>
        <v>2024-09-24</v>
      </c>
      <c r="I162" s="2" t="str">
        <f t="shared" si="5"/>
        <v>05:00</v>
      </c>
    </row>
    <row r="163" spans="1:9" x14ac:dyDescent="0.25">
      <c r="A163" s="12">
        <v>45559</v>
      </c>
      <c r="B163" s="15">
        <v>8.3333333333333329E-2</v>
      </c>
      <c r="C163" s="14" t="s">
        <v>37</v>
      </c>
      <c r="D163" s="19" t="s">
        <v>46</v>
      </c>
      <c r="E163" s="11" t="s">
        <v>22</v>
      </c>
      <c r="F163" s="8">
        <f>(INT(Table_Kyrgyzstan[[#This Row],[Date]]) - DATE(1970, 1, 1)) * 86400000</f>
        <v>1727136000000</v>
      </c>
      <c r="G163" s="10">
        <f>'GMT Glossary'!$B$2</f>
        <v>6</v>
      </c>
      <c r="H163" s="2" t="str">
        <f t="shared" si="4"/>
        <v>2024-09-24</v>
      </c>
      <c r="I163" s="2" t="str">
        <f t="shared" si="5"/>
        <v>08:00</v>
      </c>
    </row>
    <row r="164" spans="1:9" x14ac:dyDescent="0.25">
      <c r="A164" s="12">
        <v>45559</v>
      </c>
      <c r="B164" s="15">
        <v>0.20833333333333334</v>
      </c>
      <c r="C164" s="14" t="s">
        <v>36</v>
      </c>
      <c r="D164" s="19" t="s">
        <v>47</v>
      </c>
      <c r="E164" s="11" t="s">
        <v>22</v>
      </c>
      <c r="F164" s="8">
        <f>(INT(Table_Kyrgyzstan[[#This Row],[Date]]) - DATE(1970, 1, 1)) * 86400000</f>
        <v>1727136000000</v>
      </c>
      <c r="G164" s="10">
        <f>'GMT Glossary'!$B$2</f>
        <v>6</v>
      </c>
      <c r="H164" s="2" t="str">
        <f t="shared" si="4"/>
        <v>2024-09-24</v>
      </c>
      <c r="I164" s="2" t="str">
        <f t="shared" si="5"/>
        <v>11:00</v>
      </c>
    </row>
    <row r="165" spans="1:9" x14ac:dyDescent="0.25">
      <c r="A165" s="12">
        <v>45559</v>
      </c>
      <c r="B165" s="15">
        <v>0.29166666666666669</v>
      </c>
      <c r="C165" s="14" t="s">
        <v>26</v>
      </c>
      <c r="D165" s="19" t="s">
        <v>127</v>
      </c>
      <c r="E165" s="11" t="s">
        <v>22</v>
      </c>
      <c r="F165" s="8">
        <f>(INT(Table_Kyrgyzstan[[#This Row],[Date]]) - DATE(1970, 1, 1)) * 86400000</f>
        <v>1727136000000</v>
      </c>
      <c r="G165" s="10">
        <f>'GMT Glossary'!$B$2</f>
        <v>6</v>
      </c>
      <c r="H165" s="2" t="str">
        <f t="shared" si="4"/>
        <v>2024-09-24</v>
      </c>
      <c r="I165" s="2" t="str">
        <f t="shared" si="5"/>
        <v>13:00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E7A33EF85093D44AE52E97FC48EB6C7" ma:contentTypeVersion="7" ma:contentTypeDescription="Create a new document." ma:contentTypeScope="" ma:versionID="6d592631231d6e01cf1173f2d626ce46">
  <xsd:schema xmlns:xsd="http://www.w3.org/2001/XMLSchema" xmlns:xs="http://www.w3.org/2001/XMLSchema" xmlns:p="http://schemas.microsoft.com/office/2006/metadata/properties" xmlns:ns3="deb8c065-16f3-49e7-9bae-4d66e86f7027" xmlns:ns4="bf34633c-7175-40b3-a371-b1d844713082" targetNamespace="http://schemas.microsoft.com/office/2006/metadata/properties" ma:root="true" ma:fieldsID="1ed0dcadd6af09b5fa923bb253ab5e0b" ns3:_="" ns4:_="">
    <xsd:import namespace="deb8c065-16f3-49e7-9bae-4d66e86f7027"/>
    <xsd:import namespace="bf34633c-7175-40b3-a371-b1d84471308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eb8c065-16f3-49e7-9bae-4d66e86f702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34633c-7175-40b3-a371-b1d844713082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eb8c065-16f3-49e7-9bae-4d66e86f702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FF747CC-8A75-4B35-A84D-2F8110B31C1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eb8c065-16f3-49e7-9bae-4d66e86f7027"/>
    <ds:schemaRef ds:uri="bf34633c-7175-40b3-a371-b1d84471308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28C1B0-5783-44FB-B7DF-82E438C11B60}">
  <ds:schemaRefs>
    <ds:schemaRef ds:uri="bf34633c-7175-40b3-a371-b1d844713082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deb8c065-16f3-49e7-9bae-4d66e86f702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566E9F64-867C-46D3-93B9-358A5D8F29F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Sheet_Template</vt:lpstr>
      <vt:lpstr>GMT Glossary</vt:lpstr>
      <vt:lpstr>Sheet_Kyrgyzstan</vt:lpstr>
      <vt:lpstr>Sheet_Azerbaijan</vt:lpstr>
      <vt:lpstr>Sheet_Kazakhstan</vt:lpstr>
      <vt:lpstr>Sheet_Moldova</vt:lpstr>
      <vt:lpstr>Sheet_Uzbekistan</vt:lpstr>
      <vt:lpstr>Sheet_Turkmenistan</vt:lpstr>
      <vt:lpstr>Sheet_Tajikistan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Luka Lortkipanidze</dc:creator>
  <cp:keywords/>
  <dc:description/>
  <cp:lastModifiedBy>Nika Chighladze</cp:lastModifiedBy>
  <cp:revision/>
  <dcterms:created xsi:type="dcterms:W3CDTF">2023-05-11T11:30:00Z</dcterms:created>
  <dcterms:modified xsi:type="dcterms:W3CDTF">2024-09-18T09:22:53Z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0x0101005E7A33EF85093D44AE52E97FC48EB6C7</vt:lpwstr>
  </property>
</Properties>
</file>